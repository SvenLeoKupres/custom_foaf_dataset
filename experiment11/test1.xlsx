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7" documentId="11_04CA14D9FC1550322D03B50DDD764ED840D82112" xr6:coauthVersionLast="47" xr6:coauthVersionMax="47" xr10:uidLastSave="{E5CD150B-CC79-4D52-AC53-98676F8B340F}"/>
  <bookViews>
    <workbookView xWindow="0" yWindow="0" windowWidth="16384" windowHeight="8192" tabRatio="500" xr2:uid="{00000000-000D-0000-FFFF-FFFF00000000}"/>
  </bookViews>
  <sheets>
    <sheet name="kappa" sheetId="10" r:id="rId1"/>
    <sheet name="foaf.xml" sheetId="1" r:id="rId2"/>
    <sheet name="foaf_names.xml" sheetId="2" r:id="rId3"/>
    <sheet name="foaf.json" sheetId="3" r:id="rId4"/>
    <sheet name="foaf_names.json" sheetId="4" r:id="rId5"/>
    <sheet name="natural.json" sheetId="5" r:id="rId6"/>
    <sheet name="natural.txt" sheetId="6" r:id="rId7"/>
    <sheet name="foaf.rdf" sheetId="7" r:id="rId8"/>
    <sheet name="foaf_names.rdf" sheetId="8" r:id="rId9"/>
    <sheet name="foaf_no_surname.xml" sheetId="9" r:id="rId10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10" l="1"/>
  <c r="H35" i="10"/>
  <c r="G35" i="10"/>
  <c r="D35" i="10"/>
  <c r="C35" i="10"/>
  <c r="B35" i="10"/>
  <c r="I34" i="10"/>
  <c r="H34" i="10"/>
  <c r="G34" i="10"/>
  <c r="D34" i="10"/>
  <c r="C34" i="10"/>
  <c r="B34" i="10"/>
  <c r="I33" i="10"/>
  <c r="H33" i="10"/>
  <c r="G33" i="10"/>
  <c r="D33" i="10"/>
  <c r="C33" i="10"/>
  <c r="B33" i="10"/>
  <c r="I25" i="10"/>
  <c r="H25" i="10"/>
  <c r="G25" i="10"/>
  <c r="D25" i="10"/>
  <c r="C25" i="10"/>
  <c r="B25" i="10"/>
  <c r="I24" i="10"/>
  <c r="H24" i="10"/>
  <c r="G24" i="10"/>
  <c r="D24" i="10"/>
  <c r="C24" i="10"/>
  <c r="B24" i="10"/>
  <c r="I23" i="10"/>
  <c r="H23" i="10"/>
  <c r="G23" i="10"/>
  <c r="D23" i="10"/>
  <c r="C23" i="10"/>
  <c r="B23" i="10"/>
  <c r="I15" i="10"/>
  <c r="H15" i="10"/>
  <c r="G15" i="10"/>
  <c r="D15" i="10"/>
  <c r="C15" i="10"/>
  <c r="B15" i="10"/>
  <c r="I14" i="10"/>
  <c r="H14" i="10"/>
  <c r="G14" i="10"/>
  <c r="D14" i="10"/>
  <c r="C14" i="10"/>
  <c r="B14" i="10"/>
  <c r="I13" i="10"/>
  <c r="H13" i="10"/>
  <c r="G13" i="10"/>
  <c r="D13" i="10"/>
  <c r="C13" i="10"/>
  <c r="B13" i="10"/>
  <c r="I5" i="10"/>
  <c r="H5" i="10"/>
  <c r="G5" i="10"/>
  <c r="D5" i="10"/>
  <c r="D45" i="10" s="1"/>
  <c r="C5" i="10"/>
  <c r="C45" i="10" s="1"/>
  <c r="B5" i="10"/>
  <c r="B45" i="10" s="1"/>
  <c r="I4" i="10"/>
  <c r="H4" i="10"/>
  <c r="G4" i="10"/>
  <c r="D4" i="10"/>
  <c r="D44" i="10" s="1"/>
  <c r="C4" i="10"/>
  <c r="C44" i="10" s="1"/>
  <c r="B4" i="10"/>
  <c r="B44" i="10" s="1"/>
  <c r="I3" i="10"/>
  <c r="H3" i="10"/>
  <c r="G3" i="10"/>
  <c r="D3" i="10"/>
  <c r="D43" i="10" s="1"/>
  <c r="C3" i="10"/>
  <c r="C43" i="10" s="1"/>
  <c r="B3" i="10"/>
  <c r="E101" i="9"/>
  <c r="C101" i="9"/>
  <c r="E100" i="9"/>
  <c r="C100" i="9"/>
  <c r="E99" i="9"/>
  <c r="C99" i="9"/>
  <c r="E98" i="9"/>
  <c r="C98" i="9"/>
  <c r="E97" i="9"/>
  <c r="C97" i="9"/>
  <c r="E96" i="9"/>
  <c r="C96" i="9"/>
  <c r="E95" i="9"/>
  <c r="E94" i="9"/>
  <c r="C94" i="9"/>
  <c r="E93" i="9"/>
  <c r="C93" i="9"/>
  <c r="E92" i="9"/>
  <c r="C92" i="9"/>
  <c r="E91" i="9"/>
  <c r="C91" i="9"/>
  <c r="E90" i="9"/>
  <c r="E89" i="9"/>
  <c r="C89" i="9"/>
  <c r="E88" i="9"/>
  <c r="C88" i="9"/>
  <c r="E87" i="9"/>
  <c r="C87" i="9"/>
  <c r="E86" i="9"/>
  <c r="C86" i="9"/>
  <c r="E85" i="9"/>
  <c r="C85" i="9"/>
  <c r="E84" i="9"/>
  <c r="C84" i="9"/>
  <c r="E83" i="9"/>
  <c r="C83" i="9"/>
  <c r="E82" i="9"/>
  <c r="C82" i="9"/>
  <c r="E81" i="9"/>
  <c r="C81" i="9"/>
  <c r="E80" i="9"/>
  <c r="C80" i="9"/>
  <c r="E79" i="9"/>
  <c r="C79" i="9"/>
  <c r="E78" i="9"/>
  <c r="C78" i="9"/>
  <c r="E77" i="9"/>
  <c r="C77" i="9"/>
  <c r="E76" i="9"/>
  <c r="C76" i="9"/>
  <c r="E74" i="9"/>
  <c r="C74" i="9"/>
  <c r="E73" i="9"/>
  <c r="C73" i="9"/>
  <c r="E72" i="9"/>
  <c r="C72" i="9"/>
  <c r="E71" i="9"/>
  <c r="C71" i="9"/>
  <c r="E69" i="9"/>
  <c r="C69" i="9"/>
  <c r="E68" i="9"/>
  <c r="C68" i="9"/>
  <c r="E67" i="9"/>
  <c r="C67" i="9"/>
  <c r="E66" i="9"/>
  <c r="C66" i="9"/>
  <c r="E65" i="9"/>
  <c r="E64" i="9"/>
  <c r="C64" i="9"/>
  <c r="E63" i="9"/>
  <c r="C63" i="9"/>
  <c r="E62" i="9"/>
  <c r="C62" i="9"/>
  <c r="E61" i="9"/>
  <c r="C61" i="9"/>
  <c r="E60" i="9"/>
  <c r="E59" i="9"/>
  <c r="C59" i="9"/>
  <c r="E58" i="9"/>
  <c r="C58" i="9"/>
  <c r="E57" i="9"/>
  <c r="C57" i="9"/>
  <c r="E56" i="9"/>
  <c r="C56" i="9"/>
  <c r="E55" i="9"/>
  <c r="E54" i="9"/>
  <c r="C54" i="9"/>
  <c r="E53" i="9"/>
  <c r="C53" i="9"/>
  <c r="E52" i="9"/>
  <c r="C52" i="9"/>
  <c r="E51" i="9"/>
  <c r="C51" i="9"/>
  <c r="E49" i="9"/>
  <c r="C49" i="9"/>
  <c r="E48" i="9"/>
  <c r="C48" i="9"/>
  <c r="E47" i="9"/>
  <c r="C47" i="9"/>
  <c r="E46" i="9"/>
  <c r="C46" i="9"/>
  <c r="E44" i="9"/>
  <c r="C44" i="9"/>
  <c r="E43" i="9"/>
  <c r="C43" i="9"/>
  <c r="E42" i="9"/>
  <c r="C42" i="9"/>
  <c r="E41" i="9"/>
  <c r="C41" i="9"/>
  <c r="E40" i="9"/>
  <c r="E39" i="9"/>
  <c r="C39" i="9"/>
  <c r="E38" i="9"/>
  <c r="C38" i="9"/>
  <c r="E37" i="9"/>
  <c r="C37" i="9"/>
  <c r="E36" i="9"/>
  <c r="C36" i="9"/>
  <c r="E34" i="9"/>
  <c r="C34" i="9"/>
  <c r="E33" i="9"/>
  <c r="C33" i="9"/>
  <c r="E32" i="9"/>
  <c r="C32" i="9"/>
  <c r="E31" i="9"/>
  <c r="C31" i="9"/>
  <c r="E29" i="9"/>
  <c r="C29" i="9"/>
  <c r="E28" i="9"/>
  <c r="C28" i="9"/>
  <c r="E27" i="9"/>
  <c r="C27" i="9"/>
  <c r="E26" i="9"/>
  <c r="C26" i="9"/>
  <c r="E24" i="9"/>
  <c r="C24" i="9"/>
  <c r="E23" i="9"/>
  <c r="C23" i="9"/>
  <c r="E22" i="9"/>
  <c r="C22" i="9"/>
  <c r="E21" i="9"/>
  <c r="C21" i="9"/>
  <c r="E19" i="9"/>
  <c r="C19" i="9"/>
  <c r="E18" i="9"/>
  <c r="C18" i="9"/>
  <c r="E17" i="9"/>
  <c r="C17" i="9"/>
  <c r="E16" i="9"/>
  <c r="C16" i="9"/>
  <c r="E15" i="9"/>
  <c r="E14" i="9"/>
  <c r="C14" i="9"/>
  <c r="E13" i="9"/>
  <c r="C13" i="9"/>
  <c r="E12" i="9"/>
  <c r="C12" i="9"/>
  <c r="E11" i="9"/>
  <c r="C11" i="9"/>
  <c r="E9" i="9"/>
  <c r="C9" i="9"/>
  <c r="E8" i="9"/>
  <c r="C8" i="9"/>
  <c r="E7" i="9"/>
  <c r="C7" i="9"/>
  <c r="E6" i="9"/>
  <c r="C6" i="9"/>
  <c r="E4" i="9"/>
  <c r="C4" i="9"/>
  <c r="E3" i="9"/>
  <c r="C3" i="9"/>
  <c r="E2" i="9"/>
  <c r="C2" i="9"/>
  <c r="E121" i="8"/>
  <c r="C121" i="8"/>
  <c r="E119" i="8"/>
  <c r="C119" i="8"/>
  <c r="E118" i="8"/>
  <c r="C118" i="8"/>
  <c r="E117" i="8"/>
  <c r="C117" i="8"/>
  <c r="E116" i="8"/>
  <c r="C116" i="8"/>
  <c r="E115" i="8"/>
  <c r="C115" i="8"/>
  <c r="E113" i="8"/>
  <c r="C113" i="8"/>
  <c r="E112" i="8"/>
  <c r="C112" i="8"/>
  <c r="E111" i="8"/>
  <c r="C111" i="8"/>
  <c r="E110" i="8"/>
  <c r="C110" i="8"/>
  <c r="E109" i="8"/>
  <c r="C109" i="8"/>
  <c r="E108" i="8"/>
  <c r="C108" i="8"/>
  <c r="E107" i="8"/>
  <c r="C107" i="8"/>
  <c r="E106" i="8"/>
  <c r="C106" i="8"/>
  <c r="E105" i="8"/>
  <c r="C105" i="8"/>
  <c r="E104" i="8"/>
  <c r="C104" i="8"/>
  <c r="E103" i="8"/>
  <c r="C103" i="8"/>
  <c r="E102" i="8"/>
  <c r="C102" i="8"/>
  <c r="E101" i="8"/>
  <c r="C101" i="8"/>
  <c r="E100" i="8"/>
  <c r="C100" i="8"/>
  <c r="E99" i="8"/>
  <c r="C99" i="8"/>
  <c r="E98" i="8"/>
  <c r="C98" i="8"/>
  <c r="E97" i="8"/>
  <c r="C97" i="8"/>
  <c r="E96" i="8"/>
  <c r="E95" i="8"/>
  <c r="C95" i="8"/>
  <c r="E94" i="8"/>
  <c r="C94" i="8"/>
  <c r="E93" i="8"/>
  <c r="C93" i="8"/>
  <c r="E92" i="8"/>
  <c r="C92" i="8"/>
  <c r="E91" i="8"/>
  <c r="C91" i="8"/>
  <c r="E90" i="8"/>
  <c r="E89" i="8"/>
  <c r="C89" i="8"/>
  <c r="E88" i="8"/>
  <c r="C88" i="8"/>
  <c r="E87" i="8"/>
  <c r="C87" i="8"/>
  <c r="E86" i="8"/>
  <c r="C86" i="8"/>
  <c r="E85" i="8"/>
  <c r="C85" i="8"/>
  <c r="E84" i="8"/>
  <c r="E83" i="8"/>
  <c r="C83" i="8"/>
  <c r="E82" i="8"/>
  <c r="C82" i="8"/>
  <c r="E81" i="8"/>
  <c r="C81" i="8"/>
  <c r="E80" i="8"/>
  <c r="C80" i="8"/>
  <c r="E79" i="8"/>
  <c r="C79" i="8"/>
  <c r="E78" i="8"/>
  <c r="E77" i="8"/>
  <c r="C77" i="8"/>
  <c r="E76" i="8"/>
  <c r="C76" i="8"/>
  <c r="E75" i="8"/>
  <c r="C75" i="8"/>
  <c r="E74" i="8"/>
  <c r="C74" i="8"/>
  <c r="E73" i="8"/>
  <c r="C73" i="8"/>
  <c r="E72" i="8"/>
  <c r="E71" i="8"/>
  <c r="C71" i="8"/>
  <c r="E70" i="8"/>
  <c r="C70" i="8"/>
  <c r="E69" i="8"/>
  <c r="C69" i="8"/>
  <c r="E68" i="8"/>
  <c r="C68" i="8"/>
  <c r="E67" i="8"/>
  <c r="C67" i="8"/>
  <c r="E66" i="8"/>
  <c r="C66" i="8"/>
  <c r="E65" i="8"/>
  <c r="C65" i="8"/>
  <c r="E64" i="8"/>
  <c r="C64" i="8"/>
  <c r="E63" i="8"/>
  <c r="C63" i="8"/>
  <c r="E62" i="8"/>
  <c r="C62" i="8"/>
  <c r="E61" i="8"/>
  <c r="C61" i="8"/>
  <c r="E60" i="8"/>
  <c r="E59" i="8"/>
  <c r="C59" i="8"/>
  <c r="E58" i="8"/>
  <c r="C58" i="8"/>
  <c r="E57" i="8"/>
  <c r="C57" i="8"/>
  <c r="E56" i="8"/>
  <c r="C56" i="8"/>
  <c r="E55" i="8"/>
  <c r="C55" i="8"/>
  <c r="E53" i="8"/>
  <c r="C53" i="8"/>
  <c r="E52" i="8"/>
  <c r="C52" i="8"/>
  <c r="E51" i="8"/>
  <c r="C51" i="8"/>
  <c r="E50" i="8"/>
  <c r="C50" i="8"/>
  <c r="E49" i="8"/>
  <c r="C49" i="8"/>
  <c r="E48" i="8"/>
  <c r="E47" i="8"/>
  <c r="C47" i="8"/>
  <c r="E46" i="8"/>
  <c r="C46" i="8"/>
  <c r="E45" i="8"/>
  <c r="C45" i="8"/>
  <c r="E44" i="8"/>
  <c r="C44" i="8"/>
  <c r="E43" i="8"/>
  <c r="C43" i="8"/>
  <c r="E42" i="8"/>
  <c r="E41" i="8"/>
  <c r="C41" i="8"/>
  <c r="E40" i="8"/>
  <c r="C40" i="8"/>
  <c r="E39" i="8"/>
  <c r="C39" i="8"/>
  <c r="E38" i="8"/>
  <c r="C38" i="8"/>
  <c r="E37" i="8"/>
  <c r="C37" i="8"/>
  <c r="E36" i="8"/>
  <c r="E35" i="8"/>
  <c r="C35" i="8"/>
  <c r="E34" i="8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E23" i="8"/>
  <c r="C23" i="8"/>
  <c r="E22" i="8"/>
  <c r="C22" i="8"/>
  <c r="E21" i="8"/>
  <c r="C21" i="8"/>
  <c r="E20" i="8"/>
  <c r="C20" i="8"/>
  <c r="E19" i="8"/>
  <c r="C19" i="8"/>
  <c r="E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E5" i="8"/>
  <c r="C5" i="8"/>
  <c r="E4" i="8"/>
  <c r="C4" i="8"/>
  <c r="E3" i="8"/>
  <c r="C3" i="8"/>
  <c r="E2" i="8"/>
  <c r="C2" i="8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E89" i="7"/>
  <c r="C89" i="7"/>
  <c r="E88" i="7"/>
  <c r="C88" i="7"/>
  <c r="E87" i="7"/>
  <c r="C87" i="7"/>
  <c r="E86" i="7"/>
  <c r="C86" i="7"/>
  <c r="E85" i="7"/>
  <c r="C85" i="7"/>
  <c r="E84" i="7"/>
  <c r="C84" i="7"/>
  <c r="E83" i="7"/>
  <c r="C83" i="7"/>
  <c r="E82" i="7"/>
  <c r="C82" i="7"/>
  <c r="E81" i="7"/>
  <c r="C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5" i="7"/>
  <c r="C35" i="7"/>
  <c r="E34" i="7"/>
  <c r="C34" i="7"/>
  <c r="E33" i="7"/>
  <c r="C33" i="7"/>
  <c r="E32" i="7"/>
  <c r="C32" i="7"/>
  <c r="E31" i="7"/>
  <c r="C31" i="7"/>
  <c r="E29" i="7"/>
  <c r="C29" i="7"/>
  <c r="E28" i="7"/>
  <c r="C28" i="7"/>
  <c r="E27" i="7"/>
  <c r="C27" i="7"/>
  <c r="E26" i="7"/>
  <c r="C26" i="7"/>
  <c r="E25" i="7"/>
  <c r="C25" i="7"/>
  <c r="E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E121" i="6"/>
  <c r="C121" i="6"/>
  <c r="E120" i="6"/>
  <c r="C120" i="6"/>
  <c r="E119" i="6"/>
  <c r="C119" i="6"/>
  <c r="E118" i="6"/>
  <c r="C118" i="6"/>
  <c r="E117" i="6"/>
  <c r="C117" i="6"/>
  <c r="E116" i="6"/>
  <c r="C116" i="6"/>
  <c r="E115" i="6"/>
  <c r="C115" i="6"/>
  <c r="E114" i="6"/>
  <c r="C114" i="6"/>
  <c r="E113" i="6"/>
  <c r="C113" i="6"/>
  <c r="E112" i="6"/>
  <c r="C112" i="6"/>
  <c r="E111" i="6"/>
  <c r="C111" i="6"/>
  <c r="E110" i="6"/>
  <c r="C110" i="6"/>
  <c r="E109" i="6"/>
  <c r="C109" i="6"/>
  <c r="E108" i="6"/>
  <c r="E107" i="6"/>
  <c r="C107" i="6"/>
  <c r="E106" i="6"/>
  <c r="C106" i="6"/>
  <c r="E105" i="6"/>
  <c r="C105" i="6"/>
  <c r="E104" i="6"/>
  <c r="C104" i="6"/>
  <c r="E103" i="6"/>
  <c r="C103" i="6"/>
  <c r="E102" i="6"/>
  <c r="C102" i="6"/>
  <c r="E101" i="6"/>
  <c r="C101" i="6"/>
  <c r="E100" i="6"/>
  <c r="C100" i="6"/>
  <c r="E99" i="6"/>
  <c r="C99" i="6"/>
  <c r="E98" i="6"/>
  <c r="C98" i="6"/>
  <c r="E97" i="6"/>
  <c r="C97" i="6"/>
  <c r="E96" i="6"/>
  <c r="C96" i="6"/>
  <c r="E95" i="6"/>
  <c r="C95" i="6"/>
  <c r="E94" i="6"/>
  <c r="C94" i="6"/>
  <c r="E93" i="6"/>
  <c r="C93" i="6"/>
  <c r="E92" i="6"/>
  <c r="C92" i="6"/>
  <c r="E91" i="6"/>
  <c r="C91" i="6"/>
  <c r="E90" i="6"/>
  <c r="C90" i="6"/>
  <c r="E89" i="6"/>
  <c r="C89" i="6"/>
  <c r="E88" i="6"/>
  <c r="C88" i="6"/>
  <c r="E87" i="6"/>
  <c r="C87" i="6"/>
  <c r="E86" i="6"/>
  <c r="C86" i="6"/>
  <c r="E85" i="6"/>
  <c r="C85" i="6"/>
  <c r="E84" i="6"/>
  <c r="E83" i="6"/>
  <c r="C83" i="6"/>
  <c r="E82" i="6"/>
  <c r="C82" i="6"/>
  <c r="E81" i="6"/>
  <c r="C81" i="6"/>
  <c r="E80" i="6"/>
  <c r="C80" i="6"/>
  <c r="E79" i="6"/>
  <c r="C79" i="6"/>
  <c r="E78" i="6"/>
  <c r="C78" i="6"/>
  <c r="E77" i="6"/>
  <c r="C77" i="6"/>
  <c r="E76" i="6"/>
  <c r="C76" i="6"/>
  <c r="E75" i="6"/>
  <c r="C75" i="6"/>
  <c r="E74" i="6"/>
  <c r="C74" i="6"/>
  <c r="E73" i="6"/>
  <c r="C73" i="6"/>
  <c r="E72" i="6"/>
  <c r="C72" i="6"/>
  <c r="E71" i="6"/>
  <c r="C71" i="6"/>
  <c r="E70" i="6"/>
  <c r="C70" i="6"/>
  <c r="E69" i="6"/>
  <c r="C69" i="6"/>
  <c r="E68" i="6"/>
  <c r="C68" i="6"/>
  <c r="E67" i="6"/>
  <c r="C67" i="6"/>
  <c r="E66" i="6"/>
  <c r="E65" i="6"/>
  <c r="C65" i="6"/>
  <c r="E64" i="6"/>
  <c r="C64" i="6"/>
  <c r="E63" i="6"/>
  <c r="C63" i="6"/>
  <c r="E62" i="6"/>
  <c r="C62" i="6"/>
  <c r="E61" i="6"/>
  <c r="C61" i="6"/>
  <c r="E60" i="6"/>
  <c r="E59" i="6"/>
  <c r="C59" i="6"/>
  <c r="E58" i="6"/>
  <c r="C58" i="6"/>
  <c r="E57" i="6"/>
  <c r="C57" i="6"/>
  <c r="E56" i="6"/>
  <c r="C56" i="6"/>
  <c r="E55" i="6"/>
  <c r="C55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3" i="6"/>
  <c r="C23" i="6"/>
  <c r="E22" i="6"/>
  <c r="C22" i="6"/>
  <c r="E21" i="6"/>
  <c r="C21" i="6"/>
  <c r="E20" i="6"/>
  <c r="C20" i="6"/>
  <c r="E19" i="6"/>
  <c r="C19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E121" i="5"/>
  <c r="C121" i="5"/>
  <c r="E119" i="5"/>
  <c r="C119" i="5"/>
  <c r="E118" i="5"/>
  <c r="C118" i="5"/>
  <c r="E117" i="5"/>
  <c r="C117" i="5"/>
  <c r="E116" i="5"/>
  <c r="C116" i="5"/>
  <c r="E115" i="5"/>
  <c r="C115" i="5"/>
  <c r="E113" i="5"/>
  <c r="C113" i="5"/>
  <c r="E112" i="5"/>
  <c r="C112" i="5"/>
  <c r="E111" i="5"/>
  <c r="C111" i="5"/>
  <c r="E110" i="5"/>
  <c r="C110" i="5"/>
  <c r="E109" i="5"/>
  <c r="C109" i="5"/>
  <c r="E108" i="5"/>
  <c r="E107" i="5"/>
  <c r="C107" i="5"/>
  <c r="E106" i="5"/>
  <c r="C106" i="5"/>
  <c r="E105" i="5"/>
  <c r="C105" i="5"/>
  <c r="E104" i="5"/>
  <c r="C104" i="5"/>
  <c r="E103" i="5"/>
  <c r="C103" i="5"/>
  <c r="E102" i="5"/>
  <c r="C102" i="5"/>
  <c r="E101" i="5"/>
  <c r="C101" i="5"/>
  <c r="E100" i="5"/>
  <c r="C100" i="5"/>
  <c r="E99" i="5"/>
  <c r="C99" i="5"/>
  <c r="E98" i="5"/>
  <c r="C98" i="5"/>
  <c r="E97" i="5"/>
  <c r="C97" i="5"/>
  <c r="E95" i="5"/>
  <c r="C95" i="5"/>
  <c r="E94" i="5"/>
  <c r="C94" i="5"/>
  <c r="E93" i="5"/>
  <c r="C93" i="5"/>
  <c r="E92" i="5"/>
  <c r="C92" i="5"/>
  <c r="E91" i="5"/>
  <c r="C91" i="5"/>
  <c r="E89" i="5"/>
  <c r="C89" i="5"/>
  <c r="E88" i="5"/>
  <c r="C88" i="5"/>
  <c r="E87" i="5"/>
  <c r="C87" i="5"/>
  <c r="E86" i="5"/>
  <c r="C86" i="5"/>
  <c r="E85" i="5"/>
  <c r="C85" i="5"/>
  <c r="E84" i="5"/>
  <c r="E83" i="5"/>
  <c r="C83" i="5"/>
  <c r="E82" i="5"/>
  <c r="C82" i="5"/>
  <c r="E81" i="5"/>
  <c r="C81" i="5"/>
  <c r="E80" i="5"/>
  <c r="C80" i="5"/>
  <c r="E79" i="5"/>
  <c r="C79" i="5"/>
  <c r="E78" i="5"/>
  <c r="E77" i="5"/>
  <c r="C77" i="5"/>
  <c r="E76" i="5"/>
  <c r="C76" i="5"/>
  <c r="E75" i="5"/>
  <c r="C75" i="5"/>
  <c r="E74" i="5"/>
  <c r="C74" i="5"/>
  <c r="E73" i="5"/>
  <c r="C73" i="5"/>
  <c r="E72" i="5"/>
  <c r="C72" i="5"/>
  <c r="E71" i="5"/>
  <c r="C71" i="5"/>
  <c r="E70" i="5"/>
  <c r="C70" i="5"/>
  <c r="E69" i="5"/>
  <c r="C69" i="5"/>
  <c r="E68" i="5"/>
  <c r="C68" i="5"/>
  <c r="E67" i="5"/>
  <c r="C67" i="5"/>
  <c r="E66" i="5"/>
  <c r="E65" i="5"/>
  <c r="C65" i="5"/>
  <c r="E64" i="5"/>
  <c r="C64" i="5"/>
  <c r="E63" i="5"/>
  <c r="C63" i="5"/>
  <c r="E62" i="5"/>
  <c r="C62" i="5"/>
  <c r="E61" i="5"/>
  <c r="C61" i="5"/>
  <c r="E60" i="5"/>
  <c r="C60" i="5"/>
  <c r="E59" i="5"/>
  <c r="C59" i="5"/>
  <c r="E58" i="5"/>
  <c r="C58" i="5"/>
  <c r="E57" i="5"/>
  <c r="C57" i="5"/>
  <c r="E56" i="5"/>
  <c r="C56" i="5"/>
  <c r="E55" i="5"/>
  <c r="C55" i="5"/>
  <c r="E53" i="5"/>
  <c r="C53" i="5"/>
  <c r="E52" i="5"/>
  <c r="C52" i="5"/>
  <c r="E51" i="5"/>
  <c r="C51" i="5"/>
  <c r="E50" i="5"/>
  <c r="C50" i="5"/>
  <c r="E49" i="5"/>
  <c r="C49" i="5"/>
  <c r="E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E17" i="5"/>
  <c r="C17" i="5"/>
  <c r="E16" i="5"/>
  <c r="C16" i="5"/>
  <c r="E15" i="5"/>
  <c r="C15" i="5"/>
  <c r="E14" i="5"/>
  <c r="C14" i="5"/>
  <c r="E13" i="5"/>
  <c r="C13" i="5"/>
  <c r="E12" i="5"/>
  <c r="C12" i="5"/>
  <c r="E11" i="5"/>
  <c r="C11" i="5"/>
  <c r="E10" i="5"/>
  <c r="C10" i="5"/>
  <c r="E9" i="5"/>
  <c r="C9" i="5"/>
  <c r="E8" i="5"/>
  <c r="C8" i="5"/>
  <c r="E7" i="5"/>
  <c r="C7" i="5"/>
  <c r="E6" i="5"/>
  <c r="C6" i="5"/>
  <c r="E5" i="5"/>
  <c r="C5" i="5"/>
  <c r="E4" i="5"/>
  <c r="C4" i="5"/>
  <c r="E3" i="5"/>
  <c r="C3" i="5"/>
  <c r="E2" i="5"/>
  <c r="C2" i="5"/>
  <c r="E121" i="4"/>
  <c r="C121" i="4"/>
  <c r="E120" i="4"/>
  <c r="C120" i="4"/>
  <c r="E119" i="4"/>
  <c r="C119" i="4"/>
  <c r="E118" i="4"/>
  <c r="C118" i="4"/>
  <c r="E117" i="4"/>
  <c r="C117" i="4"/>
  <c r="E116" i="4"/>
  <c r="C116" i="4"/>
  <c r="E115" i="4"/>
  <c r="C115" i="4"/>
  <c r="E113" i="4"/>
  <c r="C113" i="4"/>
  <c r="E112" i="4"/>
  <c r="C112" i="4"/>
  <c r="E111" i="4"/>
  <c r="C111" i="4"/>
  <c r="E110" i="4"/>
  <c r="C110" i="4"/>
  <c r="E109" i="4"/>
  <c r="C109" i="4"/>
  <c r="E107" i="4"/>
  <c r="C107" i="4"/>
  <c r="E106" i="4"/>
  <c r="C106" i="4"/>
  <c r="E105" i="4"/>
  <c r="C105" i="4"/>
  <c r="E104" i="4"/>
  <c r="C104" i="4"/>
  <c r="E103" i="4"/>
  <c r="C103" i="4"/>
  <c r="E102" i="4"/>
  <c r="C102" i="4"/>
  <c r="E101" i="4"/>
  <c r="C101" i="4"/>
  <c r="E100" i="4"/>
  <c r="C100" i="4"/>
  <c r="E99" i="4"/>
  <c r="C99" i="4"/>
  <c r="E98" i="4"/>
  <c r="C98" i="4"/>
  <c r="E97" i="4"/>
  <c r="C97" i="4"/>
  <c r="E96" i="4"/>
  <c r="C96" i="4"/>
  <c r="E95" i="4"/>
  <c r="C95" i="4"/>
  <c r="E94" i="4"/>
  <c r="C94" i="4"/>
  <c r="E93" i="4"/>
  <c r="C93" i="4"/>
  <c r="E92" i="4"/>
  <c r="C92" i="4"/>
  <c r="E91" i="4"/>
  <c r="C91" i="4"/>
  <c r="E90" i="4"/>
  <c r="C90" i="4"/>
  <c r="E89" i="4"/>
  <c r="C89" i="4"/>
  <c r="E88" i="4"/>
  <c r="C88" i="4"/>
  <c r="E87" i="4"/>
  <c r="C87" i="4"/>
  <c r="E86" i="4"/>
  <c r="C86" i="4"/>
  <c r="E85" i="4"/>
  <c r="C85" i="4"/>
  <c r="E83" i="4"/>
  <c r="C83" i="4"/>
  <c r="E82" i="4"/>
  <c r="C82" i="4"/>
  <c r="E81" i="4"/>
  <c r="C81" i="4"/>
  <c r="E80" i="4"/>
  <c r="C80" i="4"/>
  <c r="E79" i="4"/>
  <c r="C79" i="4"/>
  <c r="E77" i="4"/>
  <c r="C77" i="4"/>
  <c r="E76" i="4"/>
  <c r="C76" i="4"/>
  <c r="E75" i="4"/>
  <c r="C75" i="4"/>
  <c r="E74" i="4"/>
  <c r="C74" i="4"/>
  <c r="E73" i="4"/>
  <c r="C73" i="4"/>
  <c r="E71" i="4"/>
  <c r="C71" i="4"/>
  <c r="E70" i="4"/>
  <c r="C70" i="4"/>
  <c r="E69" i="4"/>
  <c r="C69" i="4"/>
  <c r="E68" i="4"/>
  <c r="C68" i="4"/>
  <c r="E67" i="4"/>
  <c r="C67" i="4"/>
  <c r="E66" i="4"/>
  <c r="E65" i="4"/>
  <c r="C65" i="4"/>
  <c r="E64" i="4"/>
  <c r="C64" i="4"/>
  <c r="E63" i="4"/>
  <c r="C63" i="4"/>
  <c r="E62" i="4"/>
  <c r="C62" i="4"/>
  <c r="E61" i="4"/>
  <c r="C61" i="4"/>
  <c r="E60" i="4"/>
  <c r="E59" i="4"/>
  <c r="C59" i="4"/>
  <c r="E58" i="4"/>
  <c r="C58" i="4"/>
  <c r="E57" i="4"/>
  <c r="C57" i="4"/>
  <c r="E56" i="4"/>
  <c r="C56" i="4"/>
  <c r="E55" i="4"/>
  <c r="C55" i="4"/>
  <c r="E53" i="4"/>
  <c r="C53" i="4"/>
  <c r="E52" i="4"/>
  <c r="C52" i="4"/>
  <c r="E51" i="4"/>
  <c r="C51" i="4"/>
  <c r="E50" i="4"/>
  <c r="C50" i="4"/>
  <c r="E49" i="4"/>
  <c r="C49" i="4"/>
  <c r="E48" i="4"/>
  <c r="E47" i="4"/>
  <c r="C47" i="4"/>
  <c r="E46" i="4"/>
  <c r="C46" i="4"/>
  <c r="E45" i="4"/>
  <c r="C45" i="4"/>
  <c r="E44" i="4"/>
  <c r="C44" i="4"/>
  <c r="E43" i="4"/>
  <c r="C43" i="4"/>
  <c r="E42" i="4"/>
  <c r="E41" i="4"/>
  <c r="C41" i="4"/>
  <c r="E40" i="4"/>
  <c r="C40" i="4"/>
  <c r="E39" i="4"/>
  <c r="C39" i="4"/>
  <c r="E38" i="4"/>
  <c r="C38" i="4"/>
  <c r="E37" i="4"/>
  <c r="C37" i="4"/>
  <c r="E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5" i="4"/>
  <c r="C5" i="4"/>
  <c r="E4" i="4"/>
  <c r="C4" i="4"/>
  <c r="E3" i="4"/>
  <c r="C3" i="4"/>
  <c r="E2" i="4"/>
  <c r="C2" i="4"/>
  <c r="E121" i="3"/>
  <c r="C121" i="3"/>
  <c r="E120" i="3"/>
  <c r="C120" i="3"/>
  <c r="E119" i="3"/>
  <c r="C119" i="3"/>
  <c r="E118" i="3"/>
  <c r="C118" i="3"/>
  <c r="E117" i="3"/>
  <c r="C117" i="3"/>
  <c r="E116" i="3"/>
  <c r="C116" i="3"/>
  <c r="E115" i="3"/>
  <c r="C115" i="3"/>
  <c r="E114" i="3"/>
  <c r="C114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E100" i="3"/>
  <c r="C100" i="3"/>
  <c r="E99" i="3"/>
  <c r="C99" i="3"/>
  <c r="E98" i="3"/>
  <c r="C98" i="3"/>
  <c r="E97" i="3"/>
  <c r="C97" i="3"/>
  <c r="E95" i="3"/>
  <c r="C95" i="3"/>
  <c r="E94" i="3"/>
  <c r="C94" i="3"/>
  <c r="E93" i="3"/>
  <c r="C93" i="3"/>
  <c r="E92" i="3"/>
  <c r="C92" i="3"/>
  <c r="E91" i="3"/>
  <c r="C91" i="3"/>
  <c r="E89" i="3"/>
  <c r="C89" i="3"/>
  <c r="E88" i="3"/>
  <c r="C88" i="3"/>
  <c r="E87" i="3"/>
  <c r="C87" i="3"/>
  <c r="E86" i="3"/>
  <c r="C86" i="3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5" i="3"/>
  <c r="C65" i="3"/>
  <c r="E64" i="3"/>
  <c r="C64" i="3"/>
  <c r="E63" i="3"/>
  <c r="C63" i="3"/>
  <c r="E62" i="3"/>
  <c r="C62" i="3"/>
  <c r="E61" i="3"/>
  <c r="C61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7" i="3"/>
  <c r="C17" i="3"/>
  <c r="E16" i="3"/>
  <c r="C16" i="3"/>
  <c r="E15" i="3"/>
  <c r="C15" i="3"/>
  <c r="E14" i="3"/>
  <c r="C14" i="3"/>
  <c r="E13" i="3"/>
  <c r="C13" i="3"/>
  <c r="E11" i="3"/>
  <c r="C11" i="3"/>
  <c r="E10" i="3"/>
  <c r="C10" i="3"/>
  <c r="E9" i="3"/>
  <c r="C9" i="3"/>
  <c r="E8" i="3"/>
  <c r="C8" i="3"/>
  <c r="E7" i="3"/>
  <c r="C7" i="3"/>
  <c r="E5" i="3"/>
  <c r="C5" i="3"/>
  <c r="E4" i="3"/>
  <c r="C4" i="3"/>
  <c r="E3" i="3"/>
  <c r="C3" i="3"/>
  <c r="E2" i="3"/>
  <c r="C2" i="3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5" i="1"/>
  <c r="C5" i="1"/>
  <c r="E4" i="1"/>
  <c r="C4" i="1"/>
  <c r="E3" i="1"/>
  <c r="C3" i="1"/>
  <c r="E2" i="1"/>
  <c r="C2" i="1"/>
  <c r="E121" i="2"/>
  <c r="C121" i="2"/>
  <c r="E120" i="2"/>
  <c r="C120" i="2"/>
  <c r="E119" i="2"/>
  <c r="C119" i="2"/>
  <c r="E118" i="2"/>
  <c r="C118" i="2"/>
  <c r="E117" i="2"/>
  <c r="C117" i="2"/>
  <c r="E116" i="2"/>
  <c r="C116" i="2"/>
  <c r="E115" i="2"/>
  <c r="C115" i="2"/>
  <c r="E113" i="2"/>
  <c r="C113" i="2"/>
  <c r="E112" i="2"/>
  <c r="C112" i="2"/>
  <c r="E111" i="2"/>
  <c r="C111" i="2"/>
  <c r="E110" i="2"/>
  <c r="C110" i="2"/>
  <c r="E109" i="2"/>
  <c r="C109" i="2"/>
  <c r="E108" i="2"/>
  <c r="C108" i="2"/>
  <c r="E107" i="2"/>
  <c r="C107" i="2"/>
  <c r="E106" i="2"/>
  <c r="C106" i="2"/>
  <c r="E105" i="2"/>
  <c r="C105" i="2"/>
  <c r="E104" i="2"/>
  <c r="C104" i="2"/>
  <c r="E103" i="2"/>
  <c r="C103" i="2"/>
  <c r="E102" i="2"/>
  <c r="C102" i="2"/>
  <c r="E101" i="2"/>
  <c r="C101" i="2"/>
  <c r="E100" i="2"/>
  <c r="C100" i="2"/>
  <c r="E99" i="2"/>
  <c r="C99" i="2"/>
  <c r="E98" i="2"/>
  <c r="C98" i="2"/>
  <c r="E97" i="2"/>
  <c r="C97" i="2"/>
  <c r="E96" i="2"/>
  <c r="C96" i="2"/>
  <c r="E95" i="2"/>
  <c r="C95" i="2"/>
  <c r="E94" i="2"/>
  <c r="C94" i="2"/>
  <c r="E93" i="2"/>
  <c r="C93" i="2"/>
  <c r="E92" i="2"/>
  <c r="C92" i="2"/>
  <c r="E91" i="2"/>
  <c r="C91" i="2"/>
  <c r="E90" i="2"/>
  <c r="C90" i="2"/>
  <c r="E89" i="2"/>
  <c r="C89" i="2"/>
  <c r="E88" i="2"/>
  <c r="C88" i="2"/>
  <c r="E87" i="2"/>
  <c r="C87" i="2"/>
  <c r="E86" i="2"/>
  <c r="C86" i="2"/>
  <c r="E85" i="2"/>
  <c r="C85" i="2"/>
  <c r="E83" i="2"/>
  <c r="C83" i="2"/>
  <c r="E82" i="2"/>
  <c r="C82" i="2"/>
  <c r="E81" i="2"/>
  <c r="C81" i="2"/>
  <c r="E80" i="2"/>
  <c r="C80" i="2"/>
  <c r="E79" i="2"/>
  <c r="C79" i="2"/>
  <c r="E77" i="2"/>
  <c r="C77" i="2"/>
  <c r="E76" i="2"/>
  <c r="C76" i="2"/>
  <c r="E75" i="2"/>
  <c r="C75" i="2"/>
  <c r="E74" i="2"/>
  <c r="C74" i="2"/>
  <c r="E73" i="2"/>
  <c r="C73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59" i="2"/>
  <c r="C59" i="2"/>
  <c r="E58" i="2"/>
  <c r="C58" i="2"/>
  <c r="E57" i="2"/>
  <c r="C57" i="2"/>
  <c r="E56" i="2"/>
  <c r="C56" i="2"/>
  <c r="E55" i="2"/>
  <c r="C55" i="2"/>
  <c r="E53" i="2"/>
  <c r="C53" i="2"/>
  <c r="E52" i="2"/>
  <c r="C52" i="2"/>
  <c r="E51" i="2"/>
  <c r="C51" i="2"/>
  <c r="E50" i="2"/>
  <c r="C50" i="2"/>
  <c r="E49" i="2"/>
  <c r="C49" i="2"/>
  <c r="E47" i="2"/>
  <c r="C47" i="2"/>
  <c r="E46" i="2"/>
  <c r="C46" i="2"/>
  <c r="E45" i="2"/>
  <c r="C45" i="2"/>
  <c r="E44" i="2"/>
  <c r="C44" i="2"/>
  <c r="E43" i="2"/>
  <c r="C43" i="2"/>
  <c r="E41" i="2"/>
  <c r="C41" i="2"/>
  <c r="E40" i="2"/>
  <c r="C40" i="2"/>
  <c r="E39" i="2"/>
  <c r="C39" i="2"/>
  <c r="E38" i="2"/>
  <c r="C38" i="2"/>
  <c r="E37" i="2"/>
  <c r="C37" i="2"/>
  <c r="E35" i="2"/>
  <c r="C35" i="2"/>
  <c r="E34" i="2"/>
  <c r="C34" i="2"/>
  <c r="E33" i="2"/>
  <c r="C33" i="2"/>
  <c r="E32" i="2"/>
  <c r="C32" i="2"/>
  <c r="E31" i="2"/>
  <c r="C31" i="2"/>
  <c r="E29" i="2"/>
  <c r="C29" i="2"/>
  <c r="E28" i="2"/>
  <c r="C28" i="2"/>
  <c r="E27" i="2"/>
  <c r="C27" i="2"/>
  <c r="E26" i="2"/>
  <c r="C26" i="2"/>
  <c r="E25" i="2"/>
  <c r="C25" i="2"/>
  <c r="E23" i="2"/>
  <c r="C23" i="2"/>
  <c r="E22" i="2"/>
  <c r="C22" i="2"/>
  <c r="E21" i="2"/>
  <c r="C21" i="2"/>
  <c r="E20" i="2"/>
  <c r="C20" i="2"/>
  <c r="E19" i="2"/>
  <c r="C19" i="2"/>
  <c r="E17" i="2"/>
  <c r="C17" i="2"/>
  <c r="E16" i="2"/>
  <c r="C16" i="2"/>
  <c r="E15" i="2"/>
  <c r="C15" i="2"/>
  <c r="E14" i="2"/>
  <c r="C14" i="2"/>
  <c r="E13" i="2"/>
  <c r="C13" i="2"/>
  <c r="E11" i="2"/>
  <c r="C11" i="2"/>
  <c r="E10" i="2"/>
  <c r="C10" i="2"/>
  <c r="E9" i="2"/>
  <c r="C9" i="2"/>
  <c r="E8" i="2"/>
  <c r="C8" i="2"/>
  <c r="E7" i="2"/>
  <c r="C7" i="2"/>
  <c r="E5" i="2"/>
  <c r="C5" i="2"/>
  <c r="E4" i="2"/>
  <c r="C4" i="2"/>
  <c r="E3" i="2"/>
  <c r="C3" i="2"/>
  <c r="E2" i="2"/>
  <c r="C2" i="2"/>
  <c r="M3" i="10" l="1"/>
  <c r="M2" i="10"/>
  <c r="M4" i="10" s="1"/>
  <c r="N3" i="10"/>
  <c r="N2" i="10"/>
  <c r="N4" i="10" s="1"/>
  <c r="O3" i="10"/>
  <c r="O2" i="10"/>
  <c r="O4" i="10" s="1"/>
  <c r="P3" i="10"/>
  <c r="P2" i="10"/>
  <c r="P4" i="10" s="1"/>
  <c r="Q3" i="10"/>
  <c r="Q2" i="10"/>
  <c r="Q4" i="10" s="1"/>
  <c r="R3" i="10"/>
  <c r="R2" i="10"/>
  <c r="R4" i="10" s="1"/>
  <c r="S3" i="10"/>
  <c r="S2" i="10"/>
  <c r="S4" i="10" s="1"/>
  <c r="T3" i="10"/>
  <c r="T2" i="10"/>
  <c r="T4" i="10" s="1"/>
  <c r="B43" i="10"/>
  <c r="B6" i="10"/>
  <c r="M5" i="10" s="1"/>
  <c r="N5" i="10" s="1"/>
  <c r="O5" i="10" s="1"/>
  <c r="P5" i="10" s="1"/>
  <c r="Q5" i="10" s="1"/>
  <c r="R5" i="10" s="1"/>
  <c r="S5" i="10" s="1"/>
  <c r="T5" i="10" s="1"/>
  <c r="G6" i="10"/>
  <c r="B16" i="10"/>
  <c r="G16" i="10"/>
  <c r="B26" i="10"/>
  <c r="G26" i="10"/>
  <c r="B36" i="10"/>
  <c r="G36" i="10"/>
  <c r="T6" i="10" l="1"/>
  <c r="S6" i="10"/>
  <c r="R6" i="10"/>
  <c r="Q6" i="10"/>
  <c r="P6" i="10"/>
  <c r="O6" i="10"/>
  <c r="N6" i="10"/>
  <c r="M6" i="10"/>
  <c r="G38" i="10"/>
  <c r="G37" i="10"/>
  <c r="G39" i="10" s="1"/>
  <c r="B38" i="10"/>
  <c r="B37" i="10"/>
  <c r="B39" i="10" s="1"/>
  <c r="G28" i="10"/>
  <c r="G27" i="10"/>
  <c r="G29" i="10" s="1"/>
  <c r="B28" i="10"/>
  <c r="B27" i="10"/>
  <c r="B29" i="10" s="1"/>
  <c r="G18" i="10"/>
  <c r="G17" i="10"/>
  <c r="G19" i="10" s="1"/>
  <c r="B18" i="10"/>
  <c r="B17" i="10"/>
  <c r="B19" i="10" s="1"/>
  <c r="G8" i="10"/>
  <c r="G7" i="10"/>
  <c r="G9" i="10" s="1"/>
  <c r="B8" i="10"/>
  <c r="B7" i="10"/>
  <c r="B9" i="10" s="1"/>
  <c r="B46" i="10"/>
  <c r="B48" i="10" l="1"/>
  <c r="B47" i="10"/>
  <c r="B49" i="10" s="1"/>
</calcChain>
</file>

<file path=xl/sharedStrings.xml><?xml version="1.0" encoding="utf-8"?>
<sst xmlns="http://schemas.openxmlformats.org/spreadsheetml/2006/main" count="2393" uniqueCount="568">
  <si>
    <t>foaf.xml</t>
  </si>
  <si>
    <t>foaf_names.xml</t>
  </si>
  <si>
    <t>natural.txt</t>
  </si>
  <si>
    <t>natural.json</t>
  </si>
  <si>
    <t>foaf.rdf</t>
  </si>
  <si>
    <t>foaf_names.rdf</t>
  </si>
  <si>
    <t>foaf.json</t>
  </si>
  <si>
    <t>foaf_names.json</t>
  </si>
  <si>
    <t>half true</t>
  </si>
  <si>
    <t>dominik</t>
  </si>
  <si>
    <t>sven</t>
  </si>
  <si>
    <t>sum</t>
  </si>
  <si>
    <t>total_data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</si>
  <si>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</si>
  <si>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</si>
  <si>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</si>
  <si>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</si>
  <si>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</si>
  <si>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</si>
  <si>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</si>
  <si>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</si>
  <si>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</si>
  <si>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</si>
  <si>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</si>
  <si>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Saša</t>
  </si>
  <si>
    <t>What is Saša Škrtić's last name?</t>
  </si>
  <si>
    <t>Škrtić</t>
  </si>
  <si>
    <t>What is Saša Škrtić's age?</t>
  </si>
  <si>
    <t>44</t>
  </si>
  <si>
    <t>What is Saša Škrtić's gender?</t>
  </si>
  <si>
    <t>MALE</t>
  </si>
  <si>
    <t>List all Saša Škrtić's friends.</t>
  </si>
  <si>
    <t>3, 9, 11, 14</t>
  </si>
  <si>
    <t>correct numbers, but not the right format</t>
  </si>
  <si>
    <t>How many friends does Saša Škrtić have?</t>
  </si>
  <si>
    <t>6</t>
  </si>
  <si>
    <t>What is Duje Ravlić's first name?</t>
  </si>
  <si>
    <t>Duje</t>
  </si>
  <si>
    <t>What is Duje Ravlić's last name?</t>
  </si>
  <si>
    <t>Ravlić</t>
  </si>
  <si>
    <t>What is Duje Ravlić's age?</t>
  </si>
  <si>
    <t>18</t>
  </si>
  <si>
    <t>What is Duje Ravlić's gender?</t>
  </si>
  <si>
    <t>List all Duje Ravlić's friends.</t>
  </si>
  <si>
    <t>1. Duje Ravlić's friends are</t>
  </si>
  <si>
    <t>How many friends does Duje Ravlić have?</t>
  </si>
  <si>
    <t>Duje Ravlić has 8 friends.</t>
  </si>
  <si>
    <t>What is Eduard Tutić's first name?</t>
  </si>
  <si>
    <t>Eduard</t>
  </si>
  <si>
    <t>What is Eduard Tutić's last name?</t>
  </si>
  <si>
    <t>Tutić.</t>
  </si>
  <si>
    <t>What is Eduard Tutić's age?</t>
  </si>
  <si>
    <t>17</t>
  </si>
  <si>
    <t>What is Eduard Tutić's gender?</t>
  </si>
  <si>
    <t>MALE.</t>
  </si>
  <si>
    <t>List all Eduard Tutić's friends.</t>
  </si>
  <si>
    <t>1. Duje Ravlić
2.</t>
  </si>
  <si>
    <t>a bit conflicted with this number of friends</t>
  </si>
  <si>
    <t>How many friends does Eduard Tutić have?</t>
  </si>
  <si>
    <t>Eduard Tutić has 13 friends</t>
  </si>
  <si>
    <t>What is Zoran Goreta's first name?</t>
  </si>
  <si>
    <t>Zoran</t>
  </si>
  <si>
    <t>What is Zoran Goreta's last name?</t>
  </si>
  <si>
    <t>Goreta.</t>
  </si>
  <si>
    <t>What is Zoran Goreta's age?</t>
  </si>
  <si>
    <t>66</t>
  </si>
  <si>
    <t>What is Zoran Goreta's gender?</t>
  </si>
  <si>
    <t>List all Zoran Goreta's friends.</t>
  </si>
  <si>
    <t>Zoran Goreta's friends:
- Human #</t>
  </si>
  <si>
    <t>How many friends does Zoran Goreta have?</t>
  </si>
  <si>
    <t>What is Ivo Čelina's first name?</t>
  </si>
  <si>
    <t>Ivo</t>
  </si>
  <si>
    <t>What is Ivo Čelina's last name?</t>
  </si>
  <si>
    <t>Čelina</t>
  </si>
  <si>
    <t>What is Ivo Čelina's age?</t>
  </si>
  <si>
    <t>65</t>
  </si>
  <si>
    <t>What is Ivo Čelina's gender?</t>
  </si>
  <si>
    <t>List all Ivo Čelina's friends.</t>
  </si>
  <si>
    <t>Human id "4" (Ivo Čel</t>
  </si>
  <si>
    <t>How many friends does Ivo Čelina have?</t>
  </si>
  <si>
    <t>What is Gordan Lucić's first name?</t>
  </si>
  <si>
    <t>Gordan</t>
  </si>
  <si>
    <t>What is Gordan Lucić's last name?</t>
  </si>
  <si>
    <t>Lucić.</t>
  </si>
  <si>
    <t>What is Gordan Lucić's age?</t>
  </si>
  <si>
    <t>27</t>
  </si>
  <si>
    <t>What is Gordan Lucić's gender?</t>
  </si>
  <si>
    <t>List all Gordan Lucić's friends.</t>
  </si>
  <si>
    <t xml:space="preserve">1. Duje Ravlić (#1)
</t>
  </si>
  <si>
    <t>How many friends does Gordan Lucić have?</t>
  </si>
  <si>
    <t>Gordan Lucić has 8 friends.</t>
  </si>
  <si>
    <t>What is Ljubomir Jurišić's first name?</t>
  </si>
  <si>
    <t>Ljubomir.</t>
  </si>
  <si>
    <t>What is Ljubomir Jurišić's last name?</t>
  </si>
  <si>
    <t>Jurišić</t>
  </si>
  <si>
    <t>What is Ljubomir Jurišić's age?</t>
  </si>
  <si>
    <t>What is Ljubomir Jurišić's gender?</t>
  </si>
  <si>
    <t>List all Ljubomir Jurišić's friends.</t>
  </si>
  <si>
    <t>Ljubomir Jurišić's</t>
  </si>
  <si>
    <t>How many friends does Ljubomir Jurišić have?</t>
  </si>
  <si>
    <t>What is Vladimir Svalina's first name?</t>
  </si>
  <si>
    <t>Vladimir</t>
  </si>
  <si>
    <t>What is Vladimir Svalina's last name?</t>
  </si>
  <si>
    <t>Svalina</t>
  </si>
  <si>
    <t>What is Vladimir Svalina's age?</t>
  </si>
  <si>
    <t>What is Vladimir Svalina's gender?</t>
  </si>
  <si>
    <t>List all Vladimir Svalina's friends.</t>
  </si>
  <si>
    <t>1, 3, 5, 2</t>
  </si>
  <si>
    <t>How many friends does Vladimir Svalina have?</t>
  </si>
  <si>
    <t>Vladimir Svalina has 7 friends</t>
  </si>
  <si>
    <t>What is Tomislav Šoštarić's first name?</t>
  </si>
  <si>
    <t>Tomislav.</t>
  </si>
  <si>
    <t>What is Tomislav Šoštarić's last name?</t>
  </si>
  <si>
    <t>Šoštarić</t>
  </si>
  <si>
    <t>What is Tomislav Šoštarić's age?</t>
  </si>
  <si>
    <t>31</t>
  </si>
  <si>
    <t>What is Tomislav Šoštarić's gender?</t>
  </si>
  <si>
    <t>List all Tomislav Šoštarić's friends.</t>
  </si>
  <si>
    <t>Human id="8" has friends:
- Human</t>
  </si>
  <si>
    <t>How many friends does Tomislav Šoštarić have?</t>
  </si>
  <si>
    <t>2</t>
  </si>
  <si>
    <t>What is Nikola Prelošnjak's first name?</t>
  </si>
  <si>
    <t>Nikola</t>
  </si>
  <si>
    <t>What is Nikola Prelošnjak's last name?</t>
  </si>
  <si>
    <t>Prelošnjak</t>
  </si>
  <si>
    <t>What is Nikola Prelošnjak's age?</t>
  </si>
  <si>
    <t>What is Nikola Prelošnjak's gender?</t>
  </si>
  <si>
    <t>List all Nikola Prelošnjak's friends.</t>
  </si>
  <si>
    <t>Human id "9". 
1. Human id</t>
  </si>
  <si>
    <t>How many friends does Nikola Prelošnjak have?</t>
  </si>
  <si>
    <t>5</t>
  </si>
  <si>
    <t>What is Jagoda Draženović's first name?</t>
  </si>
  <si>
    <t>Jagoda</t>
  </si>
  <si>
    <t>What is Jagoda Draženović's last name?</t>
  </si>
  <si>
    <t>Draženović</t>
  </si>
  <si>
    <t>What is Jagoda Draženović's age?</t>
  </si>
  <si>
    <t>25</t>
  </si>
  <si>
    <t>What is Jagoda Draženović's gender?</t>
  </si>
  <si>
    <t>FEMALE</t>
  </si>
  <si>
    <t>List all Jagoda Draženović's friends.</t>
  </si>
  <si>
    <t>2, 6, 8, 7</t>
  </si>
  <si>
    <t>How many friends does Jagoda Draženović have?</t>
  </si>
  <si>
    <t>Jagoda has 8 friends.</t>
  </si>
  <si>
    <t>What is Monika Rimac's first name?</t>
  </si>
  <si>
    <t>Monika</t>
  </si>
  <si>
    <t>What is Monika Rimac's last name?</t>
  </si>
  <si>
    <t>Rimac</t>
  </si>
  <si>
    <t>What is Monika Rimac's age?</t>
  </si>
  <si>
    <t>37</t>
  </si>
  <si>
    <t>What is Monika Rimac's gender?</t>
  </si>
  <si>
    <t>List all Monika Rimac's friends.</t>
  </si>
  <si>
    <t>1. Human id="0"
2. Human</t>
  </si>
  <si>
    <t>How many friends does Monika Rimac have?</t>
  </si>
  <si>
    <t>Monika Rimac has 5 friends.</t>
  </si>
  <si>
    <t>What is Mia Popić's first name?</t>
  </si>
  <si>
    <t>Mia</t>
  </si>
  <si>
    <t>What is Mia Popić's last name?</t>
  </si>
  <si>
    <t>Popić</t>
  </si>
  <si>
    <t>What is Mia Popić's age?</t>
  </si>
  <si>
    <t>9</t>
  </si>
  <si>
    <t>What is Mia Popić's gender?</t>
  </si>
  <si>
    <t>List all Mia Popić's friends.</t>
  </si>
  <si>
    <t>Mia Popić's friends are:
1.</t>
  </si>
  <si>
    <t>How many friends does Mia Popić have?</t>
  </si>
  <si>
    <t>What is Nada Sudar's first name?</t>
  </si>
  <si>
    <t>Nada's first name is not specified.</t>
  </si>
  <si>
    <t>This name in particular causes trouble often</t>
  </si>
  <si>
    <t>What is Nada Sudar's last name?</t>
  </si>
  <si>
    <t>Sudar</t>
  </si>
  <si>
    <t>What is Nada Sudar's age?</t>
  </si>
  <si>
    <t>56</t>
  </si>
  <si>
    <t>What is Nada Sudar's gender?</t>
  </si>
  <si>
    <t>List all Nada Sudar's friends.</t>
  </si>
  <si>
    <t xml:space="preserve">1. 11
2. 12
</t>
  </si>
  <si>
    <t>How many friends does Nada Sudar have?</t>
  </si>
  <si>
    <t>What is Mirjam Devčić's first name?</t>
  </si>
  <si>
    <t>Mirjam</t>
  </si>
  <si>
    <t>What is Mirjam Devčić's last name?</t>
  </si>
  <si>
    <t>Devčić</t>
  </si>
  <si>
    <t>What is Mirjam Devčić's age?</t>
  </si>
  <si>
    <t>What is Mirjam Devčić's gender?</t>
  </si>
  <si>
    <t>List all Mirjam Devčić's friends.</t>
  </si>
  <si>
    <t>Mirjam Devčić's friends:
1.</t>
  </si>
  <si>
    <t>How many friends does Mirjam Devčić have?</t>
  </si>
  <si>
    <t>8</t>
  </si>
  <si>
    <t>What is Lea Grubić's first name?</t>
  </si>
  <si>
    <t>Lea</t>
  </si>
  <si>
    <t>What is Lea Grubić's last name?</t>
  </si>
  <si>
    <t>Grubić</t>
  </si>
  <si>
    <t>What is Lea Grubić's age?</t>
  </si>
  <si>
    <t>What is Lea Grubić's gender?</t>
  </si>
  <si>
    <t>List all Lea Grubić's friends.</t>
  </si>
  <si>
    <t>&lt;friend ref="6"/&gt;
&lt;friend ref="</t>
  </si>
  <si>
    <t>this is a bit too far away from approved formatting</t>
  </si>
  <si>
    <t>How many friends does Lea Grubić have?</t>
  </si>
  <si>
    <t>Lea Grubić has 9 friends.</t>
  </si>
  <si>
    <t>What is Antonija Salinović's first name?</t>
  </si>
  <si>
    <t>Antonija</t>
  </si>
  <si>
    <t>What is Antonija Salinović's last name?</t>
  </si>
  <si>
    <t>Salinović.</t>
  </si>
  <si>
    <t>What is Antonija Salinović's age?</t>
  </si>
  <si>
    <t>39</t>
  </si>
  <si>
    <t>What is Antonija Salinović's gender?</t>
  </si>
  <si>
    <t>List all Antonija Salinović's friends.</t>
  </si>
  <si>
    <t>1. Human id="0"</t>
  </si>
  <si>
    <t>How many friends does Antonija Salinović have?</t>
  </si>
  <si>
    <t>What is Cvijeta Svetličić's first name?</t>
  </si>
  <si>
    <t>Cvijeta</t>
  </si>
  <si>
    <t>What is Cvijeta Svetličić's last name?</t>
  </si>
  <si>
    <t>Svetličić</t>
  </si>
  <si>
    <t>What is Cvijeta Svetličić's age?</t>
  </si>
  <si>
    <t>38</t>
  </si>
  <si>
    <t>What is Cvijeta Svetličić's gender?</t>
  </si>
  <si>
    <t>List all Cvijeta Svetličić's friends.</t>
  </si>
  <si>
    <t>Cvijeta Svetličić's friends</t>
  </si>
  <si>
    <t>How many friends does Cvijeta Svetličić have?</t>
  </si>
  <si>
    <t>What is Irena Jurilj's first name?</t>
  </si>
  <si>
    <t>Irena</t>
  </si>
  <si>
    <t>What is Irena Jurilj's last name?</t>
  </si>
  <si>
    <t>Jurilj</t>
  </si>
  <si>
    <t>What is Irena Jurilj's age?</t>
  </si>
  <si>
    <t>20</t>
  </si>
  <si>
    <t>What is Irena Jurilj's gender?</t>
  </si>
  <si>
    <t>List all Irena Jurilj's friends.</t>
  </si>
  <si>
    <t>4</t>
  </si>
  <si>
    <t>doesn't seem to have run out of tokens, just stopped</t>
  </si>
  <si>
    <t>How many friends does Irena Jurilj have?</t>
  </si>
  <si>
    <t>What is Stela Mišković's first name?</t>
  </si>
  <si>
    <t>Stela</t>
  </si>
  <si>
    <t>What is Stela Mišković's last name?</t>
  </si>
  <si>
    <t>Mišković</t>
  </si>
  <si>
    <t>What is Stela Mišković's age?</t>
  </si>
  <si>
    <t>54</t>
  </si>
  <si>
    <t>What is Stela Mišković's gender?</t>
  </si>
  <si>
    <t>List all Stela Mišković's friends.</t>
  </si>
  <si>
    <t>Irena Jurilj</t>
  </si>
  <si>
    <t>How many friends does Stela Mišković have?</t>
  </si>
  <si>
    <t>1. Nikola Prelošnjak
2</t>
  </si>
  <si>
    <t>1. Lea Grubić
2.</t>
  </si>
  <si>
    <t>11</t>
  </si>
  <si>
    <t>Tutić</t>
  </si>
  <si>
    <t>1. Jagoda Draženović
2</t>
  </si>
  <si>
    <t>19</t>
  </si>
  <si>
    <t>Goreta</t>
  </si>
  <si>
    <t xml:space="preserve">1. Cvijeta Svetličić
</t>
  </si>
  <si>
    <t>7</t>
  </si>
  <si>
    <t>Gordan.</t>
  </si>
  <si>
    <t>Lucić</t>
  </si>
  <si>
    <t>Gordan Lucić's friends:
1. Anton</t>
  </si>
  <si>
    <t>15</t>
  </si>
  <si>
    <t>Ljubomir</t>
  </si>
  <si>
    <t>Lea Grubić, Jagoda Dražen</t>
  </si>
  <si>
    <t>6 years.</t>
  </si>
  <si>
    <t>Tomislav</t>
  </si>
  <si>
    <t>Jagoda Draženović, Eduard</t>
  </si>
  <si>
    <t xml:space="preserve">1. Saša Škrtić
</t>
  </si>
  <si>
    <t xml:space="preserve">Jagoda Draženović's friends:
</t>
  </si>
  <si>
    <t>12</t>
  </si>
  <si>
    <t>Saša Škrtić
Lj</t>
  </si>
  <si>
    <t>Jagoda Draženović, Nada</t>
  </si>
  <si>
    <t>10</t>
  </si>
  <si>
    <t>There is no first name provided for Nada Sud</t>
  </si>
  <si>
    <t>1. Monika Rimac
2. Le</t>
  </si>
  <si>
    <t>Devčić.</t>
  </si>
  <si>
    <t>Mirjam Devčić's friends:
1.</t>
  </si>
  <si>
    <t>Grubić.</t>
  </si>
  <si>
    <t>Lea Grubić's friends:
1.</t>
  </si>
  <si>
    <t>Saša Škrtić, Gordan</t>
  </si>
  <si>
    <t>22</t>
  </si>
  <si>
    <t>Jagoda Draženović, Ivo</t>
  </si>
  <si>
    <t>3</t>
  </si>
  <si>
    <t>Stela.</t>
  </si>
  <si>
    <t>Lea Grubić, Gordan Lucić</t>
  </si>
  <si>
    <t>Saša Škrtić has 7</t>
  </si>
  <si>
    <t>2, 5, 7, 8</t>
  </si>
  <si>
    <t>13</t>
  </si>
  <si>
    <t xml:space="preserve">[1, 3, 5, </t>
  </si>
  <si>
    <t>Eduard has 27 friends.</t>
  </si>
  <si>
    <t>Zoran Goreta's friends: 
1,</t>
  </si>
  <si>
    <t>Zoran has 5 friends.</t>
  </si>
  <si>
    <t>["6", "9", "10", "</t>
  </si>
  <si>
    <t>Ivo has 6 friends.</t>
  </si>
  <si>
    <t>{"friend": "1"}, {"friend": "</t>
  </si>
  <si>
    <t>too far from wanted formatting</t>
  </si>
  <si>
    <t>["4","10","11","12","15</t>
  </si>
  <si>
    <t>Male.</t>
  </si>
  <si>
    <t>{
    "friend": "2",
    "</t>
  </si>
  <si>
    <t>0, 1, 4, 7</t>
  </si>
  <si>
    <t>["2", "6", "8", "</t>
  </si>
  <si>
    <t>Jagoda has 18 friends.</t>
  </si>
  <si>
    <t>[
{"friend": "0"},
{"friend":</t>
  </si>
  <si>
    <t>Monika Rimac has 4 friends.</t>
  </si>
  <si>
    <t>["10", "6", "5", "</t>
  </si>
  <si>
    <t>Mia Popić has 7 friends.</t>
  </si>
  <si>
    <t>Nada's first name is Nada.</t>
  </si>
  <si>
    <t xml:space="preserve">Nada Sudar's friends:
1. </t>
  </si>
  <si>
    <t>Nada Sudar has 17 friends.</t>
  </si>
  <si>
    <t>["11", "4", "0", "</t>
  </si>
  <si>
    <t>["1", "13", "12", "</t>
  </si>
  <si>
    <t>None, only "5" is listed as a</t>
  </si>
  <si>
    <t>{"friend": "0"}, {"friend": "</t>
  </si>
  <si>
    <t>{"friend": "10"}, {"friend": "</t>
  </si>
  <si>
    <t>None, data doesn't mention Stela Mišk</t>
  </si>
  <si>
    <t>[
  {"friend": "Nikola Pre</t>
  </si>
  <si>
    <t>Ravlić.</t>
  </si>
  <si>
    <t>Duje Ravlić's friends: 
1</t>
  </si>
  <si>
    <t>[
  {"friend": "Jagoda Dra</t>
  </si>
  <si>
    <t>Zoran Goreta's friends: 
1.</t>
  </si>
  <si>
    <t>Ivo.</t>
  </si>
  <si>
    <t>Ivo Čelina's friends:
1.</t>
  </si>
  <si>
    <t>Ivo Čelina has 7 friends.</t>
  </si>
  <si>
    <t>[
{"friend": "Antonija Salin</t>
  </si>
  <si>
    <t>["Lea Grubić", "Monika</t>
  </si>
  <si>
    <t>["Jagoda Draženović", "</t>
  </si>
  <si>
    <t>Šoštarić.</t>
  </si>
  <si>
    <t>Prelošnjak.</t>
  </si>
  <si>
    <t>Nikola Prelošnjak's age</t>
  </si>
  <si>
    <t>["Saša Škrtić", "</t>
  </si>
  <si>
    <t>{"friend": "Mia Popić"}, {"</t>
  </si>
  <si>
    <t>["Nada Sudar", "Saša</t>
  </si>
  <si>
    <t>{"friend": "Jagoda Draženovi</t>
  </si>
  <si>
    <t>Nada</t>
  </si>
  <si>
    <t>Sudar.</t>
  </si>
  <si>
    <t>["Monika Rimac", "Lea Gr</t>
  </si>
  <si>
    <t>Mirjam Devčić's friends are:
1</t>
  </si>
  <si>
    <t>Mirjam Devčić has 8 friends.</t>
  </si>
  <si>
    <t>["Duje Ravlić", "Nik</t>
  </si>
  <si>
    <t>[
  {"friend": "Saša Š</t>
  </si>
  <si>
    <t>26</t>
  </si>
  <si>
    <t>Female</t>
  </si>
  <si>
    <t>Saša Škrtić's friends are</t>
  </si>
  <si>
    <t>17 years old.</t>
  </si>
  <si>
    <t>Duje Ravlić, Gordan Lucić</t>
  </si>
  <si>
    <t>14</t>
  </si>
  <si>
    <t>Zoran.</t>
  </si>
  <si>
    <t>Zoran Goreta's friends are:
1.</t>
  </si>
  <si>
    <t>Zoran Goreta has 7 friends.</t>
  </si>
  <si>
    <t>Ivo Čelina, Ljubom</t>
  </si>
  <si>
    <t>Gordan Lucić's friends: 
- Du</t>
  </si>
  <si>
    <t>Ljubomir Jurišić has</t>
  </si>
  <si>
    <t>The data doesn't mention Vladimir Svalina's</t>
  </si>
  <si>
    <t>Svalina.</t>
  </si>
  <si>
    <t>6 years old.</t>
  </si>
  <si>
    <t>31 years old.</t>
  </si>
  <si>
    <t>Duje Ravlić, Eduard Tuti</t>
  </si>
  <si>
    <t>Not available.</t>
  </si>
  <si>
    <t>Saša Škrtić, Ivo</t>
  </si>
  <si>
    <t>Female.</t>
  </si>
  <si>
    <t>1. Eduard Tutić
2.</t>
  </si>
  <si>
    <t>Monika Rimac's friends: 
1.</t>
  </si>
  <si>
    <t>Mia Popić is 9 years old.</t>
  </si>
  <si>
    <t>Jagoda Draženović, Lj</t>
  </si>
  <si>
    <t>I don't have that information.</t>
  </si>
  <si>
    <t>Ivo Čelina, Monika Rimac</t>
  </si>
  <si>
    <t>Nada Sudar has 10 friends.</t>
  </si>
  <si>
    <t>Mirjam Devčić is 37 years old</t>
  </si>
  <si>
    <t>Monika Rimac, Ivo Čelina</t>
  </si>
  <si>
    <t>Duje Ravlić, Ljubom</t>
  </si>
  <si>
    <t xml:space="preserve">Antonija Salinović's friends:
</t>
  </si>
  <si>
    <t>Svetličić.</t>
  </si>
  <si>
    <t>Saša Škrtić, Zoran</t>
  </si>
  <si>
    <t>Not provided.</t>
  </si>
  <si>
    <t>Ivo Čelina, Jagoda Dražen</t>
  </si>
  <si>
    <t>There is no information about Stela Miškovi</t>
  </si>
  <si>
    <t>Lea Grubić</t>
  </si>
  <si>
    <t xml:space="preserve">Saša Škrtić's friends:
</t>
  </si>
  <si>
    <t>18 years old.</t>
  </si>
  <si>
    <t>Duje Ravlić's friends:
1.</t>
  </si>
  <si>
    <t>Male</t>
  </si>
  <si>
    <t>Zoran Goreta's friends:
1. Sa</t>
  </si>
  <si>
    <t>Gordan Lucić is 27 years old.</t>
  </si>
  <si>
    <t>Gordan Lucić has 9 friends.</t>
  </si>
  <si>
    <t>Vladimir's first name is not mentioned in</t>
  </si>
  <si>
    <t xml:space="preserve">Vladimir Svalina's friends are:
</t>
  </si>
  <si>
    <t>Vladimir Svalina has 9 friends</t>
  </si>
  <si>
    <t>Eduard Tutić
Duje Rav</t>
  </si>
  <si>
    <t>Nikola's first name is not provided.</t>
  </si>
  <si>
    <t>Jagoda Draženović has 11</t>
  </si>
  <si>
    <t>Monika Rimac is 37 years old.</t>
  </si>
  <si>
    <t>Monika Rimac's friends:
1. L</t>
  </si>
  <si>
    <t>Even though both people with L are Monika's friends, it is ambiguous and therefore false</t>
  </si>
  <si>
    <t>9 years old.</t>
  </si>
  <si>
    <t>Mia Popić's friends are:
1.</t>
  </si>
  <si>
    <t>Mia Popić has 9 friends.</t>
  </si>
  <si>
    <t>1. Monika Rimac
2. Mia</t>
  </si>
  <si>
    <t>Nada Sudar has 9 friends.</t>
  </si>
  <si>
    <t>Lea Grubić is 31 years old</t>
  </si>
  <si>
    <t>Lea Grubić has 12 friends.</t>
  </si>
  <si>
    <t>Antonija Salinović is friends with</t>
  </si>
  <si>
    <t>23</t>
  </si>
  <si>
    <t>Irena Jurilj's friends:
1.</t>
  </si>
  <si>
    <t>Mišković.</t>
  </si>
  <si>
    <t>Duje Ravlić's friends: 
1</t>
  </si>
  <si>
    <t xml:space="preserve">Eduard Tutić's friends: 
</t>
  </si>
  <si>
    <t>Zoran's first name is Zoran.</t>
  </si>
  <si>
    <t>Zoran Goreta's friends: #person0</t>
  </si>
  <si>
    <t>Ivo Čelina knows Jagoda Dražen</t>
  </si>
  <si>
    <t>8.</t>
  </si>
  <si>
    <t>Gordan Lucić's friends:
1. Du</t>
  </si>
  <si>
    <t>9.</t>
  </si>
  <si>
    <t>Vladimir's first name is not specified in</t>
  </si>
  <si>
    <t>Vladimir Svalina knows the following people</t>
  </si>
  <si>
    <t>foaf:knows rdf:resource="#person</t>
  </si>
  <si>
    <t>6.</t>
  </si>
  <si>
    <t>Nikola.</t>
  </si>
  <si>
    <t>Nikola Prelošnjak's friends</t>
  </si>
  <si>
    <t>Jagoda.</t>
  </si>
  <si>
    <t>Jagoda Draženović knows person #</t>
  </si>
  <si>
    <t>Monika.</t>
  </si>
  <si>
    <t>Person #11 (Monika Rimac) knows</t>
  </si>
  <si>
    <t>Nada.</t>
  </si>
  <si>
    <t>Nada Sudar's friends:
1. N</t>
  </si>
  <si>
    <t>Mirjam Devčić knows #person0,</t>
  </si>
  <si>
    <t>Lea.</t>
  </si>
  <si>
    <t>Lea Grubić's friends are:
1</t>
  </si>
  <si>
    <t>Antonija.</t>
  </si>
  <si>
    <t>Salinović</t>
  </si>
  <si>
    <t>Gordan Lucić</t>
  </si>
  <si>
    <t>Cvijeta.</t>
  </si>
  <si>
    <t>Irena Jurilj knows person #10 and</t>
  </si>
  <si>
    <t>None, she has no friends in the data.</t>
  </si>
  <si>
    <t>1</t>
  </si>
  <si>
    <t>Duje.</t>
  </si>
  <si>
    <t>66.</t>
  </si>
  <si>
    <t>Ivo Čelina's friends are:
1</t>
  </si>
  <si>
    <t>12.</t>
  </si>
  <si>
    <t>Gordan Lucić's friends:
1. Anton</t>
  </si>
  <si>
    <t>Jurišić.</t>
  </si>
  <si>
    <t>Lea Grubić, Jagoda Draž</t>
  </si>
  <si>
    <t>Jagoda Draženović, Duje</t>
  </si>
  <si>
    <t xml:space="preserve">Jagoda Draženović's friends:
</t>
  </si>
  <si>
    <t>17.</t>
  </si>
  <si>
    <t>Rimac.</t>
  </si>
  <si>
    <t>Monika Rimac knows: 
- Nada</t>
  </si>
  <si>
    <t>Nada's first name is not mentioned in the</t>
  </si>
  <si>
    <t>Nada Sudar's friends:
1. Mon</t>
  </si>
  <si>
    <t>Mirjam.</t>
  </si>
  <si>
    <t>Mirjam Devčić's friends: Saš</t>
  </si>
  <si>
    <t>Lea Grubić's friends: Duje</t>
  </si>
  <si>
    <t>Gordan Lucic, Saša Šk</t>
  </si>
  <si>
    <t>Jagoda Draženović</t>
  </si>
  <si>
    <t>What is Saša's first name?</t>
  </si>
  <si>
    <t>What is Saša's age?</t>
  </si>
  <si>
    <t>What is Saša's gender?</t>
  </si>
  <si>
    <t>List all Saša's friends.</t>
  </si>
  <si>
    <t>Nikola, Cvijeta, Monika</t>
  </si>
  <si>
    <t>How many friends does Saša have?</t>
  </si>
  <si>
    <t>What is Duje's first name?</t>
  </si>
  <si>
    <t>What is Duje's age?</t>
  </si>
  <si>
    <t>What is Duje's gender?</t>
  </si>
  <si>
    <t>List all Duje's friends.</t>
  </si>
  <si>
    <t>Lea, Nikola, Gordan, Vladimir,</t>
  </si>
  <si>
    <t>How many friends does Duje have?</t>
  </si>
  <si>
    <t>What is Eduard's first name?</t>
  </si>
  <si>
    <t>What is Eduard's age?</t>
  </si>
  <si>
    <t>What is Eduard's gender?</t>
  </si>
  <si>
    <t>List all Eduard's friends.</t>
  </si>
  <si>
    <t>Jagoda, Lea, Tomislav,</t>
  </si>
  <si>
    <t>How many friends does Eduard have?</t>
  </si>
  <si>
    <t>What is Zoran's first name?</t>
  </si>
  <si>
    <t>Zoran's first name is not specified.</t>
  </si>
  <si>
    <t>What is Zoran's age?</t>
  </si>
  <si>
    <t>What is Zoran's gender?</t>
  </si>
  <si>
    <t>List all Zoran's friends.</t>
  </si>
  <si>
    <t>Cvijeta, Saša, Vladimir</t>
  </si>
  <si>
    <t>How many friends does Zoran have?</t>
  </si>
  <si>
    <t>What is Ivo's first name?</t>
  </si>
  <si>
    <t>What is Ivo's age?</t>
  </si>
  <si>
    <t>What is Ivo's gender?</t>
  </si>
  <si>
    <t>List all Ivo's friends.</t>
  </si>
  <si>
    <t>Nikola, Irena, Ljub</t>
  </si>
  <si>
    <t>How many friends does Ivo have?</t>
  </si>
  <si>
    <t>What is Gordan's first name?</t>
  </si>
  <si>
    <t>Gordan's first name is not specified.</t>
  </si>
  <si>
    <t>What is Gordan's age?</t>
  </si>
  <si>
    <t>What is Gordan's gender?</t>
  </si>
  <si>
    <t>List all Gordan's friends.</t>
  </si>
  <si>
    <t>Duje, Antonija, Stela, Tom</t>
  </si>
  <si>
    <t>How many friends does Gordan have?</t>
  </si>
  <si>
    <t>Gordan has 13 friends.</t>
  </si>
  <si>
    <t>What is Ljubomir's first name?</t>
  </si>
  <si>
    <t>Ljubomir's first name is not</t>
  </si>
  <si>
    <t>What is Ljubomir's age?</t>
  </si>
  <si>
    <t>What is Ljubomir's gender?</t>
  </si>
  <si>
    <t>List all Ljubomir's friends.</t>
  </si>
  <si>
    <t>Lea, Monika, Ivo, Mia</t>
  </si>
  <si>
    <t>How many friends does Ljubomir have?</t>
  </si>
  <si>
    <t>What is Vladimir's first name?</t>
  </si>
  <si>
    <t>What is Vladimir's age?</t>
  </si>
  <si>
    <t>What is Vladimir's gender?</t>
  </si>
  <si>
    <t>List all Vladimir's friends.</t>
  </si>
  <si>
    <t xml:space="preserve">1. Jagoda
2. Duje
</t>
  </si>
  <si>
    <t>How many friends does Vladimir have?</t>
  </si>
  <si>
    <t>What is Tomislav's first name?</t>
  </si>
  <si>
    <t>What is Tomislav's age?</t>
  </si>
  <si>
    <t>What is Tomislav's gender?</t>
  </si>
  <si>
    <t>List all Tomislav's friends.</t>
  </si>
  <si>
    <t>Jagoda, Eduard, Duje</t>
  </si>
  <si>
    <t>How many friends does Tomislav have?</t>
  </si>
  <si>
    <t>What is Nikola's first name?</t>
  </si>
  <si>
    <t>What is Nikola's age?</t>
  </si>
  <si>
    <t>What is Nikola's gender?</t>
  </si>
  <si>
    <t>List all Nikola's friends.</t>
  </si>
  <si>
    <t>Saša, Duje, Ivo</t>
  </si>
  <si>
    <t>How many friends does Nikola have?</t>
  </si>
  <si>
    <t>What is Jagoda's first name?</t>
  </si>
  <si>
    <t>Jagoda's first name is not provided.</t>
  </si>
  <si>
    <t>What is Jagoda's age?</t>
  </si>
  <si>
    <t>What is Jagoda's gender?</t>
  </si>
  <si>
    <t>List all Jagoda's friends.</t>
  </si>
  <si>
    <t xml:space="preserve">Jagoda's friends:
1. Mia
</t>
  </si>
  <si>
    <t>How many friends does Jagoda have?</t>
  </si>
  <si>
    <t>What is Monika's first name?</t>
  </si>
  <si>
    <t>What is Monika's age?</t>
  </si>
  <si>
    <t>What is Monika's gender?</t>
  </si>
  <si>
    <t>List all Monika's friends.</t>
  </si>
  <si>
    <t>Saša, Ljubomir,</t>
  </si>
  <si>
    <t>How many friends does Monika have?</t>
  </si>
  <si>
    <t>What is Mia's first name?</t>
  </si>
  <si>
    <t>What is Mia's age?</t>
  </si>
  <si>
    <t>What is Mia's gender?</t>
  </si>
  <si>
    <t>List all Mia's friends.</t>
  </si>
  <si>
    <t xml:space="preserve">1. Jagoda
2. Nada
</t>
  </si>
  <si>
    <t>How many friends does Mia have?</t>
  </si>
  <si>
    <t>What is Nada's first name?</t>
  </si>
  <si>
    <t>There is no first name provided for Nada.</t>
  </si>
  <si>
    <t>What is Nada's age?</t>
  </si>
  <si>
    <t>What is Nada's gender?</t>
  </si>
  <si>
    <t>List all Nada's friends.</t>
  </si>
  <si>
    <t>Monika, Lea, Mia, Cvij</t>
  </si>
  <si>
    <t>How many friends does Nada have?</t>
  </si>
  <si>
    <t>Nada has 8 friends.</t>
  </si>
  <si>
    <t>What is Mirjam's first name?</t>
  </si>
  <si>
    <t>What is Mirjam's age?</t>
  </si>
  <si>
    <t>What is Mirjam's gender?</t>
  </si>
  <si>
    <t>List all Mirjam's friends.</t>
  </si>
  <si>
    <t>Saša, Duje, Eduard,</t>
  </si>
  <si>
    <t>How many friends does Mirjam have?</t>
  </si>
  <si>
    <t>What is Lea's first name?</t>
  </si>
  <si>
    <t>What is Lea's age?</t>
  </si>
  <si>
    <t>What is Lea's gender?</t>
  </si>
  <si>
    <t>List all Lea's friends.</t>
  </si>
  <si>
    <t>&lt;friends&gt;
	&lt;friend ref="Lj</t>
  </si>
  <si>
    <t>How many friends does Lea have?</t>
  </si>
  <si>
    <t>What is Antonija's first name?</t>
  </si>
  <si>
    <t>What is Antonija's age?</t>
  </si>
  <si>
    <t>What is Antonija's gender?</t>
  </si>
  <si>
    <t>List all Antonija's friends.</t>
  </si>
  <si>
    <t>Saša, Gordan</t>
  </si>
  <si>
    <t>How many friends does Antonija have?</t>
  </si>
  <si>
    <t>What is Cvijeta's first name?</t>
  </si>
  <si>
    <t>What is Cvijeta's age?</t>
  </si>
  <si>
    <t>What is Cvijeta's gender?</t>
  </si>
  <si>
    <t>List all Cvijeta's friends.</t>
  </si>
  <si>
    <t>Saša, Zoran, Mirjam,</t>
  </si>
  <si>
    <t>How many friends does Cvijeta have?</t>
  </si>
  <si>
    <t>What is Irena's first name?</t>
  </si>
  <si>
    <t>What is Irena's age?</t>
  </si>
  <si>
    <t>What is Irena's gender?</t>
  </si>
  <si>
    <t>List all Irena's friends.</t>
  </si>
  <si>
    <t xml:space="preserve">Irena's friends:
1. Jagoda
</t>
  </si>
  <si>
    <t>How many friends does Irena have?</t>
  </si>
  <si>
    <t>What is Stela's first name?</t>
  </si>
  <si>
    <t>What is Stela's age?</t>
  </si>
  <si>
    <t>What is Stela's gender?</t>
  </si>
  <si>
    <t>List all Stela's friends.</t>
  </si>
  <si>
    <t>Lea, Gordan</t>
  </si>
  <si>
    <t>How many friends does Stela have?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</si>
</sst>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0B77-7B79-48BA-9820-5AA02F0330E2}">
  <dimension ref="A1:T49"/>
  <sheetViews>
    <sheetView tabSelected="1" workbookViewId="0">
      <selection activeCell="Q21" sqref="Q21"/>
    </sheetView>
  </sheetViews>
  <sheetFormatPr defaultRowHeight="15"/>
  <cols>
    <col min="1" max="1" width="10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15.7109375" bestFit="1" customWidth="1"/>
    <col min="7" max="7" width="12.5703125" bestFit="1" customWidth="1"/>
    <col min="8" max="8" width="6.28515625" bestFit="1" customWidth="1"/>
    <col min="9" max="9" width="8.5703125" bestFit="1" customWidth="1"/>
    <col min="12" max="12" width="10.140625" bestFit="1" customWidth="1"/>
    <col min="13" max="13" width="12.5703125" bestFit="1" customWidth="1"/>
    <col min="14" max="14" width="15.28515625" bestFit="1" customWidth="1"/>
    <col min="15" max="15" width="12.5703125" bestFit="1" customWidth="1"/>
    <col min="16" max="16" width="11.5703125" bestFit="1" customWidth="1"/>
    <col min="17" max="17" width="12.5703125" bestFit="1" customWidth="1"/>
    <col min="18" max="18" width="14.7109375" bestFit="1" customWidth="1"/>
    <col min="19" max="19" width="12.5703125" bestFit="1" customWidth="1"/>
    <col min="20" max="20" width="15.7109375" bestFit="1" customWidth="1"/>
  </cols>
  <sheetData>
    <row r="1" spans="1:20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>
      <c r="B2" t="b">
        <v>1</v>
      </c>
      <c r="C2" t="b">
        <v>0</v>
      </c>
      <c r="D2" t="s">
        <v>8</v>
      </c>
      <c r="G2" t="b">
        <v>1</v>
      </c>
      <c r="H2" t="b">
        <v>0</v>
      </c>
      <c r="I2" t="s">
        <v>8</v>
      </c>
      <c r="L2" t="s">
        <v>9</v>
      </c>
      <c r="M2">
        <f ca="1">B3+B4+B5</f>
        <v>88</v>
      </c>
      <c r="N2">
        <f ca="1">G3+G4+G5</f>
        <v>85</v>
      </c>
      <c r="O2">
        <f ca="1">B13+B14+B15</f>
        <v>80</v>
      </c>
      <c r="P2">
        <f ca="1">G13+G14+G15</f>
        <v>75</v>
      </c>
      <c r="Q2">
        <f ca="1">B23+B24+B25</f>
        <v>80</v>
      </c>
      <c r="R2">
        <f ca="1">G23+G24+G25</f>
        <v>82</v>
      </c>
      <c r="S2">
        <f ca="1">B33+B34+B35</f>
        <v>86</v>
      </c>
      <c r="T2">
        <f ca="1">G33+G34+G35</f>
        <v>88</v>
      </c>
    </row>
    <row r="3" spans="1:20">
      <c r="A3" t="b">
        <v>1</v>
      </c>
      <c r="B3">
        <f ca="1">COUNTIFS(INDIRECT(A1 &amp; "!$C$2:$C$121"),TRUE, INDIRECT(A1 &amp; "!$E$2:$E$121"),TRUE)</f>
        <v>88</v>
      </c>
      <c r="C3">
        <f ca="1">COUNTIFS(INDIRECT(A1 &amp; "!$C$2:$C$121"),TRUE, INDIRECT(A1 &amp; "!$E$2:$E$121"),FALSE)</f>
        <v>0</v>
      </c>
      <c r="D3">
        <f ca="1">COUNTIFS(INDIRECT(A1 &amp; "!$C$2:$C$121"),TRUE, INDIRECT(A1 &amp; "!$E$2:$E$121"),"half true")</f>
        <v>0</v>
      </c>
      <c r="F3" t="b">
        <v>1</v>
      </c>
      <c r="G3">
        <f ca="1">COUNTIFS(INDIRECT(F1 &amp; "!$C$2:$C$121"),TRUE, INDIRECT(F1 &amp; "!$E$2:$E$121"),TRUE)</f>
        <v>85</v>
      </c>
      <c r="H3">
        <f ca="1">COUNTIFS(INDIRECT(F1 &amp; "!$C$2:$C$121"),TRUE, INDIRECT(F1 &amp; "!$E$2:$E$121"),FALSE)</f>
        <v>0</v>
      </c>
      <c r="I3">
        <f ca="1">COUNTIFS(INDIRECT(F1 &amp; "!$C$2:$C$121"),TRUE, INDIRECT(F1 &amp; "!$E$2:$E$121"),"half true")</f>
        <v>0</v>
      </c>
      <c r="L3" t="s">
        <v>10</v>
      </c>
      <c r="M3">
        <f ca="1">SUM(B3:D3)</f>
        <v>88</v>
      </c>
      <c r="N3">
        <f ca="1">SUM(G3:I3)</f>
        <v>85</v>
      </c>
      <c r="O3">
        <f ca="1">SUM(B13:D13)</f>
        <v>80</v>
      </c>
      <c r="P3">
        <f ca="1">SUM(G13:I13)</f>
        <v>75</v>
      </c>
      <c r="Q3">
        <f ca="1">SUM(B23:D23)</f>
        <v>80</v>
      </c>
      <c r="R3">
        <f ca="1">G23+H23+I23</f>
        <v>82</v>
      </c>
      <c r="S3">
        <f ca="1">B33+C33+D33</f>
        <v>86</v>
      </c>
      <c r="T3">
        <f ca="1">G33+H33+I33</f>
        <v>88</v>
      </c>
    </row>
    <row r="4" spans="1:20">
      <c r="A4" t="b">
        <v>0</v>
      </c>
      <c r="B4">
        <f ca="1">COUNTIFS(INDIRECT(A1 &amp; "!$C$2:$C$121"),FALSE, INDIRECT(A1 &amp; "!$E$2:$E$121"),TRUE)</f>
        <v>0</v>
      </c>
      <c r="C4">
        <f ca="1">COUNTIFS(INDIRECT(A1 &amp; "!$C$2:$C$121"),FALSE, INDIRECT(A1 &amp; "!$E$2:$E$121"),FALSE)</f>
        <v>25</v>
      </c>
      <c r="D4">
        <f ca="1">COUNTIFS(INDIRECT(A1 &amp; "!$C$2:$C$121"),FALSE, INDIRECT(A1 &amp; "!$E$2:$E$121"),"half true")</f>
        <v>0</v>
      </c>
      <c r="F4" t="b">
        <v>0</v>
      </c>
      <c r="G4">
        <f ca="1">COUNTIFS(INDIRECT(F1 &amp; "!$C$2:$C$121"),FALSE, INDIRECT(F1 &amp; "!$E$2:$E$121"),TRUE)</f>
        <v>0</v>
      </c>
      <c r="H4">
        <f ca="1">COUNTIFS(INDIRECT(F1 &amp; "!$C$2:$C$121"),FALSE, INDIRECT(F1 &amp; "!$E$2:$E$121"),FALSE)</f>
        <v>21</v>
      </c>
      <c r="I4">
        <f ca="1">COUNTIFS(INDIRECT(F1 &amp; "!$C$2:$C$121"),FALSE, INDIRECT(F1 &amp; "!$E$2:$E$121"),"half true")</f>
        <v>0</v>
      </c>
      <c r="L4" t="s">
        <v>11</v>
      </c>
      <c r="M4">
        <f ca="1">SUM(M2:M3)</f>
        <v>176</v>
      </c>
      <c r="N4">
        <f t="shared" ref="N4:T4" ca="1" si="0">SUM(N2:N3)</f>
        <v>170</v>
      </c>
      <c r="O4">
        <f t="shared" ca="1" si="0"/>
        <v>160</v>
      </c>
      <c r="P4">
        <f t="shared" ca="1" si="0"/>
        <v>150</v>
      </c>
      <c r="Q4">
        <f t="shared" ca="1" si="0"/>
        <v>160</v>
      </c>
      <c r="R4">
        <f t="shared" ca="1" si="0"/>
        <v>164</v>
      </c>
      <c r="S4">
        <f t="shared" ca="1" si="0"/>
        <v>172</v>
      </c>
      <c r="T4">
        <f t="shared" ca="1" si="0"/>
        <v>176</v>
      </c>
    </row>
    <row r="5" spans="1:20">
      <c r="A5" t="s">
        <v>8</v>
      </c>
      <c r="B5">
        <f ca="1">COUNTIFS(INDIRECT(A1 &amp; "!$C$2:$C$121"),"half true", INDIRECT(A1 &amp; "!$E$2:$E$121"),TRUE)</f>
        <v>0</v>
      </c>
      <c r="C5">
        <f ca="1">COUNTIFS(INDIRECT(A1 &amp; "!$C$2:$C$121"),"half true", INDIRECT(A1 &amp; "!$E$2:$E$121"),FALSE)</f>
        <v>7</v>
      </c>
      <c r="D5">
        <f ca="1">COUNTIFS(INDIRECT(A1 &amp; "!$C$2:$C$121"),"half true", INDIRECT(A1 &amp; "!$E$2:$E$121"),"half true")</f>
        <v>0</v>
      </c>
      <c r="F5" t="s">
        <v>8</v>
      </c>
      <c r="G5">
        <f ca="1">COUNTIFS(INDIRECT(F1 &amp; "!$C$2:$C$121"),"half true", INDIRECT(F1 &amp; "!$E$2:$E$121"),TRUE)</f>
        <v>0</v>
      </c>
      <c r="H5">
        <f ca="1">COUNTIFS(INDIRECT(F1 &amp; "!$C$2:$C$121"),"half true", INDIRECT(F1 &amp; "!$E$2:$E$121"),FALSE)</f>
        <v>13</v>
      </c>
      <c r="I5">
        <f ca="1">COUNTIFS(INDIRECT(F1 &amp; "!$C$2:$C$121"),"half true", INDIRECT(F1 &amp; "!$E$2:$E$121"),"half true")</f>
        <v>1</v>
      </c>
      <c r="L5" t="s">
        <v>12</v>
      </c>
      <c r="M5">
        <f ca="1">2*B6</f>
        <v>240</v>
      </c>
      <c r="N5">
        <f ca="1">M5</f>
        <v>240</v>
      </c>
      <c r="O5">
        <f t="shared" ref="O5:T5" ca="1" si="1">N5</f>
        <v>240</v>
      </c>
      <c r="P5">
        <f t="shared" ca="1" si="1"/>
        <v>240</v>
      </c>
      <c r="Q5">
        <f t="shared" ca="1" si="1"/>
        <v>240</v>
      </c>
      <c r="R5">
        <f t="shared" ca="1" si="1"/>
        <v>240</v>
      </c>
      <c r="S5">
        <f t="shared" ca="1" si="1"/>
        <v>240</v>
      </c>
      <c r="T5">
        <f t="shared" ca="1" si="1"/>
        <v>240</v>
      </c>
    </row>
    <row r="6" spans="1:20">
      <c r="A6" t="s">
        <v>13</v>
      </c>
      <c r="B6">
        <f ca="1">SUM(B3:D5)</f>
        <v>120</v>
      </c>
      <c r="F6" t="s">
        <v>13</v>
      </c>
      <c r="G6">
        <f ca="1">SUM(G3:I5)</f>
        <v>120</v>
      </c>
      <c r="M6">
        <f ca="1">M4/M5</f>
        <v>0.73333333333333328</v>
      </c>
      <c r="N6">
        <f t="shared" ref="N6:T6" ca="1" si="2">N4/N5</f>
        <v>0.70833333333333337</v>
      </c>
      <c r="O6">
        <f t="shared" ca="1" si="2"/>
        <v>0.66666666666666663</v>
      </c>
      <c r="P6">
        <f t="shared" ca="1" si="2"/>
        <v>0.625</v>
      </c>
      <c r="Q6">
        <f t="shared" ca="1" si="2"/>
        <v>0.66666666666666663</v>
      </c>
      <c r="R6">
        <f t="shared" ca="1" si="2"/>
        <v>0.68333333333333335</v>
      </c>
      <c r="S6">
        <f t="shared" ca="1" si="2"/>
        <v>0.71666666666666667</v>
      </c>
      <c r="T6">
        <f t="shared" ca="1" si="2"/>
        <v>0.73333333333333328</v>
      </c>
    </row>
    <row r="7" spans="1:20">
      <c r="A7" t="s">
        <v>14</v>
      </c>
      <c r="B7">
        <f ca="1">(B3+C4+D5)/B6</f>
        <v>0.94166666666666665</v>
      </c>
      <c r="F7" t="s">
        <v>14</v>
      </c>
      <c r="G7">
        <f ca="1">(G3+H4+I5)/G6</f>
        <v>0.89166666666666672</v>
      </c>
    </row>
    <row r="8" spans="1:20">
      <c r="A8" t="s">
        <v>15</v>
      </c>
      <c r="B8">
        <f ca="1">((SUM(B3:D3)*SUM(B3:B5))+(SUM(B4:D4)*SUM(C3:C5))+(SUM(B5:D5)*SUM(D3:D5)))/(B6^2)</f>
        <v>0.59333333333333338</v>
      </c>
      <c r="F8" t="s">
        <v>15</v>
      </c>
      <c r="G8">
        <f ca="1">((SUM(G3:I3)*SUM(G3:G5))+(SUM(G4:I4)*SUM(H3:H5))+(SUM(G5:I5)*SUM(I3:I5)))/(G6^2)</f>
        <v>0.55229166666666663</v>
      </c>
    </row>
    <row r="9" spans="1:20">
      <c r="A9" t="s">
        <v>16</v>
      </c>
      <c r="B9">
        <f ca="1">(B7-B8)/(1-B8)</f>
        <v>0.85655737704918022</v>
      </c>
      <c r="F9" t="s">
        <v>16</v>
      </c>
      <c r="G9">
        <f ca="1">(G7-G8)/(1-G8)</f>
        <v>0.75802698929734769</v>
      </c>
    </row>
    <row r="11" spans="1:20">
      <c r="A11" t="s">
        <v>2</v>
      </c>
      <c r="F11" t="s">
        <v>3</v>
      </c>
    </row>
    <row r="12" spans="1:20">
      <c r="B12" t="b">
        <v>1</v>
      </c>
      <c r="C12" t="b">
        <v>0</v>
      </c>
      <c r="D12" t="s">
        <v>8</v>
      </c>
      <c r="G12" t="b">
        <v>1</v>
      </c>
      <c r="H12" t="b">
        <v>0</v>
      </c>
      <c r="I12" t="s">
        <v>8</v>
      </c>
    </row>
    <row r="13" spans="1:20">
      <c r="A13" t="b">
        <v>1</v>
      </c>
      <c r="B13">
        <f ca="1">COUNTIFS(INDIRECT(A11 &amp; "!$C$2:$C$121"),TRUE, INDIRECT(A11 &amp; "!$E$2:$E$121"),TRUE)</f>
        <v>80</v>
      </c>
      <c r="C13">
        <f ca="1">COUNTIFS(INDIRECT(A11 &amp; "!$C$2:$C$121"),TRUE, INDIRECT(A11 &amp; "!$E$2:$E$121"),FALSE)</f>
        <v>0</v>
      </c>
      <c r="D13">
        <f ca="1">COUNTIFS(INDIRECT(A11 &amp; "!$C$2:$C$121"),TRUE, INDIRECT(A11 &amp; "!$E$2:$E$121"),"half true")</f>
        <v>0</v>
      </c>
      <c r="F13" t="b">
        <v>1</v>
      </c>
      <c r="G13">
        <f ca="1">COUNTIFS(INDIRECT(F11 &amp; "!$C$2:$C$121"),TRUE, INDIRECT(F11 &amp; "!$E$2:$E$121"),TRUE)</f>
        <v>75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20">
      <c r="A14" t="b">
        <v>0</v>
      </c>
      <c r="B14">
        <f ca="1">COUNTIFS(INDIRECT(A11 &amp; "!$C$2:$C$121"),FALSE, INDIRECT(A11 &amp; "!$E$2:$E$121"),TRUE)</f>
        <v>0</v>
      </c>
      <c r="C14">
        <f ca="1">COUNTIFS(INDIRECT(A11 &amp; "!$C$2:$C$121"),FALSE, INDIRECT(A11 &amp; "!$E$2:$E$121"),FALSE)</f>
        <v>32</v>
      </c>
      <c r="D14">
        <f ca="1">COUNTIFS(INDIRECT(A11 &amp; "!$C$2:$C$121"),FALSE, INDIRECT(A11 &amp; "!$E$2:$E$121"),"half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33</v>
      </c>
      <c r="I14">
        <f ca="1">COUNTIFS(INDIRECT(F11 &amp; "!$C$2:$C$121"),FALSE, INDIRECT(F11 &amp; "!$E$2:$E$121"),"half true")</f>
        <v>0</v>
      </c>
    </row>
    <row r="15" spans="1:20">
      <c r="A15" t="s">
        <v>8</v>
      </c>
      <c r="B15">
        <f ca="1">COUNTIFS(INDIRECT(A11 &amp; "!$C$2:$C$121"),"half true", INDIRECT(A11 &amp; "!$E$2:$E$121"),TRUE)</f>
        <v>0</v>
      </c>
      <c r="C15">
        <f ca="1">COUNTIFS(INDIRECT(A11 &amp; "!$C$2:$C$121"),"half true", INDIRECT(A11 &amp; "!$E$2:$E$121"),FALSE)</f>
        <v>5</v>
      </c>
      <c r="D15">
        <f ca="1">COUNTIFS(INDIRECT(A11 &amp; "!$C$2:$C$121"),"half true", INDIRECT(A11 &amp; "!$E$2:$E$121"),"half true")</f>
        <v>3</v>
      </c>
      <c r="F15" t="s">
        <v>8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7</v>
      </c>
      <c r="I15">
        <f ca="1">COUNTIFS(INDIRECT(F11 &amp; "!$C$2:$C$121"),"half true", INDIRECT(F11 &amp; "!$E$2:$E$121"),"half true")</f>
        <v>5</v>
      </c>
    </row>
    <row r="16" spans="1:20">
      <c r="A16" t="s">
        <v>13</v>
      </c>
      <c r="B16">
        <f ca="1">SUM(B13:D15)</f>
        <v>120</v>
      </c>
      <c r="F16" t="s">
        <v>13</v>
      </c>
      <c r="G16">
        <f ca="1">SUM(G13:I15)</f>
        <v>120</v>
      </c>
    </row>
    <row r="17" spans="1:9">
      <c r="A17" t="s">
        <v>14</v>
      </c>
      <c r="B17">
        <f ca="1">(B13+C14+D15)/B16</f>
        <v>0.95833333333333337</v>
      </c>
      <c r="F17" t="s">
        <v>14</v>
      </c>
      <c r="G17">
        <f ca="1">(G13+H14+I15)/G16</f>
        <v>0.94166666666666665</v>
      </c>
    </row>
    <row r="18" spans="1:9">
      <c r="A18" t="s">
        <v>15</v>
      </c>
      <c r="B18">
        <f ca="1">((SUM(B13:D13)*SUM(B13:B15))+(SUM(B14:D14)*SUM(C13:C15))+(SUM(B15:D15)*SUM(D13:D15)))/(B16^2)</f>
        <v>0.52833333333333332</v>
      </c>
      <c r="F18" t="s">
        <v>15</v>
      </c>
      <c r="G18">
        <f ca="1">((SUM(G13:I13)*SUM(G13:G15))+(SUM(G14:I14)*SUM(H13:H15))+(SUM(G15:I15)*SUM(I13:I15)))/(G16^2)</f>
        <v>0.48645833333333333</v>
      </c>
    </row>
    <row r="19" spans="1:9">
      <c r="A19" t="s">
        <v>16</v>
      </c>
      <c r="B19">
        <f ca="1">(B17-B18)/(1-B18)</f>
        <v>0.91166077738515905</v>
      </c>
      <c r="F19" t="s">
        <v>16</v>
      </c>
      <c r="G19">
        <f ca="1">(G17-G18)/(1-G18)</f>
        <v>0.88640973630831643</v>
      </c>
    </row>
    <row r="21" spans="1:9">
      <c r="A21" t="s">
        <v>4</v>
      </c>
      <c r="F21" t="s">
        <v>5</v>
      </c>
    </row>
    <row r="22" spans="1:9">
      <c r="B22" t="b">
        <v>1</v>
      </c>
      <c r="C22" t="b">
        <v>0</v>
      </c>
      <c r="D22" t="s">
        <v>8</v>
      </c>
      <c r="G22" t="b">
        <v>1</v>
      </c>
      <c r="H22" t="b">
        <v>0</v>
      </c>
      <c r="I22" t="s">
        <v>8</v>
      </c>
    </row>
    <row r="23" spans="1:9">
      <c r="A23" t="b">
        <v>1</v>
      </c>
      <c r="B23">
        <f ca="1">COUNTIFS(INDIRECT(A21 &amp; "!$C$2:$C$121"),TRUE, INDIRECT(A21 &amp; "!$E$2:$E$121"),TRUE)</f>
        <v>80</v>
      </c>
      <c r="C23">
        <f ca="1">COUNTIFS(INDIRECT(A21 &amp; "!$C$2:$C$121"),TRUE, INDIRECT(A21 &amp; "!$E$2:$E$121"),FALSE)</f>
        <v>0</v>
      </c>
      <c r="D23">
        <f ca="1">COUNTIFS(INDIRECT(A21 &amp; "!$C$2:$C$121"),TRUE, INDIRECT(A21 &amp; "!$E$2:$E$121"),"half true")</f>
        <v>0</v>
      </c>
      <c r="F23" t="b">
        <v>1</v>
      </c>
      <c r="G23">
        <f ca="1">COUNTIFS(INDIRECT(F21 &amp; "!$C$2:$C$121"),TRUE, INDIRECT(F21 &amp; "!$E$2:$E$121"),TRUE)</f>
        <v>82</v>
      </c>
      <c r="H23">
        <f ca="1">COUNTIFS(INDIRECT(F21 &amp; "!$C$2:$C$121"),TRUE, INDIRECT(F21 &amp; "!$E$2:$E$121"),FALSE)</f>
        <v>0</v>
      </c>
      <c r="I23">
        <f ca="1">COUNTIFS(INDIRECT(F21 &amp; "!$C$2:$C$121"),TRUE, INDIRECT(F21 &amp; "!$E$2:$E$121"),"half true")</f>
        <v>0</v>
      </c>
    </row>
    <row r="24" spans="1:9">
      <c r="A24" t="b">
        <v>0</v>
      </c>
      <c r="B24">
        <f ca="1">COUNTIFS(INDIRECT(A21 &amp; "!$C$2:$C$121"),FALSE, INDIRECT(A21 &amp; "!$E$2:$E$121"),TRUE)</f>
        <v>0</v>
      </c>
      <c r="C24">
        <f ca="1">COUNTIFS(INDIRECT(A21 &amp; "!$C$2:$C$121"),FALSE, INDIRECT(A21 &amp; "!$E$2:$E$121"),FALSE)</f>
        <v>34</v>
      </c>
      <c r="D24">
        <f ca="1">COUNTIFS(INDIRECT(A21 &amp; "!$C$2:$C$121"),FALSE, INDIRECT(A21 &amp; "!$E$2:$E$121"),"half true")</f>
        <v>0</v>
      </c>
      <c r="F24" t="b">
        <v>0</v>
      </c>
      <c r="G24">
        <f ca="1">COUNTIFS(INDIRECT(F21 &amp; "!$C$2:$C$121"),FALSE, INDIRECT(F21 &amp; "!$E$2:$E$121"),TRUE)</f>
        <v>0</v>
      </c>
      <c r="H24">
        <f ca="1">COUNTIFS(INDIRECT(F21 &amp; "!$C$2:$C$121"),FALSE, INDIRECT(F21 &amp; "!$E$2:$E$121"),FALSE)</f>
        <v>23</v>
      </c>
      <c r="I24">
        <f ca="1">COUNTIFS(INDIRECT(F21 &amp; "!$C$2:$C$121"),FALSE, INDIRECT(F21 &amp; "!$E$2:$E$121"),"half true")</f>
        <v>0</v>
      </c>
    </row>
    <row r="25" spans="1:9">
      <c r="A25" t="s">
        <v>8</v>
      </c>
      <c r="B25">
        <f ca="1">COUNTIFS(INDIRECT(A21 &amp; "!$C$2:$C$121"),"half true", INDIRECT(A21 &amp; "!$E$2:$E$121"),TRUE)</f>
        <v>0</v>
      </c>
      <c r="C25">
        <f ca="1">COUNTIFS(INDIRECT(A21 &amp; "!$C$2:$C$121"),"half true", INDIRECT(A21 &amp; "!$E$2:$E$121"),FALSE)</f>
        <v>2</v>
      </c>
      <c r="D25">
        <f ca="1">COUNTIFS(INDIRECT(A21 &amp; "!$C$2:$C$121"),"half true", INDIRECT(A21 &amp; "!$E$2:$E$121"),"half true")</f>
        <v>4</v>
      </c>
      <c r="F25" t="s">
        <v>8</v>
      </c>
      <c r="G25">
        <f ca="1">COUNTIFS(INDIRECT(F21 &amp; "!$C$2:$C$121"),"half true", INDIRECT(F21 &amp; "!$E$2:$E$121"),TRUE)</f>
        <v>0</v>
      </c>
      <c r="H25">
        <f ca="1">COUNTIFS(INDIRECT(F21 &amp; "!$C$2:$C$121"),"half true", INDIRECT(F21 &amp; "!$E$2:$E$121"),FALSE)</f>
        <v>12</v>
      </c>
      <c r="I25">
        <f ca="1">COUNTIFS(INDIRECT(F21 &amp; "!$C$2:$C$121"),"half true", INDIRECT(F21 &amp; "!$E$2:$E$121"),"half true")</f>
        <v>3</v>
      </c>
    </row>
    <row r="26" spans="1:9">
      <c r="A26" t="s">
        <v>13</v>
      </c>
      <c r="B26">
        <f ca="1">SUM(B23:D25)</f>
        <v>120</v>
      </c>
      <c r="F26" t="s">
        <v>13</v>
      </c>
      <c r="G26">
        <f ca="1">SUM(G23:I25)</f>
        <v>120</v>
      </c>
    </row>
    <row r="27" spans="1:9">
      <c r="A27" t="s">
        <v>14</v>
      </c>
      <c r="B27">
        <f ca="1">(B23+C24+D25)/B26</f>
        <v>0.98333333333333328</v>
      </c>
      <c r="F27" t="s">
        <v>14</v>
      </c>
      <c r="G27">
        <f ca="1">(G23+H24+I25)/G26</f>
        <v>0.9</v>
      </c>
    </row>
    <row r="28" spans="1:9">
      <c r="A28" t="s">
        <v>15</v>
      </c>
      <c r="B28">
        <f ca="1">((SUM(B23:D23)*SUM(B23:B25))+(SUM(B24:D24)*SUM(C23:C25))+(SUM(B25:D25)*SUM(D23:D25)))/(B26^2)</f>
        <v>0.53111111111111109</v>
      </c>
      <c r="F28" t="s">
        <v>15</v>
      </c>
      <c r="G28">
        <f ca="1">((SUM(G23:I23)*SUM(G23:G25))+(SUM(G24:I24)*SUM(H23:H25))+(SUM(G25:I25)*SUM(I23:I25)))/(G26^2)</f>
        <v>0.52597222222222217</v>
      </c>
    </row>
    <row r="29" spans="1:9">
      <c r="A29" t="s">
        <v>16</v>
      </c>
      <c r="B29">
        <f ca="1">(B27-B28)/(1-B28)</f>
        <v>0.96445497630331745</v>
      </c>
      <c r="F29" t="s">
        <v>16</v>
      </c>
      <c r="G29">
        <f ca="1">(G27-G28)/(1-G28)</f>
        <v>0.78904189862291241</v>
      </c>
    </row>
    <row r="31" spans="1:9">
      <c r="A31" t="s">
        <v>6</v>
      </c>
      <c r="F31" t="s">
        <v>7</v>
      </c>
    </row>
    <row r="32" spans="1:9">
      <c r="B32" t="b">
        <v>1</v>
      </c>
      <c r="C32" t="b">
        <v>0</v>
      </c>
      <c r="D32" t="s">
        <v>8</v>
      </c>
      <c r="G32" t="b">
        <v>1</v>
      </c>
      <c r="H32" t="b">
        <v>0</v>
      </c>
      <c r="I32" t="s">
        <v>8</v>
      </c>
    </row>
    <row r="33" spans="1:9">
      <c r="A33" t="b">
        <v>1</v>
      </c>
      <c r="B33">
        <f ca="1">COUNTIFS(INDIRECT(A31 &amp; "!$C$2:$C$121"),TRUE, INDIRECT(A31 &amp; "!$E$2:$E$121"),TRUE)</f>
        <v>86</v>
      </c>
      <c r="C33">
        <f ca="1">COUNTIFS(INDIRECT(A31 &amp; "!$C$2:$C$121"),TRUE, INDIRECT(A31 &amp; "!$E$2:$E$121"),FALSE)</f>
        <v>0</v>
      </c>
      <c r="D33">
        <f ca="1">COUNTIFS(INDIRECT(A31 &amp; "!$C$2:$C$121"),TRUE, INDIRECT(A31 &amp; "!$E$2:$E$121"),"half true")</f>
        <v>0</v>
      </c>
      <c r="F33" t="b">
        <v>1</v>
      </c>
      <c r="G33">
        <f ca="1">COUNTIFS(INDIRECT(F31 &amp; "!$C$2:$C$121"),TRUE, INDIRECT(F31 &amp; "!$E$2:$E$121"),TRUE)</f>
        <v>88</v>
      </c>
      <c r="H33">
        <f ca="1">COUNTIFS(INDIRECT(F31 &amp; "!$C$2:$C$121"),TRUE, INDIRECT(F31 &amp; "!$E$2:$E$121"),FALSE)</f>
        <v>0</v>
      </c>
      <c r="I33">
        <f ca="1">COUNTIFS(INDIRECT(F31 &amp; "!$C$2:$C$121"),TRUE, INDIRECT(F31 &amp; "!$E$2:$E$121"),"half true")</f>
        <v>0</v>
      </c>
    </row>
    <row r="34" spans="1:9">
      <c r="A34" t="b">
        <v>0</v>
      </c>
      <c r="B34">
        <f ca="1">COUNTIFS(INDIRECT(A31 &amp; "!$C$2:$C$121"),FALSE, INDIRECT(A31 &amp; "!$E$2:$E$121"),TRUE)</f>
        <v>0</v>
      </c>
      <c r="C34">
        <f ca="1">COUNTIFS(INDIRECT(A31 &amp; "!$C$2:$C$121"),FALSE, INDIRECT(A31 &amp; "!$E$2:$E$121"),FALSE)</f>
        <v>24</v>
      </c>
      <c r="D34">
        <f ca="1">COUNTIFS(INDIRECT(A31 &amp; "!$C$2:$C$121"),FALSE, INDIRECT(A31 &amp; "!$E$2:$E$121"),"half true")</f>
        <v>0</v>
      </c>
      <c r="F34" t="b">
        <v>0</v>
      </c>
      <c r="G34">
        <f ca="1">COUNTIFS(INDIRECT(F31 &amp; "!$C$2:$C$121"),FALSE, INDIRECT(F31 &amp; "!$E$2:$E$121"),TRUE)</f>
        <v>0</v>
      </c>
      <c r="H34">
        <f ca="1">COUNTIFS(INDIRECT(F31 &amp; "!$C$2:$C$121"),FALSE, INDIRECT(F31 &amp; "!$E$2:$E$121"),FALSE)</f>
        <v>19</v>
      </c>
      <c r="I34">
        <f ca="1">COUNTIFS(INDIRECT(F31 &amp; "!$C$2:$C$121"),FALSE, INDIRECT(F31 &amp; "!$E$2:$E$121"),"half true")</f>
        <v>0</v>
      </c>
    </row>
    <row r="35" spans="1:9">
      <c r="A35" t="s">
        <v>8</v>
      </c>
      <c r="B35">
        <f ca="1">COUNTIFS(INDIRECT(A31 &amp; "!$C$2:$C$121"),"half true", INDIRECT(A31 &amp; "!$E$2:$E$121"),TRUE)</f>
        <v>0</v>
      </c>
      <c r="C35">
        <f ca="1">COUNTIFS(INDIRECT(A31 &amp; "!$C$2:$C$121"),"half true", INDIRECT(A31 &amp; "!$E$2:$E$121"),FALSE)</f>
        <v>0</v>
      </c>
      <c r="D35">
        <f ca="1">COUNTIFS(INDIRECT(A31 &amp; "!$C$2:$C$121"),"half true", INDIRECT(A31 &amp; "!$E$2:$E$121"),"half true")</f>
        <v>10</v>
      </c>
      <c r="F35" t="s">
        <v>8</v>
      </c>
      <c r="G35">
        <f ca="1">COUNTIFS(INDIRECT(F31 &amp; "!$C$2:$C$121"),"half true", INDIRECT(F31 &amp; "!$E$2:$E$121"),TRUE)</f>
        <v>0</v>
      </c>
      <c r="H35">
        <f ca="1">COUNTIFS(INDIRECT(F31 &amp; "!$C$2:$C$121"),"half true", INDIRECT(F31 &amp; "!$E$2:$E$121"),FALSE)</f>
        <v>5</v>
      </c>
      <c r="I35">
        <f ca="1">COUNTIFS(INDIRECT(F31 &amp; "!$C$2:$C$121"),"half true", INDIRECT(F31 &amp; "!$E$2:$E$121"),"half true")</f>
        <v>8</v>
      </c>
    </row>
    <row r="36" spans="1:9">
      <c r="A36" t="s">
        <v>13</v>
      </c>
      <c r="B36">
        <f ca="1">SUM(B33:D35)</f>
        <v>120</v>
      </c>
      <c r="F36" t="s">
        <v>13</v>
      </c>
      <c r="G36">
        <f ca="1">SUM(G33:I35)</f>
        <v>120</v>
      </c>
    </row>
    <row r="37" spans="1:9">
      <c r="A37" t="s">
        <v>14</v>
      </c>
      <c r="B37">
        <f ca="1">(B33+C34+D35)/B36</f>
        <v>1</v>
      </c>
      <c r="F37" t="s">
        <v>14</v>
      </c>
      <c r="G37">
        <f ca="1">(G33+H34+I35)/G36</f>
        <v>0.95833333333333337</v>
      </c>
    </row>
    <row r="38" spans="1:9">
      <c r="A38" t="s">
        <v>15</v>
      </c>
      <c r="B38">
        <f ca="1">((SUM(B33:D33)*SUM(B33:B35))+(SUM(B34:D34)*SUM(C33:C35))+(SUM(B35:D35)*SUM(D33:D35)))/(B36^2)</f>
        <v>0.56055555555555558</v>
      </c>
      <c r="F38" t="s">
        <v>15</v>
      </c>
      <c r="G38">
        <f ca="1">((SUM(G33:I33)*SUM(G33:G35))+(SUM(G34:I34)*SUM(H33:H35))+(SUM(G35:I35)*SUM(I33:I35)))/(G36^2)</f>
        <v>0.57666666666666666</v>
      </c>
    </row>
    <row r="39" spans="1:9">
      <c r="A39" t="s">
        <v>16</v>
      </c>
      <c r="B39">
        <f ca="1">(B37-B38)/(1-B38)</f>
        <v>1</v>
      </c>
      <c r="F39" t="s">
        <v>16</v>
      </c>
      <c r="G39">
        <f ca="1">(G37-G38)/(1-G38)</f>
        <v>0.90157480314960636</v>
      </c>
    </row>
    <row r="41" spans="1:9">
      <c r="A41" t="s">
        <v>17</v>
      </c>
    </row>
    <row r="42" spans="1:9">
      <c r="B42" t="b">
        <v>1</v>
      </c>
      <c r="C42" t="b">
        <v>0</v>
      </c>
      <c r="D42" t="s">
        <v>8</v>
      </c>
    </row>
    <row r="43" spans="1:9">
      <c r="A43" t="b">
        <v>1</v>
      </c>
      <c r="B43">
        <f ca="1">B3+G3+B13+G13+B23+G23+B33+G33</f>
        <v>664</v>
      </c>
      <c r="C43">
        <f t="shared" ref="C43:D45" ca="1" si="3">C3+H3+C13+H13+C23+H23+C33+H33</f>
        <v>0</v>
      </c>
      <c r="D43">
        <f t="shared" ca="1" si="3"/>
        <v>0</v>
      </c>
    </row>
    <row r="44" spans="1:9">
      <c r="A44" t="b">
        <v>0</v>
      </c>
      <c r="B44">
        <f t="shared" ref="B44:B45" ca="1" si="4">B4+G4+B14+G14+B24+G24+B34+G34</f>
        <v>0</v>
      </c>
      <c r="C44">
        <f t="shared" ca="1" si="3"/>
        <v>211</v>
      </c>
      <c r="D44">
        <f t="shared" ca="1" si="3"/>
        <v>0</v>
      </c>
    </row>
    <row r="45" spans="1:9">
      <c r="A45" t="s">
        <v>8</v>
      </c>
      <c r="B45">
        <f t="shared" ca="1" si="4"/>
        <v>0</v>
      </c>
      <c r="C45">
        <f t="shared" ca="1" si="3"/>
        <v>51</v>
      </c>
      <c r="D45">
        <f t="shared" ca="1" si="3"/>
        <v>34</v>
      </c>
    </row>
    <row r="46" spans="1:9">
      <c r="A46" t="s">
        <v>13</v>
      </c>
      <c r="B46">
        <f ca="1">SUM(B43:D45)</f>
        <v>960</v>
      </c>
    </row>
    <row r="47" spans="1:9">
      <c r="A47" t="s">
        <v>14</v>
      </c>
      <c r="B47">
        <f ca="1">(B43+C44+D45)/B46</f>
        <v>0.94687500000000002</v>
      </c>
    </row>
    <row r="48" spans="1:9">
      <c r="A48" t="s">
        <v>15</v>
      </c>
      <c r="B48">
        <f ca="1">((SUM(B43:D43)*SUM(B43:B45))+(SUM(B44:D44)*SUM(C43:C45))+(SUM(B45:D45)*SUM(D43:D45)))/(B46^2)</f>
        <v>0.54152343749999998</v>
      </c>
    </row>
    <row r="49" spans="1:2">
      <c r="A49" t="s">
        <v>16</v>
      </c>
      <c r="B49">
        <f ca="1">(B47-B48)/(1-B48)</f>
        <v>0.88412711936610722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zoomScale="80" zoomScaleNormal="80" workbookViewId="0">
      <selection activeCell="E1" sqref="E1"/>
    </sheetView>
  </sheetViews>
  <sheetFormatPr defaultColWidth="8.5703125" defaultRowHeight="15"/>
  <cols>
    <col min="1" max="1" width="47.28515625" customWidth="1"/>
    <col min="2" max="2" width="38.28515625" customWidth="1"/>
    <col min="4" max="4" width="37.14062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30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32</v>
      </c>
      <c r="C6" t="s">
        <v>8</v>
      </c>
      <c r="D6" t="s">
        <v>33</v>
      </c>
      <c r="E6" t="b">
        <v>0</v>
      </c>
    </row>
    <row r="7" spans="1:5">
      <c r="A7" t="s">
        <v>34</v>
      </c>
      <c r="B7" t="s">
        <v>35</v>
      </c>
      <c r="C7" t="b">
        <f>TRUE()</f>
        <v>1</v>
      </c>
      <c r="E7" t="b">
        <f>TRUE()</f>
        <v>1</v>
      </c>
    </row>
    <row r="8" spans="1:5">
      <c r="A8" t="s">
        <v>36</v>
      </c>
      <c r="B8" t="s">
        <v>37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39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30</v>
      </c>
      <c r="C11" t="b">
        <f>TRUE()</f>
        <v>1</v>
      </c>
      <c r="E11" t="b">
        <f>TRUE()</f>
        <v>1</v>
      </c>
    </row>
    <row r="12" spans="1:5">
      <c r="A12" t="s">
        <v>43</v>
      </c>
      <c r="B12" t="s">
        <v>44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46</v>
      </c>
      <c r="C13" t="b">
        <f>TRUE()</f>
        <v>1</v>
      </c>
      <c r="E13" t="b">
        <f>TRUE()</f>
        <v>1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54</v>
      </c>
      <c r="C17" t="b">
        <f>TRUE()</f>
        <v>1</v>
      </c>
      <c r="E17" t="b">
        <f>TRUE()</f>
        <v>1</v>
      </c>
    </row>
    <row r="18" spans="1:5" ht="33.6">
      <c r="A18" t="s">
        <v>55</v>
      </c>
      <c r="B18" s="2" t="s">
        <v>56</v>
      </c>
      <c r="C18" t="s">
        <v>8</v>
      </c>
      <c r="D18" t="s">
        <v>57</v>
      </c>
      <c r="E18" t="b">
        <v>0</v>
      </c>
    </row>
    <row r="19" spans="1:5">
      <c r="A19" t="s">
        <v>58</v>
      </c>
      <c r="B19" t="s">
        <v>59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30</v>
      </c>
      <c r="C23" t="b">
        <f>TRUE()</f>
        <v>1</v>
      </c>
      <c r="E23" t="b">
        <f>TRUE()</f>
        <v>1</v>
      </c>
    </row>
    <row r="24" spans="1:5" ht="33.6">
      <c r="A24" t="s">
        <v>67</v>
      </c>
      <c r="B24" s="2" t="s">
        <v>68</v>
      </c>
      <c r="C24" t="b">
        <f>FALSE()</f>
        <v>0</v>
      </c>
      <c r="E24" t="b">
        <f>FALSE()</f>
        <v>0</v>
      </c>
    </row>
    <row r="25" spans="1:5">
      <c r="A25" t="s">
        <v>69</v>
      </c>
      <c r="B25" t="s">
        <v>35</v>
      </c>
      <c r="C25" t="b">
        <f>FALSE()</f>
        <v>0</v>
      </c>
      <c r="E25" t="b">
        <f>FALSE()</f>
        <v>0</v>
      </c>
    </row>
    <row r="26" spans="1:5">
      <c r="A26" t="s">
        <v>70</v>
      </c>
      <c r="B26" t="s">
        <v>71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30</v>
      </c>
      <c r="C29" t="b">
        <f>TRUE()</f>
        <v>1</v>
      </c>
      <c r="E29" t="b">
        <f>TRUE()</f>
        <v>1</v>
      </c>
    </row>
    <row r="30" spans="1:5">
      <c r="A30" t="s">
        <v>77</v>
      </c>
      <c r="B30" t="s">
        <v>78</v>
      </c>
      <c r="C30" t="b">
        <f>FALSE()</f>
        <v>0</v>
      </c>
      <c r="E30" t="b">
        <f>FALSE()</f>
        <v>0</v>
      </c>
    </row>
    <row r="31" spans="1:5">
      <c r="A31" t="s">
        <v>79</v>
      </c>
      <c r="B31" t="s">
        <v>35</v>
      </c>
      <c r="C31" t="b">
        <f>TRUE()</f>
        <v>1</v>
      </c>
      <c r="E31" t="b">
        <f>TRUE()</f>
        <v>1</v>
      </c>
    </row>
    <row r="32" spans="1:5">
      <c r="A32" t="s">
        <v>80</v>
      </c>
      <c r="B32" t="s">
        <v>81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83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30</v>
      </c>
      <c r="C35" t="b">
        <f>TRUE()</f>
        <v>1</v>
      </c>
      <c r="E35" t="b">
        <f>TRUE()</f>
        <v>1</v>
      </c>
    </row>
    <row r="36" spans="1:5" ht="33.6">
      <c r="A36" t="s">
        <v>87</v>
      </c>
      <c r="B36" s="2" t="s">
        <v>88</v>
      </c>
      <c r="C36" t="s">
        <v>8</v>
      </c>
      <c r="E36" t="b">
        <v>0</v>
      </c>
    </row>
    <row r="37" spans="1:5">
      <c r="A37" t="s">
        <v>89</v>
      </c>
      <c r="B37" t="s">
        <v>90</v>
      </c>
      <c r="C37" t="b">
        <f>TRUE()</f>
        <v>1</v>
      </c>
      <c r="E37" t="b">
        <f>TRUE()</f>
        <v>1</v>
      </c>
    </row>
    <row r="38" spans="1:5">
      <c r="A38" t="s">
        <v>91</v>
      </c>
      <c r="B38" t="s">
        <v>92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98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35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35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30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107</v>
      </c>
      <c r="C48" t="s">
        <v>8</v>
      </c>
      <c r="E48" t="b">
        <v>0</v>
      </c>
    </row>
    <row r="49" spans="1:5">
      <c r="A49" t="s">
        <v>108</v>
      </c>
      <c r="B49" t="s">
        <v>109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111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30</v>
      </c>
      <c r="C53" t="b">
        <f>TRUE()</f>
        <v>1</v>
      </c>
      <c r="E53" t="b">
        <f>TRUE()</f>
        <v>1</v>
      </c>
    </row>
    <row r="54" spans="1:5" ht="33.6">
      <c r="A54" t="s">
        <v>117</v>
      </c>
      <c r="B54" s="2" t="s">
        <v>118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120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30</v>
      </c>
      <c r="C59" t="b">
        <f>TRUE()</f>
        <v>1</v>
      </c>
      <c r="E59" t="b">
        <f>TRUE()</f>
        <v>1</v>
      </c>
    </row>
    <row r="60" spans="1:5" ht="49.35">
      <c r="A60" t="s">
        <v>127</v>
      </c>
      <c r="B60" s="2" t="s">
        <v>128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130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140</v>
      </c>
      <c r="C66" t="s">
        <v>8</v>
      </c>
      <c r="E66" t="b">
        <v>0</v>
      </c>
    </row>
    <row r="67" spans="1:5">
      <c r="A67" t="s">
        <v>141</v>
      </c>
      <c r="B67" t="s">
        <v>142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138</v>
      </c>
      <c r="C71" t="b">
        <f>TRUE()</f>
        <v>1</v>
      </c>
      <c r="E71" t="b">
        <f>TRUE()</f>
        <v>1</v>
      </c>
    </row>
    <row r="72" spans="1:5" ht="33.6">
      <c r="A72" t="s">
        <v>150</v>
      </c>
      <c r="B72" s="2" t="s">
        <v>151</v>
      </c>
      <c r="C72" t="b">
        <f>FALSE()</f>
        <v>0</v>
      </c>
      <c r="E72" t="b">
        <f>FALSE()</f>
        <v>0</v>
      </c>
    </row>
    <row r="73" spans="1:5">
      <c r="A73" t="s">
        <v>152</v>
      </c>
      <c r="B73" t="s">
        <v>153</v>
      </c>
      <c r="C73" t="b">
        <f>TRUE()</f>
        <v>1</v>
      </c>
      <c r="E73" t="b">
        <f>TRUE()</f>
        <v>1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159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138</v>
      </c>
      <c r="C77" t="b">
        <f>TRUE()</f>
        <v>1</v>
      </c>
      <c r="E77" t="b">
        <f>TRUE()</f>
        <v>1</v>
      </c>
    </row>
    <row r="78" spans="1:5" ht="33.6">
      <c r="A78" t="s">
        <v>161</v>
      </c>
      <c r="B78" s="2" t="s">
        <v>162</v>
      </c>
      <c r="C78" t="b">
        <f>FALSE()</f>
        <v>0</v>
      </c>
      <c r="E78" t="b">
        <f>FALSE()</f>
        <v>0</v>
      </c>
    </row>
    <row r="79" spans="1:5">
      <c r="A79" t="s">
        <v>163</v>
      </c>
      <c r="B79" t="s">
        <v>159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165</v>
      </c>
      <c r="C80" t="b">
        <f>FALSE()</f>
        <v>0</v>
      </c>
      <c r="D80" t="s">
        <v>166</v>
      </c>
      <c r="E80" t="b">
        <f>FALSE()</f>
        <v>0</v>
      </c>
    </row>
    <row r="81" spans="1:5">
      <c r="A81" t="s">
        <v>167</v>
      </c>
      <c r="B81" t="s">
        <v>168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138</v>
      </c>
      <c r="C83" t="b">
        <f>TRUE()</f>
        <v>1</v>
      </c>
      <c r="E83" t="b">
        <f>TRUE()</f>
        <v>1</v>
      </c>
    </row>
    <row r="84" spans="1:5" ht="49.35">
      <c r="A84" t="s">
        <v>172</v>
      </c>
      <c r="B84" s="2" t="s">
        <v>173</v>
      </c>
      <c r="C84" t="s">
        <v>8</v>
      </c>
      <c r="E84" s="3" t="b">
        <v>0</v>
      </c>
    </row>
    <row r="85" spans="1:5">
      <c r="A85" t="s">
        <v>174</v>
      </c>
      <c r="B85" t="s">
        <v>52</v>
      </c>
      <c r="C85" t="b">
        <f>FALSE()</f>
        <v>0</v>
      </c>
      <c r="E85" t="b">
        <f>FALSE()</f>
        <v>0</v>
      </c>
    </row>
    <row r="86" spans="1:5">
      <c r="A86" t="s">
        <v>175</v>
      </c>
      <c r="B86" t="s">
        <v>176</v>
      </c>
      <c r="C86" t="b">
        <f>TRUE()</f>
        <v>1</v>
      </c>
      <c r="E86" t="b">
        <f>TRUE()</f>
        <v>1</v>
      </c>
    </row>
    <row r="87" spans="1:5">
      <c r="A87" t="s">
        <v>177</v>
      </c>
      <c r="B87" t="s">
        <v>178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148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138</v>
      </c>
      <c r="C89" t="b">
        <f>TRUE()</f>
        <v>1</v>
      </c>
      <c r="E89" t="b">
        <f>TRUE()</f>
        <v>1</v>
      </c>
    </row>
    <row r="90" spans="1:5" ht="49.35">
      <c r="A90" t="s">
        <v>181</v>
      </c>
      <c r="B90" s="2" t="s">
        <v>182</v>
      </c>
      <c r="C90" t="b">
        <f>FALSE()</f>
        <v>0</v>
      </c>
      <c r="E90" t="b">
        <f>FALSE()</f>
        <v>0</v>
      </c>
    </row>
    <row r="91" spans="1:5">
      <c r="A91" t="s">
        <v>183</v>
      </c>
      <c r="B91" t="s">
        <v>184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186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188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138</v>
      </c>
      <c r="C95" t="b">
        <f>TRUE()</f>
        <v>1</v>
      </c>
      <c r="E95" t="b">
        <f>TRUE()</f>
        <v>1</v>
      </c>
    </row>
    <row r="96" spans="1:5" ht="33.6">
      <c r="A96" t="s">
        <v>191</v>
      </c>
      <c r="B96" s="2" t="s">
        <v>192</v>
      </c>
      <c r="C96" t="b">
        <f>FALSE()</f>
        <v>0</v>
      </c>
      <c r="D96" t="s">
        <v>193</v>
      </c>
      <c r="E96" t="b">
        <f>FALSE()</f>
        <v>0</v>
      </c>
    </row>
    <row r="97" spans="1:5">
      <c r="A97" t="s">
        <v>194</v>
      </c>
      <c r="B97" t="s">
        <v>195</v>
      </c>
      <c r="C97" t="b">
        <f>TRUE()</f>
        <v>1</v>
      </c>
      <c r="E97" t="b">
        <f>TRUE()</f>
        <v>1</v>
      </c>
    </row>
    <row r="98" spans="1:5">
      <c r="A98" t="s">
        <v>196</v>
      </c>
      <c r="B98" t="s">
        <v>197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199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138</v>
      </c>
      <c r="C101" t="b">
        <f>TRUE()</f>
        <v>1</v>
      </c>
      <c r="E101" t="b">
        <f>TRUE()</f>
        <v>1</v>
      </c>
    </row>
    <row r="102" spans="1:5">
      <c r="A102" t="s">
        <v>203</v>
      </c>
      <c r="B102" t="s">
        <v>204</v>
      </c>
      <c r="C102" t="s">
        <v>8</v>
      </c>
      <c r="E102" t="b">
        <v>0</v>
      </c>
    </row>
    <row r="103" spans="1:5">
      <c r="A103" t="s">
        <v>205</v>
      </c>
      <c r="B103" t="s">
        <v>120</v>
      </c>
      <c r="C103" t="b">
        <f>TRUE()</f>
        <v>1</v>
      </c>
      <c r="E103" t="b">
        <f>TRUE()</f>
        <v>1</v>
      </c>
    </row>
    <row r="104" spans="1:5">
      <c r="A104" t="s">
        <v>206</v>
      </c>
      <c r="B104" t="s">
        <v>207</v>
      </c>
      <c r="C104" t="b">
        <f>TRUE()</f>
        <v>1</v>
      </c>
      <c r="E104" t="b">
        <f>TRUE()</f>
        <v>1</v>
      </c>
    </row>
    <row r="105" spans="1:5">
      <c r="A105" t="s">
        <v>208</v>
      </c>
      <c r="B105" t="s">
        <v>209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138</v>
      </c>
      <c r="C107" t="b">
        <f>TRUE()</f>
        <v>1</v>
      </c>
      <c r="E107" t="b">
        <f>TRUE()</f>
        <v>1</v>
      </c>
    </row>
    <row r="108" spans="1:5">
      <c r="A108" t="s">
        <v>213</v>
      </c>
      <c r="B108" t="s">
        <v>214</v>
      </c>
      <c r="C108" t="b">
        <f>FALSE()</f>
        <v>0</v>
      </c>
      <c r="E108" t="b">
        <f>FALSE()</f>
        <v>0</v>
      </c>
    </row>
    <row r="109" spans="1:5">
      <c r="A109" t="s">
        <v>215</v>
      </c>
      <c r="B109" t="s">
        <v>52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219</v>
      </c>
      <c r="C111" t="b">
        <f>TRUE()</f>
        <v>1</v>
      </c>
      <c r="E111" t="b">
        <f>TRUE()</f>
        <v>1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138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224</v>
      </c>
      <c r="C114" t="b">
        <f>FALSE()</f>
        <v>0</v>
      </c>
      <c r="D114" t="s">
        <v>225</v>
      </c>
      <c r="E114" t="b">
        <f>FALSE()</f>
        <v>0</v>
      </c>
    </row>
    <row r="115" spans="1:5">
      <c r="A115" t="s">
        <v>226</v>
      </c>
      <c r="B115" t="s">
        <v>120</v>
      </c>
      <c r="C115" t="b">
        <f>FALSE()</f>
        <v>0</v>
      </c>
      <c r="E115" t="b">
        <f>FALSE()</f>
        <v>0</v>
      </c>
    </row>
    <row r="116" spans="1:5">
      <c r="A116" t="s">
        <v>227</v>
      </c>
      <c r="B116" t="s">
        <v>228</v>
      </c>
      <c r="C116" t="b">
        <f>TRUE()</f>
        <v>1</v>
      </c>
      <c r="E116" t="b">
        <f>TRUE()</f>
        <v>1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138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235</v>
      </c>
      <c r="C120" t="b">
        <f>FALSE()</f>
        <v>0</v>
      </c>
      <c r="E120" t="b">
        <f>FALSE()</f>
        <v>0</v>
      </c>
    </row>
    <row r="121" spans="1:5">
      <c r="A121" t="s">
        <v>236</v>
      </c>
      <c r="B121" t="s">
        <v>120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zoomScale="80" zoomScaleNormal="80" workbookViewId="0">
      <selection activeCell="J17" sqref="J17"/>
    </sheetView>
  </sheetViews>
  <sheetFormatPr defaultColWidth="8.5703125" defaultRowHeight="15"/>
  <cols>
    <col min="1" max="1" width="50.85546875" customWidth="1"/>
    <col min="2" max="2" width="41.4257812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30</v>
      </c>
      <c r="C5" t="b">
        <f>TRUE()</f>
        <v>1</v>
      </c>
      <c r="E5" t="b">
        <f>TRUE()</f>
        <v>1</v>
      </c>
    </row>
    <row r="6" spans="1:5" ht="33.6">
      <c r="A6" t="s">
        <v>31</v>
      </c>
      <c r="B6" s="2" t="s">
        <v>237</v>
      </c>
      <c r="C6" t="s">
        <v>8</v>
      </c>
      <c r="E6" t="b">
        <v>0</v>
      </c>
    </row>
    <row r="7" spans="1:5">
      <c r="A7" t="s">
        <v>34</v>
      </c>
      <c r="B7" t="s">
        <v>35</v>
      </c>
      <c r="C7" t="b">
        <f>TRUE()</f>
        <v>1</v>
      </c>
      <c r="E7" t="b">
        <f>TRUE()</f>
        <v>1</v>
      </c>
    </row>
    <row r="8" spans="1:5">
      <c r="A8" t="s">
        <v>36</v>
      </c>
      <c r="B8" t="s">
        <v>37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39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30</v>
      </c>
      <c r="C11" t="b">
        <f>TRUE()</f>
        <v>1</v>
      </c>
      <c r="E11" t="b">
        <f>TRUE()</f>
        <v>1</v>
      </c>
    </row>
    <row r="12" spans="1:5" ht="33.6">
      <c r="A12" t="s">
        <v>43</v>
      </c>
      <c r="B12" s="2" t="s">
        <v>238</v>
      </c>
      <c r="C12" t="s">
        <v>8</v>
      </c>
      <c r="E12" t="b">
        <v>0</v>
      </c>
    </row>
    <row r="13" spans="1:5">
      <c r="A13" t="s">
        <v>45</v>
      </c>
      <c r="B13" t="s">
        <v>239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240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30</v>
      </c>
      <c r="C17" t="b">
        <f>TRUE()</f>
        <v>1</v>
      </c>
      <c r="E17" t="b">
        <f>TRUE()</f>
        <v>1</v>
      </c>
    </row>
    <row r="18" spans="1:5" ht="33.6">
      <c r="A18" t="s">
        <v>55</v>
      </c>
      <c r="B18" s="2" t="s">
        <v>241</v>
      </c>
      <c r="C18" t="s">
        <v>8</v>
      </c>
      <c r="E18" t="b">
        <v>0</v>
      </c>
    </row>
    <row r="19" spans="1:5">
      <c r="A19" t="s">
        <v>58</v>
      </c>
      <c r="B19" t="s">
        <v>242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243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30</v>
      </c>
      <c r="C23" t="b">
        <f>TRUE()</f>
        <v>1</v>
      </c>
      <c r="E23" t="b">
        <f>TRUE()</f>
        <v>1</v>
      </c>
    </row>
    <row r="24" spans="1:5" ht="33.6">
      <c r="A24" t="s">
        <v>67</v>
      </c>
      <c r="B24" s="2" t="s">
        <v>244</v>
      </c>
      <c r="C24" t="s">
        <v>8</v>
      </c>
      <c r="E24" t="b">
        <v>0</v>
      </c>
    </row>
    <row r="25" spans="1:5">
      <c r="A25" t="s">
        <v>69</v>
      </c>
      <c r="B25" t="s">
        <v>245</v>
      </c>
      <c r="C25" t="b">
        <f>FALSE()</f>
        <v>0</v>
      </c>
      <c r="E25" t="b">
        <f>FALSE()</f>
        <v>0</v>
      </c>
    </row>
    <row r="26" spans="1:5">
      <c r="A26" t="s">
        <v>70</v>
      </c>
      <c r="B26" t="s">
        <v>71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30</v>
      </c>
      <c r="C29" t="b">
        <f>TRUE()</f>
        <v>1</v>
      </c>
      <c r="E29" t="b">
        <f>TRUE()</f>
        <v>1</v>
      </c>
    </row>
    <row r="30" spans="1:5" ht="33.6">
      <c r="A30" t="s">
        <v>77</v>
      </c>
      <c r="B30" s="2" t="s">
        <v>237</v>
      </c>
      <c r="C30" t="s">
        <v>8</v>
      </c>
      <c r="E30" t="b">
        <v>0</v>
      </c>
    </row>
    <row r="31" spans="1:5">
      <c r="A31" t="s">
        <v>79</v>
      </c>
      <c r="B31" t="s">
        <v>245</v>
      </c>
      <c r="C31" t="b">
        <f>FALSE()</f>
        <v>0</v>
      </c>
      <c r="E31" t="b">
        <f>FALSE()</f>
        <v>0</v>
      </c>
    </row>
    <row r="32" spans="1:5">
      <c r="A32" t="s">
        <v>80</v>
      </c>
      <c r="B32" t="s">
        <v>246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247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30</v>
      </c>
      <c r="C35" t="b">
        <f>TRUE()</f>
        <v>1</v>
      </c>
      <c r="E35" t="b">
        <f>TRUE()</f>
        <v>1</v>
      </c>
    </row>
    <row r="36" spans="1:5" ht="33.6">
      <c r="A36" t="s">
        <v>87</v>
      </c>
      <c r="B36" s="2" t="s">
        <v>248</v>
      </c>
      <c r="C36" t="s">
        <v>8</v>
      </c>
      <c r="E36" t="b">
        <v>0</v>
      </c>
    </row>
    <row r="37" spans="1:5">
      <c r="A37" t="s">
        <v>89</v>
      </c>
      <c r="B37" t="s">
        <v>249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250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251</v>
      </c>
      <c r="C42" t="s">
        <v>8</v>
      </c>
      <c r="E42" t="b">
        <v>0</v>
      </c>
    </row>
    <row r="43" spans="1:5">
      <c r="A43" t="s">
        <v>99</v>
      </c>
      <c r="B43" t="s">
        <v>35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252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30</v>
      </c>
      <c r="C47" t="b">
        <f>TRUE()</f>
        <v>1</v>
      </c>
      <c r="E47" t="b">
        <f>TRUE()</f>
        <v>1</v>
      </c>
    </row>
    <row r="48" spans="1:5" ht="33.6">
      <c r="A48" t="s">
        <v>106</v>
      </c>
      <c r="B48" s="2" t="s">
        <v>241</v>
      </c>
      <c r="C48" t="s">
        <v>8</v>
      </c>
      <c r="E48" t="b">
        <v>0</v>
      </c>
    </row>
    <row r="49" spans="1:5">
      <c r="A49" t="s">
        <v>108</v>
      </c>
      <c r="B49" t="s">
        <v>159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253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30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254</v>
      </c>
      <c r="C54" t="s">
        <v>8</v>
      </c>
      <c r="E54" t="b">
        <v>0</v>
      </c>
    </row>
    <row r="55" spans="1:5">
      <c r="A55" t="s">
        <v>119</v>
      </c>
      <c r="B55" t="s">
        <v>35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30</v>
      </c>
      <c r="C59" t="b">
        <f>TRUE()</f>
        <v>1</v>
      </c>
      <c r="E59" t="b">
        <f>TRUE()</f>
        <v>1</v>
      </c>
    </row>
    <row r="60" spans="1:5" ht="33.6">
      <c r="A60" t="s">
        <v>127</v>
      </c>
      <c r="B60" s="2" t="s">
        <v>255</v>
      </c>
      <c r="C60" t="s">
        <v>8</v>
      </c>
      <c r="E60" t="b">
        <v>0</v>
      </c>
    </row>
    <row r="61" spans="1:5">
      <c r="A61" t="s">
        <v>129</v>
      </c>
      <c r="B61" t="s">
        <v>35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 ht="33.6">
      <c r="A66" t="s">
        <v>139</v>
      </c>
      <c r="B66" s="2" t="s">
        <v>256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257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138</v>
      </c>
      <c r="C71" t="b">
        <f>TRUE()</f>
        <v>1</v>
      </c>
      <c r="E71" t="b">
        <f>TRUE()</f>
        <v>1</v>
      </c>
    </row>
    <row r="72" spans="1:5" ht="33.6">
      <c r="A72" t="s">
        <v>150</v>
      </c>
      <c r="B72" s="2" t="s">
        <v>258</v>
      </c>
      <c r="C72" t="s">
        <v>8</v>
      </c>
      <c r="E72" t="b">
        <v>0</v>
      </c>
    </row>
    <row r="73" spans="1:5">
      <c r="A73" t="s">
        <v>152</v>
      </c>
      <c r="B73" t="s">
        <v>159</v>
      </c>
      <c r="C73" t="b">
        <f>FALSE()</f>
        <v>0</v>
      </c>
      <c r="E73" t="b">
        <f>FALSE()</f>
        <v>0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159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138</v>
      </c>
      <c r="C77" t="b">
        <f>TRUE()</f>
        <v>1</v>
      </c>
      <c r="E77" t="b">
        <f>TRUE()</f>
        <v>1</v>
      </c>
    </row>
    <row r="78" spans="1:5">
      <c r="A78" t="s">
        <v>161</v>
      </c>
      <c r="B78" t="s">
        <v>259</v>
      </c>
      <c r="C78" t="s">
        <v>8</v>
      </c>
      <c r="E78" t="b">
        <v>0</v>
      </c>
    </row>
    <row r="79" spans="1:5">
      <c r="A79" t="s">
        <v>163</v>
      </c>
      <c r="B79" t="s">
        <v>260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261</v>
      </c>
      <c r="C80" t="b">
        <f>FALSE()</f>
        <v>0</v>
      </c>
      <c r="E80" t="b">
        <f>FALSE()</f>
        <v>0</v>
      </c>
    </row>
    <row r="81" spans="1:5">
      <c r="A81" t="s">
        <v>167</v>
      </c>
      <c r="B81" t="s">
        <v>168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138</v>
      </c>
      <c r="C83" t="b">
        <f>TRUE()</f>
        <v>1</v>
      </c>
      <c r="E83" t="b">
        <f>TRUE()</f>
        <v>1</v>
      </c>
    </row>
    <row r="84" spans="1:5" ht="33.6">
      <c r="A84" t="s">
        <v>172</v>
      </c>
      <c r="B84" s="2" t="s">
        <v>262</v>
      </c>
      <c r="C84" t="s">
        <v>8</v>
      </c>
      <c r="E84" t="b">
        <v>0</v>
      </c>
    </row>
    <row r="85" spans="1:5">
      <c r="A85" t="s">
        <v>174</v>
      </c>
      <c r="B85" t="s">
        <v>159</v>
      </c>
      <c r="C85" t="b">
        <f>FALSE()</f>
        <v>0</v>
      </c>
      <c r="E85" t="b">
        <f>FALSE()</f>
        <v>0</v>
      </c>
    </row>
    <row r="86" spans="1:5">
      <c r="A86" t="s">
        <v>175</v>
      </c>
      <c r="B86" t="s">
        <v>176</v>
      </c>
      <c r="C86" t="b">
        <f>TRUE()</f>
        <v>1</v>
      </c>
      <c r="E86" t="b">
        <f>TRUE()</f>
        <v>1</v>
      </c>
    </row>
    <row r="87" spans="1:5">
      <c r="A87" t="s">
        <v>177</v>
      </c>
      <c r="B87" t="s">
        <v>263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148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138</v>
      </c>
      <c r="C89" t="b">
        <f>TRUE()</f>
        <v>1</v>
      </c>
      <c r="E89" t="b">
        <f>TRUE()</f>
        <v>1</v>
      </c>
    </row>
    <row r="90" spans="1:5" ht="33.6">
      <c r="A90" t="s">
        <v>181</v>
      </c>
      <c r="B90" s="2" t="s">
        <v>264</v>
      </c>
      <c r="C90" t="b">
        <f>FALSE()</f>
        <v>0</v>
      </c>
      <c r="E90" t="b">
        <f>FALSE()</f>
        <v>0</v>
      </c>
    </row>
    <row r="91" spans="1:5">
      <c r="A91" t="s">
        <v>183</v>
      </c>
      <c r="B91" t="s">
        <v>239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186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265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138</v>
      </c>
      <c r="C95" t="b">
        <f>TRUE()</f>
        <v>1</v>
      </c>
      <c r="E95" t="b">
        <f>TRUE()</f>
        <v>1</v>
      </c>
    </row>
    <row r="96" spans="1:5" ht="49.35">
      <c r="A96" t="s">
        <v>191</v>
      </c>
      <c r="B96" s="2" t="s">
        <v>266</v>
      </c>
      <c r="C96" t="b">
        <f>FALSE()</f>
        <v>0</v>
      </c>
      <c r="E96" t="b">
        <f>FALSE()</f>
        <v>0</v>
      </c>
    </row>
    <row r="97" spans="1:5">
      <c r="A97" t="s">
        <v>194</v>
      </c>
      <c r="B97" t="s">
        <v>242</v>
      </c>
      <c r="C97" t="b">
        <f>FALSE()</f>
        <v>0</v>
      </c>
      <c r="E97" t="b">
        <f>FALSE()</f>
        <v>0</v>
      </c>
    </row>
    <row r="98" spans="1:5">
      <c r="A98" t="s">
        <v>196</v>
      </c>
      <c r="B98" t="s">
        <v>197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199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138</v>
      </c>
      <c r="C101" t="b">
        <f>TRUE()</f>
        <v>1</v>
      </c>
      <c r="E101" t="b">
        <f>TRUE()</f>
        <v>1</v>
      </c>
    </row>
    <row r="102" spans="1:5">
      <c r="A102" t="s">
        <v>203</v>
      </c>
      <c r="B102" t="s">
        <v>267</v>
      </c>
      <c r="C102" t="b">
        <f>TRUE()</f>
        <v>1</v>
      </c>
      <c r="E102" t="b">
        <f>TRUE()</f>
        <v>1</v>
      </c>
    </row>
    <row r="103" spans="1:5">
      <c r="A103" t="s">
        <v>205</v>
      </c>
      <c r="B103" t="s">
        <v>120</v>
      </c>
      <c r="C103" t="b">
        <f>TRUE()</f>
        <v>1</v>
      </c>
      <c r="E103" t="b">
        <f>TRUE()</f>
        <v>1</v>
      </c>
    </row>
    <row r="104" spans="1:5">
      <c r="A104" t="s">
        <v>206</v>
      </c>
      <c r="B104" t="s">
        <v>207</v>
      </c>
      <c r="C104" t="b">
        <f>TRUE()</f>
        <v>1</v>
      </c>
      <c r="E104" t="b">
        <f>TRUE()</f>
        <v>1</v>
      </c>
    </row>
    <row r="105" spans="1:5">
      <c r="A105" t="s">
        <v>208</v>
      </c>
      <c r="B105" t="s">
        <v>209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138</v>
      </c>
      <c r="C107" t="b">
        <f>TRUE()</f>
        <v>1</v>
      </c>
      <c r="E107" t="b">
        <f>TRUE()</f>
        <v>1</v>
      </c>
    </row>
    <row r="108" spans="1:5">
      <c r="A108" t="s">
        <v>213</v>
      </c>
      <c r="B108" t="s">
        <v>214</v>
      </c>
      <c r="C108" t="b">
        <f>FALSE()</f>
        <v>0</v>
      </c>
      <c r="E108" t="b">
        <f>FALSE()</f>
        <v>0</v>
      </c>
    </row>
    <row r="109" spans="1:5">
      <c r="A109" t="s">
        <v>215</v>
      </c>
      <c r="B109" t="s">
        <v>268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219</v>
      </c>
      <c r="C111" t="b">
        <f>TRUE()</f>
        <v>1</v>
      </c>
      <c r="E111" t="b">
        <f>TRUE()</f>
        <v>1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138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269</v>
      </c>
      <c r="C114" t="s">
        <v>8</v>
      </c>
      <c r="E114" t="s">
        <v>8</v>
      </c>
    </row>
    <row r="115" spans="1:5">
      <c r="A115" t="s">
        <v>226</v>
      </c>
      <c r="B115" t="s">
        <v>270</v>
      </c>
      <c r="C115" t="b">
        <f>TRUE()</f>
        <v>1</v>
      </c>
      <c r="E115" t="b">
        <f>TRUE()</f>
        <v>1</v>
      </c>
    </row>
    <row r="116" spans="1:5">
      <c r="A116" t="s">
        <v>227</v>
      </c>
      <c r="B116" t="s">
        <v>271</v>
      </c>
      <c r="C116" t="b">
        <f>TRUE()</f>
        <v>1</v>
      </c>
      <c r="E116" t="b">
        <f>TRUE()</f>
        <v>1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138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272</v>
      </c>
      <c r="C120" t="b">
        <f>TRUE()</f>
        <v>1</v>
      </c>
      <c r="E120" t="b">
        <f>TRUE()</f>
        <v>1</v>
      </c>
    </row>
    <row r="121" spans="1:5">
      <c r="A121" t="s">
        <v>236</v>
      </c>
      <c r="B121" t="s">
        <v>120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topLeftCell="A82" zoomScale="80" zoomScaleNormal="80" workbookViewId="0">
      <selection activeCell="D111" sqref="D111"/>
    </sheetView>
  </sheetViews>
  <sheetFormatPr defaultColWidth="8.5703125" defaultRowHeight="15"/>
  <cols>
    <col min="1" max="1" width="42.42578125" customWidth="1"/>
    <col min="2" max="2" width="32.8554687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30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32</v>
      </c>
      <c r="C6" t="s">
        <v>8</v>
      </c>
      <c r="E6" t="s">
        <v>8</v>
      </c>
    </row>
    <row r="7" spans="1:5">
      <c r="A7" t="s">
        <v>34</v>
      </c>
      <c r="B7" t="s">
        <v>273</v>
      </c>
      <c r="C7" t="b">
        <f>FALSE()</f>
        <v>0</v>
      </c>
      <c r="E7" t="b">
        <f>FALSE()</f>
        <v>0</v>
      </c>
    </row>
    <row r="8" spans="1:5">
      <c r="A8" t="s">
        <v>36</v>
      </c>
      <c r="B8" t="s">
        <v>37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39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30</v>
      </c>
      <c r="C11" t="b">
        <f>TRUE()</f>
        <v>1</v>
      </c>
      <c r="E11" t="b">
        <f>TRUE()</f>
        <v>1</v>
      </c>
    </row>
    <row r="12" spans="1:5">
      <c r="A12" t="s">
        <v>43</v>
      </c>
      <c r="B12" t="s">
        <v>274</v>
      </c>
      <c r="C12" t="s">
        <v>8</v>
      </c>
      <c r="E12" t="s">
        <v>8</v>
      </c>
    </row>
    <row r="13" spans="1:5">
      <c r="A13" t="s">
        <v>45</v>
      </c>
      <c r="B13" t="s">
        <v>275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50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30</v>
      </c>
      <c r="C17" t="b">
        <f>TRUE()</f>
        <v>1</v>
      </c>
      <c r="E17" t="b">
        <f>TRUE()</f>
        <v>1</v>
      </c>
    </row>
    <row r="18" spans="1:5">
      <c r="A18" t="s">
        <v>55</v>
      </c>
      <c r="B18" t="s">
        <v>276</v>
      </c>
      <c r="C18" t="s">
        <v>8</v>
      </c>
      <c r="E18" t="s">
        <v>8</v>
      </c>
    </row>
    <row r="19" spans="1:5">
      <c r="A19" t="s">
        <v>58</v>
      </c>
      <c r="B19" t="s">
        <v>277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243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30</v>
      </c>
      <c r="C23" t="b">
        <f>TRUE()</f>
        <v>1</v>
      </c>
      <c r="E23" t="b">
        <f>TRUE()</f>
        <v>1</v>
      </c>
    </row>
    <row r="24" spans="1:5" ht="31.35">
      <c r="A24" t="s">
        <v>67</v>
      </c>
      <c r="B24" s="2" t="s">
        <v>278</v>
      </c>
      <c r="C24" t="b">
        <f>FALSE()</f>
        <v>0</v>
      </c>
      <c r="E24" t="b">
        <f>FALSE()</f>
        <v>0</v>
      </c>
    </row>
    <row r="25" spans="1:5">
      <c r="A25" t="s">
        <v>69</v>
      </c>
      <c r="B25" t="s">
        <v>279</v>
      </c>
      <c r="C25" t="b">
        <f>TRUE()</f>
        <v>1</v>
      </c>
      <c r="E25" t="b">
        <f>TRUE()</f>
        <v>1</v>
      </c>
    </row>
    <row r="26" spans="1:5">
      <c r="A26" t="s">
        <v>70</v>
      </c>
      <c r="B26" t="s">
        <v>71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30</v>
      </c>
      <c r="C29" t="b">
        <f>TRUE()</f>
        <v>1</v>
      </c>
      <c r="E29" t="b">
        <f>TRUE()</f>
        <v>1</v>
      </c>
    </row>
    <row r="30" spans="1:5">
      <c r="A30" t="s">
        <v>77</v>
      </c>
      <c r="B30" t="s">
        <v>280</v>
      </c>
      <c r="C30" t="s">
        <v>8</v>
      </c>
      <c r="E30" t="s">
        <v>8</v>
      </c>
    </row>
    <row r="31" spans="1:5">
      <c r="A31" t="s">
        <v>79</v>
      </c>
      <c r="B31" t="s">
        <v>281</v>
      </c>
      <c r="C31" t="b">
        <f>TRUE()</f>
        <v>1</v>
      </c>
      <c r="E31" t="b">
        <f>TRUE()</f>
        <v>1</v>
      </c>
    </row>
    <row r="32" spans="1:5">
      <c r="A32" t="s">
        <v>80</v>
      </c>
      <c r="B32" t="s">
        <v>81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247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30</v>
      </c>
      <c r="C35" t="b">
        <f>TRUE()</f>
        <v>1</v>
      </c>
      <c r="E35" t="b">
        <f>TRUE()</f>
        <v>1</v>
      </c>
    </row>
    <row r="36" spans="1:5">
      <c r="A36" t="s">
        <v>87</v>
      </c>
      <c r="B36" t="s">
        <v>282</v>
      </c>
      <c r="C36" t="b">
        <f>FALSE()</f>
        <v>0</v>
      </c>
      <c r="D36" t="s">
        <v>283</v>
      </c>
      <c r="E36" t="b">
        <f>FALSE()</f>
        <v>0</v>
      </c>
    </row>
    <row r="37" spans="1:5">
      <c r="A37" t="s">
        <v>89</v>
      </c>
      <c r="B37" t="s">
        <v>52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250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284</v>
      </c>
      <c r="C42" t="s">
        <v>8</v>
      </c>
      <c r="E42" t="s">
        <v>8</v>
      </c>
    </row>
    <row r="43" spans="1:5">
      <c r="A43" t="s">
        <v>99</v>
      </c>
      <c r="B43" t="s">
        <v>35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35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30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282</v>
      </c>
      <c r="C48" t="b">
        <f>FALSE()</f>
        <v>0</v>
      </c>
      <c r="E48" t="b">
        <f>FALSE()</f>
        <v>0</v>
      </c>
    </row>
    <row r="49" spans="1:5">
      <c r="A49" t="s">
        <v>108</v>
      </c>
      <c r="B49" t="s">
        <v>245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253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285</v>
      </c>
      <c r="C53" t="b">
        <f>TRUE()</f>
        <v>1</v>
      </c>
      <c r="E53" t="b">
        <f>TRUE()</f>
        <v>1</v>
      </c>
    </row>
    <row r="54" spans="1:5" ht="46.35">
      <c r="A54" t="s">
        <v>117</v>
      </c>
      <c r="B54" s="2" t="s">
        <v>286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224</v>
      </c>
      <c r="C55" t="b">
        <f>TRUE()</f>
        <v>1</v>
      </c>
      <c r="E55" t="b">
        <f>TRUE()</f>
        <v>1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30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287</v>
      </c>
      <c r="C60" t="s">
        <v>8</v>
      </c>
      <c r="E60" t="s">
        <v>8</v>
      </c>
    </row>
    <row r="61" spans="1:5">
      <c r="A61" t="s">
        <v>129</v>
      </c>
      <c r="B61" t="s">
        <v>224</v>
      </c>
      <c r="C61" t="b">
        <f>TRUE()</f>
        <v>1</v>
      </c>
      <c r="E61" t="b">
        <f>TRUE()</f>
        <v>1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288</v>
      </c>
      <c r="C66" t="s">
        <v>8</v>
      </c>
      <c r="E66" t="s">
        <v>8</v>
      </c>
    </row>
    <row r="67" spans="1:5">
      <c r="A67" t="s">
        <v>141</v>
      </c>
      <c r="B67" t="s">
        <v>289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138</v>
      </c>
      <c r="C71" t="b">
        <f>TRUE()</f>
        <v>1</v>
      </c>
      <c r="E71" t="b">
        <f>TRUE()</f>
        <v>1</v>
      </c>
    </row>
    <row r="72" spans="1:5" ht="46.35">
      <c r="A72" t="s">
        <v>150</v>
      </c>
      <c r="B72" s="2" t="s">
        <v>290</v>
      </c>
      <c r="C72" t="b">
        <f>FALSE()</f>
        <v>0</v>
      </c>
      <c r="E72" t="b">
        <f>FALSE()</f>
        <v>0</v>
      </c>
    </row>
    <row r="73" spans="1:5">
      <c r="A73" t="s">
        <v>152</v>
      </c>
      <c r="B73" t="s">
        <v>291</v>
      </c>
      <c r="C73" t="b">
        <f>FALSE()</f>
        <v>0</v>
      </c>
      <c r="E73" t="b">
        <f>FALSE()</f>
        <v>0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159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138</v>
      </c>
      <c r="C77" t="b">
        <f>TRUE()</f>
        <v>1</v>
      </c>
      <c r="E77" t="b">
        <f>TRUE()</f>
        <v>1</v>
      </c>
    </row>
    <row r="78" spans="1:5">
      <c r="A78" t="s">
        <v>161</v>
      </c>
      <c r="B78" t="s">
        <v>292</v>
      </c>
      <c r="C78" t="s">
        <v>8</v>
      </c>
      <c r="E78" t="s">
        <v>8</v>
      </c>
    </row>
    <row r="79" spans="1:5">
      <c r="A79" t="s">
        <v>163</v>
      </c>
      <c r="B79" t="s">
        <v>293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294</v>
      </c>
      <c r="C80" t="b">
        <f>TRUE()</f>
        <v>1</v>
      </c>
      <c r="E80" t="b">
        <f>TRUE()</f>
        <v>1</v>
      </c>
    </row>
    <row r="81" spans="1:5">
      <c r="A81" t="s">
        <v>167</v>
      </c>
      <c r="B81" t="s">
        <v>168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138</v>
      </c>
      <c r="C83" t="b">
        <f>TRUE()</f>
        <v>1</v>
      </c>
      <c r="E83" t="b">
        <f>TRUE()</f>
        <v>1</v>
      </c>
    </row>
    <row r="84" spans="1:5" ht="31.35">
      <c r="A84" t="s">
        <v>172</v>
      </c>
      <c r="B84" s="2" t="s">
        <v>295</v>
      </c>
      <c r="C84" t="b">
        <f>FALSE()</f>
        <v>0</v>
      </c>
      <c r="E84" t="b">
        <f>FALSE()</f>
        <v>0</v>
      </c>
    </row>
    <row r="85" spans="1:5">
      <c r="A85" t="s">
        <v>174</v>
      </c>
      <c r="B85" t="s">
        <v>296</v>
      </c>
      <c r="C85" t="b">
        <f>FALSE()</f>
        <v>0</v>
      </c>
      <c r="E85" t="b">
        <f>FALSE()</f>
        <v>0</v>
      </c>
    </row>
    <row r="86" spans="1:5">
      <c r="A86" t="s">
        <v>175</v>
      </c>
      <c r="B86" t="s">
        <v>176</v>
      </c>
      <c r="C86" t="b">
        <f>TRUE()</f>
        <v>1</v>
      </c>
      <c r="E86" t="b">
        <f>TRUE()</f>
        <v>1</v>
      </c>
    </row>
    <row r="87" spans="1:5">
      <c r="A87" t="s">
        <v>177</v>
      </c>
      <c r="B87" t="s">
        <v>178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148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138</v>
      </c>
      <c r="C89" t="b">
        <f>TRUE()</f>
        <v>1</v>
      </c>
      <c r="E89" t="b">
        <f>TRUE()</f>
        <v>1</v>
      </c>
    </row>
    <row r="90" spans="1:5">
      <c r="A90" t="s">
        <v>181</v>
      </c>
      <c r="B90" t="s">
        <v>297</v>
      </c>
      <c r="C90" t="s">
        <v>8</v>
      </c>
      <c r="E90" t="s">
        <v>8</v>
      </c>
    </row>
    <row r="91" spans="1:5">
      <c r="A91" t="s">
        <v>183</v>
      </c>
      <c r="B91" t="s">
        <v>245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186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188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138</v>
      </c>
      <c r="C95" t="b">
        <f>TRUE()</f>
        <v>1</v>
      </c>
      <c r="E95" t="b">
        <f>TRUE()</f>
        <v>1</v>
      </c>
    </row>
    <row r="96" spans="1:5">
      <c r="A96" t="s">
        <v>191</v>
      </c>
      <c r="B96" t="s">
        <v>298</v>
      </c>
      <c r="C96" t="s">
        <v>8</v>
      </c>
      <c r="E96" t="s">
        <v>8</v>
      </c>
    </row>
    <row r="97" spans="1:5">
      <c r="A97" t="s">
        <v>194</v>
      </c>
      <c r="B97" t="s">
        <v>242</v>
      </c>
      <c r="C97" t="b">
        <f>FALSE()</f>
        <v>0</v>
      </c>
      <c r="E97" t="b">
        <f>FALSE()</f>
        <v>0</v>
      </c>
    </row>
    <row r="98" spans="1:5">
      <c r="A98" t="s">
        <v>196</v>
      </c>
      <c r="B98" t="s">
        <v>197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199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138</v>
      </c>
      <c r="C101" t="b">
        <f>TRUE()</f>
        <v>1</v>
      </c>
      <c r="E101" t="b">
        <f>TRUE()</f>
        <v>1</v>
      </c>
    </row>
    <row r="102" spans="1:5">
      <c r="A102" t="s">
        <v>203</v>
      </c>
      <c r="B102" t="s">
        <v>299</v>
      </c>
      <c r="C102" t="b">
        <f>FALSE()</f>
        <v>0</v>
      </c>
      <c r="E102" t="b">
        <f>FALSE()</f>
        <v>0</v>
      </c>
    </row>
    <row r="103" spans="1:5">
      <c r="A103" t="s">
        <v>205</v>
      </c>
      <c r="B103" t="s">
        <v>120</v>
      </c>
      <c r="C103" t="b">
        <f>TRUE()</f>
        <v>1</v>
      </c>
      <c r="E103" t="b">
        <f>TRUE()</f>
        <v>1</v>
      </c>
    </row>
    <row r="104" spans="1:5">
      <c r="A104" t="s">
        <v>206</v>
      </c>
      <c r="B104" t="s">
        <v>197</v>
      </c>
      <c r="C104" t="b">
        <f>FALSE()</f>
        <v>0</v>
      </c>
      <c r="E104" t="b">
        <f>FALSE()</f>
        <v>0</v>
      </c>
    </row>
    <row r="105" spans="1:5">
      <c r="A105" t="s">
        <v>208</v>
      </c>
      <c r="B105" t="s">
        <v>209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138</v>
      </c>
      <c r="C107" t="b">
        <f>TRUE()</f>
        <v>1</v>
      </c>
      <c r="E107" t="b">
        <f>TRUE()</f>
        <v>1</v>
      </c>
    </row>
    <row r="108" spans="1:5">
      <c r="A108" t="s">
        <v>213</v>
      </c>
      <c r="B108" t="s">
        <v>300</v>
      </c>
      <c r="C108" t="b">
        <f>FALSE()</f>
        <v>0</v>
      </c>
      <c r="E108" t="b">
        <f>FALSE()</f>
        <v>0</v>
      </c>
    </row>
    <row r="109" spans="1:5">
      <c r="A109" t="s">
        <v>215</v>
      </c>
      <c r="B109" t="s">
        <v>221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219</v>
      </c>
      <c r="C111" t="b">
        <f>TRUE()</f>
        <v>1</v>
      </c>
      <c r="E111" t="b">
        <f>TRUE()</f>
        <v>1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138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301</v>
      </c>
      <c r="C114" t="b">
        <f>FALSE()</f>
        <v>0</v>
      </c>
      <c r="E114" t="b">
        <f>FALSE()</f>
        <v>0</v>
      </c>
    </row>
    <row r="115" spans="1:5">
      <c r="A115" t="s">
        <v>226</v>
      </c>
      <c r="B115" t="s">
        <v>120</v>
      </c>
      <c r="C115" t="b">
        <f>FALSE()</f>
        <v>0</v>
      </c>
      <c r="E115" t="b">
        <f>FALSE()</f>
        <v>0</v>
      </c>
    </row>
    <row r="116" spans="1:5">
      <c r="A116" t="s">
        <v>227</v>
      </c>
      <c r="B116" t="s">
        <v>228</v>
      </c>
      <c r="C116" t="b">
        <f>TRUE()</f>
        <v>1</v>
      </c>
      <c r="E116" t="b">
        <f>TRUE()</f>
        <v>1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138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302</v>
      </c>
      <c r="C120" t="b">
        <f>FALSE()</f>
        <v>0</v>
      </c>
      <c r="E120" t="b">
        <f>FALSE()</f>
        <v>0</v>
      </c>
    </row>
    <row r="121" spans="1:5">
      <c r="A121" t="s">
        <v>236</v>
      </c>
      <c r="B121" t="s">
        <v>120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1"/>
  <sheetViews>
    <sheetView zoomScale="80" zoomScaleNormal="80" workbookViewId="0">
      <selection activeCell="B25" sqref="B25"/>
    </sheetView>
  </sheetViews>
  <sheetFormatPr defaultColWidth="8.5703125" defaultRowHeight="15"/>
  <cols>
    <col min="1" max="1" width="44.140625" customWidth="1"/>
    <col min="2" max="2" width="32.28515625" customWidth="1"/>
    <col min="4" max="4" width="9.85546875" customWidth="1"/>
    <col min="5" max="5" width="14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285</v>
      </c>
      <c r="C5" t="b">
        <f>TRUE()</f>
        <v>1</v>
      </c>
      <c r="E5" t="b">
        <f>TRUE()</f>
        <v>1</v>
      </c>
    </row>
    <row r="6" spans="1:5" ht="31.35">
      <c r="A6" t="s">
        <v>31</v>
      </c>
      <c r="B6" s="2" t="s">
        <v>303</v>
      </c>
      <c r="C6" t="s">
        <v>8</v>
      </c>
      <c r="E6" t="s">
        <v>8</v>
      </c>
    </row>
    <row r="7" spans="1:5">
      <c r="A7" t="s">
        <v>34</v>
      </c>
      <c r="B7" t="s">
        <v>35</v>
      </c>
      <c r="C7" t="b">
        <f>TRUE()</f>
        <v>1</v>
      </c>
      <c r="E7" t="b">
        <f>TRUE()</f>
        <v>1</v>
      </c>
    </row>
    <row r="8" spans="1:5">
      <c r="A8" t="s">
        <v>36</v>
      </c>
      <c r="B8" t="s">
        <v>37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304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30</v>
      </c>
      <c r="C11" t="b">
        <f>TRUE()</f>
        <v>1</v>
      </c>
      <c r="E11" t="b">
        <f>TRUE()</f>
        <v>1</v>
      </c>
    </row>
    <row r="12" spans="1:5" ht="31.35">
      <c r="A12" t="s">
        <v>43</v>
      </c>
      <c r="B12" s="2" t="s">
        <v>305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46</v>
      </c>
      <c r="C13" t="b">
        <f>TRUE()</f>
        <v>1</v>
      </c>
      <c r="E13" t="b">
        <f>TRUE()</f>
        <v>1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240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30</v>
      </c>
      <c r="C17" t="b">
        <f>TRUE()</f>
        <v>1</v>
      </c>
      <c r="E17" t="b">
        <f>TRUE()</f>
        <v>1</v>
      </c>
    </row>
    <row r="18" spans="1:5" ht="31.35">
      <c r="A18" t="s">
        <v>55</v>
      </c>
      <c r="B18" s="2" t="s">
        <v>306</v>
      </c>
      <c r="C18" t="s">
        <v>8</v>
      </c>
      <c r="E18" t="s">
        <v>8</v>
      </c>
    </row>
    <row r="19" spans="1:5">
      <c r="A19" t="s">
        <v>58</v>
      </c>
      <c r="B19" t="s">
        <v>268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61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243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30</v>
      </c>
      <c r="C23" t="b">
        <f>TRUE()</f>
        <v>1</v>
      </c>
      <c r="E23" t="b">
        <f>TRUE()</f>
        <v>1</v>
      </c>
    </row>
    <row r="24" spans="1:5" ht="46.35">
      <c r="A24" t="s">
        <v>67</v>
      </c>
      <c r="B24" s="2" t="s">
        <v>307</v>
      </c>
      <c r="C24" t="b">
        <f>FALSE()</f>
        <v>0</v>
      </c>
      <c r="E24" t="b">
        <f>FALSE()</f>
        <v>0</v>
      </c>
    </row>
    <row r="25" spans="1:5">
      <c r="A25" t="s">
        <v>69</v>
      </c>
      <c r="B25" t="s">
        <v>245</v>
      </c>
      <c r="C25" t="b">
        <f>FALSE()</f>
        <v>0</v>
      </c>
      <c r="E25" t="b">
        <f>FALSE()</f>
        <v>0</v>
      </c>
    </row>
    <row r="26" spans="1:5">
      <c r="A26" t="s">
        <v>70</v>
      </c>
      <c r="B26" t="s">
        <v>308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30</v>
      </c>
      <c r="C29" t="b">
        <f>TRUE()</f>
        <v>1</v>
      </c>
      <c r="E29" t="b">
        <f>TRUE()</f>
        <v>1</v>
      </c>
    </row>
    <row r="30" spans="1:5" ht="46.35">
      <c r="A30" t="s">
        <v>77</v>
      </c>
      <c r="B30" s="2" t="s">
        <v>309</v>
      </c>
      <c r="C30" t="b">
        <f>FALSE()</f>
        <v>0</v>
      </c>
      <c r="E30" t="b">
        <f>FALSE()</f>
        <v>0</v>
      </c>
    </row>
    <row r="31" spans="1:5">
      <c r="A31" t="s">
        <v>79</v>
      </c>
      <c r="B31" t="s">
        <v>310</v>
      </c>
      <c r="C31" t="b">
        <f>FALSE()</f>
        <v>0</v>
      </c>
      <c r="E31" t="b">
        <f>FALSE()</f>
        <v>0</v>
      </c>
    </row>
    <row r="32" spans="1:5">
      <c r="A32" t="s">
        <v>80</v>
      </c>
      <c r="B32" t="s">
        <v>246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83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30</v>
      </c>
      <c r="C35" t="b">
        <f>TRUE()</f>
        <v>1</v>
      </c>
      <c r="E35" t="b">
        <f>TRUE()</f>
        <v>1</v>
      </c>
    </row>
    <row r="36" spans="1:5" ht="31.35">
      <c r="A36" t="s">
        <v>87</v>
      </c>
      <c r="B36" s="2" t="s">
        <v>311</v>
      </c>
      <c r="C36" t="s">
        <v>8</v>
      </c>
      <c r="E36" t="b">
        <f>FALSE()</f>
        <v>0</v>
      </c>
    </row>
    <row r="37" spans="1:5">
      <c r="A37" t="s">
        <v>89</v>
      </c>
      <c r="B37" t="s">
        <v>52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250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312</v>
      </c>
      <c r="C42" t="s">
        <v>8</v>
      </c>
      <c r="E42" t="b">
        <f>FALSE()</f>
        <v>0</v>
      </c>
    </row>
    <row r="43" spans="1:5">
      <c r="A43" t="s">
        <v>99</v>
      </c>
      <c r="B43" t="s">
        <v>245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35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30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313</v>
      </c>
      <c r="C48" t="s">
        <v>8</v>
      </c>
      <c r="E48" t="b">
        <f>FALSE()</f>
        <v>0</v>
      </c>
    </row>
    <row r="49" spans="1:5">
      <c r="A49" t="s">
        <v>108</v>
      </c>
      <c r="B49" t="s">
        <v>245</v>
      </c>
      <c r="C49" t="b">
        <f>TRUE()</f>
        <v>1</v>
      </c>
      <c r="E49" t="b">
        <f>TRUE()</f>
        <v>1</v>
      </c>
    </row>
    <row r="50" spans="1:5">
      <c r="A50" t="s">
        <v>110</v>
      </c>
      <c r="B50" t="s">
        <v>253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314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30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254</v>
      </c>
      <c r="C54" t="s">
        <v>8</v>
      </c>
      <c r="E54" t="s">
        <v>8</v>
      </c>
    </row>
    <row r="55" spans="1:5">
      <c r="A55" t="s">
        <v>119</v>
      </c>
      <c r="B55" t="s">
        <v>245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122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315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316</v>
      </c>
      <c r="C58" t="b">
        <f>FALSE()</f>
        <v>0</v>
      </c>
      <c r="E58" t="b">
        <f>FALSE()</f>
        <v>0</v>
      </c>
    </row>
    <row r="59" spans="1:5">
      <c r="A59" t="s">
        <v>126</v>
      </c>
      <c r="B59" t="s">
        <v>30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317</v>
      </c>
      <c r="C60" t="s">
        <v>8</v>
      </c>
      <c r="E60" t="b">
        <f>FALSE()</f>
        <v>0</v>
      </c>
    </row>
    <row r="61" spans="1:5">
      <c r="A61" t="s">
        <v>129</v>
      </c>
      <c r="B61" t="s">
        <v>270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318</v>
      </c>
      <c r="C66" t="s">
        <v>8</v>
      </c>
      <c r="E66" t="b">
        <f>FALSE()</f>
        <v>0</v>
      </c>
    </row>
    <row r="67" spans="1:5">
      <c r="A67" t="s">
        <v>141</v>
      </c>
      <c r="B67" t="s">
        <v>85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138</v>
      </c>
      <c r="C71" t="b">
        <f>TRUE()</f>
        <v>1</v>
      </c>
      <c r="E71" t="b">
        <f>TRUE()</f>
        <v>1</v>
      </c>
    </row>
    <row r="72" spans="1:5">
      <c r="A72" t="s">
        <v>150</v>
      </c>
      <c r="B72" t="s">
        <v>319</v>
      </c>
      <c r="C72" t="s">
        <v>8</v>
      </c>
      <c r="E72" t="s">
        <v>8</v>
      </c>
    </row>
    <row r="73" spans="1:5">
      <c r="A73" t="s">
        <v>152</v>
      </c>
      <c r="B73" t="s">
        <v>130</v>
      </c>
      <c r="C73" t="b">
        <f>TRUE()</f>
        <v>1</v>
      </c>
      <c r="E73" t="b">
        <f>TRUE()</f>
        <v>1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159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138</v>
      </c>
      <c r="C77" t="b">
        <f>TRUE()</f>
        <v>1</v>
      </c>
      <c r="E77" t="b">
        <f>TRUE()</f>
        <v>1</v>
      </c>
    </row>
    <row r="78" spans="1:5">
      <c r="A78" t="s">
        <v>161</v>
      </c>
      <c r="B78" t="s">
        <v>320</v>
      </c>
      <c r="C78" t="s">
        <v>8</v>
      </c>
      <c r="E78" t="s">
        <v>8</v>
      </c>
    </row>
    <row r="79" spans="1:5">
      <c r="A79" t="s">
        <v>163</v>
      </c>
      <c r="B79" t="s">
        <v>245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321</v>
      </c>
      <c r="C80" t="b">
        <f>TRUE()</f>
        <v>1</v>
      </c>
      <c r="E80" t="b">
        <f>TRUE()</f>
        <v>1</v>
      </c>
    </row>
    <row r="81" spans="1:5">
      <c r="A81" t="s">
        <v>167</v>
      </c>
      <c r="B81" t="s">
        <v>322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138</v>
      </c>
      <c r="C83" t="b">
        <f>TRUE()</f>
        <v>1</v>
      </c>
      <c r="E83" t="b">
        <f>TRUE()</f>
        <v>1</v>
      </c>
    </row>
    <row r="84" spans="1:5">
      <c r="A84" t="s">
        <v>172</v>
      </c>
      <c r="B84" t="s">
        <v>323</v>
      </c>
      <c r="C84" t="s">
        <v>8</v>
      </c>
      <c r="E84" t="s">
        <v>8</v>
      </c>
    </row>
    <row r="85" spans="1:5">
      <c r="A85" t="s">
        <v>174</v>
      </c>
      <c r="B85" t="s">
        <v>184</v>
      </c>
      <c r="C85" t="b">
        <f>TRUE()</f>
        <v>1</v>
      </c>
      <c r="E85" t="b">
        <f>TRUE()</f>
        <v>1</v>
      </c>
    </row>
    <row r="86" spans="1:5">
      <c r="A86" t="s">
        <v>175</v>
      </c>
      <c r="B86" t="s">
        <v>176</v>
      </c>
      <c r="C86" t="b">
        <f>TRUE()</f>
        <v>1</v>
      </c>
      <c r="E86" t="b">
        <f>TRUE()</f>
        <v>1</v>
      </c>
    </row>
    <row r="87" spans="1:5">
      <c r="A87" t="s">
        <v>177</v>
      </c>
      <c r="B87" t="s">
        <v>263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148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138</v>
      </c>
      <c r="C89" t="b">
        <f>TRUE()</f>
        <v>1</v>
      </c>
      <c r="E89" t="b">
        <f>TRUE()</f>
        <v>1</v>
      </c>
    </row>
    <row r="90" spans="1:5" ht="46.35">
      <c r="A90" t="s">
        <v>181</v>
      </c>
      <c r="B90" s="2" t="s">
        <v>324</v>
      </c>
      <c r="C90" t="b">
        <f>FALSE()</f>
        <v>0</v>
      </c>
      <c r="E90" t="b">
        <f>FALSE()</f>
        <v>0</v>
      </c>
    </row>
    <row r="91" spans="1:5">
      <c r="A91" t="s">
        <v>183</v>
      </c>
      <c r="B91" t="s">
        <v>325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186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188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138</v>
      </c>
      <c r="C95" t="b">
        <f>TRUE()</f>
        <v>1</v>
      </c>
      <c r="E95" t="b">
        <f>TRUE()</f>
        <v>1</v>
      </c>
    </row>
    <row r="96" spans="1:5">
      <c r="A96" t="s">
        <v>191</v>
      </c>
      <c r="B96" t="s">
        <v>326</v>
      </c>
      <c r="C96" t="b">
        <f>FALSE()</f>
        <v>0</v>
      </c>
      <c r="E96" t="b">
        <f>FALSE()</f>
        <v>0</v>
      </c>
    </row>
    <row r="97" spans="1:5">
      <c r="A97" t="s">
        <v>194</v>
      </c>
      <c r="B97" t="s">
        <v>52</v>
      </c>
      <c r="C97" t="b">
        <f>FALSE()</f>
        <v>0</v>
      </c>
      <c r="E97" t="b">
        <f>FALSE()</f>
        <v>0</v>
      </c>
    </row>
    <row r="98" spans="1:5">
      <c r="A98" t="s">
        <v>196</v>
      </c>
      <c r="B98" t="s">
        <v>197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199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138</v>
      </c>
      <c r="C101" t="b">
        <f>TRUE()</f>
        <v>1</v>
      </c>
      <c r="E101" t="b">
        <f>TRUE()</f>
        <v>1</v>
      </c>
    </row>
    <row r="102" spans="1:5">
      <c r="A102" t="s">
        <v>203</v>
      </c>
      <c r="B102" t="s">
        <v>267</v>
      </c>
      <c r="C102" t="b">
        <f>TRUE()</f>
        <v>1</v>
      </c>
      <c r="E102" t="b">
        <f>TRUE()</f>
        <v>1</v>
      </c>
    </row>
    <row r="103" spans="1:5">
      <c r="A103" t="s">
        <v>205</v>
      </c>
      <c r="B103" t="s">
        <v>120</v>
      </c>
      <c r="C103" t="b">
        <f>TRUE()</f>
        <v>1</v>
      </c>
      <c r="E103" t="b">
        <f>TRUE()</f>
        <v>1</v>
      </c>
    </row>
    <row r="104" spans="1:5">
      <c r="A104" t="s">
        <v>206</v>
      </c>
      <c r="B104" t="s">
        <v>207</v>
      </c>
      <c r="C104" t="b">
        <f>TRUE()</f>
        <v>1</v>
      </c>
      <c r="E104" t="b">
        <f>TRUE()</f>
        <v>1</v>
      </c>
    </row>
    <row r="105" spans="1:5">
      <c r="A105" t="s">
        <v>208</v>
      </c>
      <c r="B105" t="s">
        <v>209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138</v>
      </c>
      <c r="C107" t="b">
        <f>TRUE()</f>
        <v>1</v>
      </c>
      <c r="E107" t="b">
        <f>TRUE()</f>
        <v>1</v>
      </c>
    </row>
    <row r="108" spans="1:5" ht="31.35">
      <c r="A108" t="s">
        <v>213</v>
      </c>
      <c r="B108" s="2" t="s">
        <v>327</v>
      </c>
      <c r="C108" t="s">
        <v>8</v>
      </c>
      <c r="E108" t="s">
        <v>8</v>
      </c>
    </row>
    <row r="109" spans="1:5">
      <c r="A109" t="s">
        <v>215</v>
      </c>
      <c r="B109" t="s">
        <v>328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219</v>
      </c>
      <c r="C111" t="b">
        <f>TRUE()</f>
        <v>1</v>
      </c>
      <c r="E111" t="b">
        <f>TRUE()</f>
        <v>1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329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269</v>
      </c>
      <c r="C114" t="s">
        <v>8</v>
      </c>
      <c r="E114" t="s">
        <v>8</v>
      </c>
    </row>
    <row r="115" spans="1:5">
      <c r="A115" t="s">
        <v>226</v>
      </c>
      <c r="B115" t="s">
        <v>120</v>
      </c>
      <c r="C115" t="b">
        <f>FALSE()</f>
        <v>0</v>
      </c>
      <c r="E115" t="b">
        <f>FALSE()</f>
        <v>0</v>
      </c>
    </row>
    <row r="116" spans="1:5">
      <c r="A116" t="s">
        <v>227</v>
      </c>
      <c r="B116" t="s">
        <v>228</v>
      </c>
      <c r="C116" t="b">
        <f>TRUE()</f>
        <v>1</v>
      </c>
      <c r="E116" t="b">
        <f>TRUE()</f>
        <v>1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329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272</v>
      </c>
      <c r="C120" t="b">
        <f>TRUE()</f>
        <v>1</v>
      </c>
      <c r="E120" t="b">
        <f>TRUE()</f>
        <v>1</v>
      </c>
    </row>
    <row r="121" spans="1:5">
      <c r="A121" t="s">
        <v>236</v>
      </c>
      <c r="B121" t="s">
        <v>120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zoomScale="80" zoomScaleNormal="80" workbookViewId="0">
      <selection activeCell="E121" sqref="E121"/>
    </sheetView>
  </sheetViews>
  <sheetFormatPr defaultColWidth="8.5703125" defaultRowHeight="15"/>
  <cols>
    <col min="1" max="1" width="44" customWidth="1"/>
    <col min="2" max="2" width="40.85546875" customWidth="1"/>
    <col min="3" max="3" width="12.710937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285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330</v>
      </c>
      <c r="C6" t="b">
        <f>FALSE()</f>
        <v>0</v>
      </c>
      <c r="E6" t="b">
        <f>FALSE()</f>
        <v>0</v>
      </c>
    </row>
    <row r="7" spans="1:5">
      <c r="A7" t="s">
        <v>34</v>
      </c>
      <c r="B7" t="s">
        <v>184</v>
      </c>
      <c r="C7" t="b">
        <f>FALSE()</f>
        <v>0</v>
      </c>
      <c r="E7" t="b">
        <f>FALSE()</f>
        <v>0</v>
      </c>
    </row>
    <row r="8" spans="1:5">
      <c r="A8" t="s">
        <v>36</v>
      </c>
      <c r="B8" t="s">
        <v>37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39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285</v>
      </c>
      <c r="C11" t="b">
        <f>TRUE()</f>
        <v>1</v>
      </c>
      <c r="E11" t="b">
        <f>TRUE()</f>
        <v>1</v>
      </c>
    </row>
    <row r="12" spans="1:5" ht="31.35">
      <c r="A12" t="s">
        <v>43</v>
      </c>
      <c r="B12" s="2" t="s">
        <v>305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249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240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331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285</v>
      </c>
      <c r="C17" t="b">
        <f>TRUE()</f>
        <v>1</v>
      </c>
      <c r="E17" t="b">
        <f>TRUE()</f>
        <v>1</v>
      </c>
    </row>
    <row r="18" spans="1:5">
      <c r="A18" t="s">
        <v>55</v>
      </c>
      <c r="B18" t="s">
        <v>332</v>
      </c>
      <c r="C18" t="s">
        <v>8</v>
      </c>
      <c r="E18" t="b">
        <f>FALSE()</f>
        <v>0</v>
      </c>
    </row>
    <row r="19" spans="1:5">
      <c r="A19" t="s">
        <v>58</v>
      </c>
      <c r="B19" t="s">
        <v>333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334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285</v>
      </c>
      <c r="C23" t="b">
        <f>TRUE()</f>
        <v>1</v>
      </c>
      <c r="E23" t="b">
        <f>TRUE()</f>
        <v>1</v>
      </c>
    </row>
    <row r="24" spans="1:5" ht="31.35">
      <c r="A24" t="s">
        <v>67</v>
      </c>
      <c r="B24" s="2" t="s">
        <v>335</v>
      </c>
      <c r="C24" t="b">
        <f>FALSE()</f>
        <v>0</v>
      </c>
      <c r="E24" t="b">
        <f>FALSE()</f>
        <v>0</v>
      </c>
    </row>
    <row r="25" spans="1:5">
      <c r="A25" t="s">
        <v>69</v>
      </c>
      <c r="B25" t="s">
        <v>336</v>
      </c>
      <c r="C25" t="b">
        <f>FALSE()</f>
        <v>0</v>
      </c>
      <c r="E25" t="b">
        <f>FALSE()</f>
        <v>0</v>
      </c>
    </row>
    <row r="26" spans="1:5">
      <c r="A26" t="s">
        <v>70</v>
      </c>
      <c r="B26" t="s">
        <v>71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285</v>
      </c>
      <c r="C29" t="b">
        <f>TRUE()</f>
        <v>1</v>
      </c>
      <c r="E29" t="b">
        <f>TRUE()</f>
        <v>1</v>
      </c>
    </row>
    <row r="30" spans="1:5">
      <c r="A30" t="s">
        <v>77</v>
      </c>
      <c r="B30" t="s">
        <v>337</v>
      </c>
      <c r="C30" t="b">
        <f>FALSE()</f>
        <v>0</v>
      </c>
      <c r="E30" t="b">
        <f>FALSE()</f>
        <v>0</v>
      </c>
    </row>
    <row r="31" spans="1:5">
      <c r="A31" t="s">
        <v>79</v>
      </c>
      <c r="B31" t="s">
        <v>245</v>
      </c>
      <c r="C31" t="b">
        <f>FALSE()</f>
        <v>0</v>
      </c>
      <c r="E31" t="b">
        <f>FALSE()</f>
        <v>0</v>
      </c>
    </row>
    <row r="32" spans="1:5">
      <c r="A32" t="s">
        <v>80</v>
      </c>
      <c r="B32" t="s">
        <v>81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247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285</v>
      </c>
      <c r="C35" t="b">
        <f>TRUE()</f>
        <v>1</v>
      </c>
      <c r="E35" t="b">
        <f>TRUE()</f>
        <v>1</v>
      </c>
    </row>
    <row r="36" spans="1:5" ht="31.35">
      <c r="A36" t="s">
        <v>87</v>
      </c>
      <c r="B36" s="2" t="s">
        <v>338</v>
      </c>
      <c r="C36" t="s">
        <v>8</v>
      </c>
      <c r="E36" t="b">
        <f>FALSE()</f>
        <v>0</v>
      </c>
    </row>
    <row r="37" spans="1:5">
      <c r="A37" t="s">
        <v>89</v>
      </c>
      <c r="B37" t="s">
        <v>257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250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285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98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339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340</v>
      </c>
      <c r="C44" t="b">
        <f>FALSE()</f>
        <v>0</v>
      </c>
      <c r="E44" t="b">
        <f>FALSE()</f>
        <v>0</v>
      </c>
    </row>
    <row r="45" spans="1:5">
      <c r="A45" t="s">
        <v>102</v>
      </c>
      <c r="B45" t="s">
        <v>341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342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285</v>
      </c>
      <c r="C47" t="b">
        <f>TRUE()</f>
        <v>1</v>
      </c>
      <c r="E47" t="b">
        <f>TRUE()</f>
        <v>1</v>
      </c>
    </row>
    <row r="48" spans="1:5" ht="31.35">
      <c r="A48" t="s">
        <v>106</v>
      </c>
      <c r="B48" s="2" t="s">
        <v>56</v>
      </c>
      <c r="C48" t="s">
        <v>8</v>
      </c>
      <c r="E48" t="b">
        <f>FALSE()</f>
        <v>0</v>
      </c>
    </row>
    <row r="49" spans="1:5">
      <c r="A49" t="s">
        <v>108</v>
      </c>
      <c r="B49" t="s">
        <v>159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111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314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343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285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344</v>
      </c>
      <c r="C54" t="s">
        <v>8</v>
      </c>
      <c r="E54" t="s">
        <v>8</v>
      </c>
    </row>
    <row r="55" spans="1:5">
      <c r="A55" t="s">
        <v>119</v>
      </c>
      <c r="B55" t="s">
        <v>184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345</v>
      </c>
      <c r="C56" t="b">
        <f>FALSE()</f>
        <v>0</v>
      </c>
      <c r="E56" t="b">
        <f>FALSE()</f>
        <v>0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285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346</v>
      </c>
      <c r="C60" t="b">
        <f>TRUE()</f>
        <v>1</v>
      </c>
      <c r="E60" t="b">
        <f>TRUE()</f>
        <v>1</v>
      </c>
    </row>
    <row r="61" spans="1:5">
      <c r="A61" t="s">
        <v>129</v>
      </c>
      <c r="B61" t="s">
        <v>245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347</v>
      </c>
      <c r="C65" t="b">
        <f>TRUE()</f>
        <v>1</v>
      </c>
      <c r="E65" t="b">
        <f>TRUE()</f>
        <v>1</v>
      </c>
    </row>
    <row r="66" spans="1:5" ht="31.35">
      <c r="A66" t="s">
        <v>139</v>
      </c>
      <c r="B66" s="2" t="s">
        <v>348</v>
      </c>
      <c r="C66" t="s">
        <v>8</v>
      </c>
      <c r="E66" t="b">
        <f>FALSE()</f>
        <v>0</v>
      </c>
    </row>
    <row r="67" spans="1:5">
      <c r="A67" t="s">
        <v>141</v>
      </c>
      <c r="B67" t="s">
        <v>275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347</v>
      </c>
      <c r="C71" t="b">
        <f>TRUE()</f>
        <v>1</v>
      </c>
      <c r="E71" t="b">
        <f>TRUE()</f>
        <v>1</v>
      </c>
    </row>
    <row r="72" spans="1:5" ht="46.35">
      <c r="A72" t="s">
        <v>150</v>
      </c>
      <c r="B72" s="2" t="s">
        <v>349</v>
      </c>
      <c r="C72" t="b">
        <f>FALSE()</f>
        <v>0</v>
      </c>
      <c r="E72" t="b">
        <f>FALSE()</f>
        <v>0</v>
      </c>
    </row>
    <row r="73" spans="1:5">
      <c r="A73" t="s">
        <v>152</v>
      </c>
      <c r="B73" t="s">
        <v>159</v>
      </c>
      <c r="C73" t="b">
        <f>FALSE()</f>
        <v>0</v>
      </c>
      <c r="E73" t="b">
        <f>FALSE()</f>
        <v>0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350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347</v>
      </c>
      <c r="C77" t="b">
        <f>TRUE()</f>
        <v>1</v>
      </c>
      <c r="E77" t="b">
        <f>TRUE()</f>
        <v>1</v>
      </c>
    </row>
    <row r="78" spans="1:5">
      <c r="A78" t="s">
        <v>161</v>
      </c>
      <c r="B78" t="s">
        <v>351</v>
      </c>
      <c r="C78" t="s">
        <v>8</v>
      </c>
      <c r="E78" t="b">
        <f>FALSE()</f>
        <v>0</v>
      </c>
    </row>
    <row r="79" spans="1:5">
      <c r="A79" t="s">
        <v>163</v>
      </c>
      <c r="B79" t="s">
        <v>159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352</v>
      </c>
      <c r="C80" t="b">
        <f>FALSE()</f>
        <v>0</v>
      </c>
      <c r="E80" t="b">
        <f>FALSE()</f>
        <v>0</v>
      </c>
    </row>
    <row r="81" spans="1:5">
      <c r="A81" t="s">
        <v>167</v>
      </c>
      <c r="B81" t="s">
        <v>168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347</v>
      </c>
      <c r="C83" t="b">
        <f>TRUE()</f>
        <v>1</v>
      </c>
      <c r="E83" t="b">
        <f>TRUE()</f>
        <v>1</v>
      </c>
    </row>
    <row r="84" spans="1:5">
      <c r="A84" t="s">
        <v>172</v>
      </c>
      <c r="B84" t="s">
        <v>353</v>
      </c>
      <c r="C84" t="s">
        <v>8</v>
      </c>
      <c r="E84" t="b">
        <f>FALSE()</f>
        <v>0</v>
      </c>
    </row>
    <row r="85" spans="1:5">
      <c r="A85" t="s">
        <v>174</v>
      </c>
      <c r="B85" t="s">
        <v>354</v>
      </c>
      <c r="C85" t="b">
        <f>FALSE()</f>
        <v>0</v>
      </c>
      <c r="E85" t="b">
        <f>FALSE()</f>
        <v>0</v>
      </c>
    </row>
    <row r="86" spans="1:5">
      <c r="A86" t="s">
        <v>175</v>
      </c>
      <c r="B86" t="s">
        <v>345</v>
      </c>
      <c r="C86" t="b">
        <f>FALSE()</f>
        <v>0</v>
      </c>
      <c r="E86" t="b">
        <f>FALSE()</f>
        <v>0</v>
      </c>
    </row>
    <row r="87" spans="1:5">
      <c r="A87" t="s">
        <v>177</v>
      </c>
      <c r="B87" t="s">
        <v>178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355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347</v>
      </c>
      <c r="C89" t="b">
        <f>TRUE()</f>
        <v>1</v>
      </c>
      <c r="E89" t="b">
        <f>TRUE()</f>
        <v>1</v>
      </c>
    </row>
    <row r="90" spans="1:5">
      <c r="A90" t="s">
        <v>181</v>
      </c>
      <c r="B90" t="s">
        <v>356</v>
      </c>
      <c r="C90" t="s">
        <v>8</v>
      </c>
      <c r="E90" t="s">
        <v>8</v>
      </c>
    </row>
    <row r="91" spans="1:5">
      <c r="A91" t="s">
        <v>183</v>
      </c>
      <c r="B91" t="s">
        <v>245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186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188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347</v>
      </c>
      <c r="C95" t="b">
        <f>TRUE()</f>
        <v>1</v>
      </c>
      <c r="E95" t="b">
        <f>TRUE()</f>
        <v>1</v>
      </c>
    </row>
    <row r="96" spans="1:5">
      <c r="A96" t="s">
        <v>191</v>
      </c>
      <c r="B96" t="s">
        <v>357</v>
      </c>
      <c r="C96" t="s">
        <v>8</v>
      </c>
      <c r="E96" t="s">
        <v>8</v>
      </c>
    </row>
    <row r="97" spans="1:5">
      <c r="A97" t="s">
        <v>194</v>
      </c>
      <c r="B97" t="s">
        <v>257</v>
      </c>
      <c r="C97" t="b">
        <f>FALSE()</f>
        <v>0</v>
      </c>
      <c r="E97" t="b">
        <f>FALSE()</f>
        <v>0</v>
      </c>
    </row>
    <row r="98" spans="1:5">
      <c r="A98" t="s">
        <v>196</v>
      </c>
      <c r="B98" t="s">
        <v>197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199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347</v>
      </c>
      <c r="C101" t="b">
        <f>TRUE()</f>
        <v>1</v>
      </c>
      <c r="E101" t="b">
        <f>TRUE()</f>
        <v>1</v>
      </c>
    </row>
    <row r="102" spans="1:5" ht="46.35">
      <c r="A102" t="s">
        <v>203</v>
      </c>
      <c r="B102" s="2" t="s">
        <v>358</v>
      </c>
      <c r="C102" t="b">
        <f>FALSE()</f>
        <v>0</v>
      </c>
      <c r="E102" t="b">
        <f>FALSE()</f>
        <v>0</v>
      </c>
    </row>
    <row r="103" spans="1:5">
      <c r="A103" t="s">
        <v>205</v>
      </c>
      <c r="B103" t="s">
        <v>224</v>
      </c>
      <c r="C103" t="b">
        <f>FALSE()</f>
        <v>0</v>
      </c>
      <c r="E103" t="b">
        <f>FALSE()</f>
        <v>0</v>
      </c>
    </row>
    <row r="104" spans="1:5">
      <c r="A104" t="s">
        <v>206</v>
      </c>
      <c r="B104" t="s">
        <v>207</v>
      </c>
      <c r="C104" t="b">
        <f>TRUE()</f>
        <v>1</v>
      </c>
      <c r="E104" t="b">
        <f>TRUE()</f>
        <v>1</v>
      </c>
    </row>
    <row r="105" spans="1:5">
      <c r="A105" t="s">
        <v>208</v>
      </c>
      <c r="B105" t="s">
        <v>359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347</v>
      </c>
      <c r="C107" t="b">
        <f>TRUE()</f>
        <v>1</v>
      </c>
      <c r="E107" t="b">
        <f>TRUE()</f>
        <v>1</v>
      </c>
    </row>
    <row r="108" spans="1:5">
      <c r="A108" t="s">
        <v>213</v>
      </c>
      <c r="B108" t="s">
        <v>360</v>
      </c>
      <c r="C108" t="s">
        <v>8</v>
      </c>
      <c r="E108" t="b">
        <f>FALSE()</f>
        <v>0</v>
      </c>
    </row>
    <row r="109" spans="1:5">
      <c r="A109" t="s">
        <v>215</v>
      </c>
      <c r="B109" t="s">
        <v>257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361</v>
      </c>
      <c r="C111" t="b">
        <f>FALSE()</f>
        <v>0</v>
      </c>
      <c r="E111" t="b">
        <f>FALSE()</f>
        <v>0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347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362</v>
      </c>
      <c r="C114" t="s">
        <v>8</v>
      </c>
      <c r="E114" t="s">
        <v>8</v>
      </c>
    </row>
    <row r="115" spans="1:5">
      <c r="A115" t="s">
        <v>226</v>
      </c>
      <c r="B115" t="s">
        <v>120</v>
      </c>
      <c r="C115" t="b">
        <f>FALSE()</f>
        <v>0</v>
      </c>
      <c r="E115" t="b">
        <f>FALSE()</f>
        <v>0</v>
      </c>
    </row>
    <row r="116" spans="1:5">
      <c r="A116" t="s">
        <v>227</v>
      </c>
      <c r="B116" t="s">
        <v>363</v>
      </c>
      <c r="C116" t="b">
        <f>FALSE()</f>
        <v>0</v>
      </c>
      <c r="E116" t="b">
        <f>FALSE()</f>
        <v>0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347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364</v>
      </c>
      <c r="C120" t="s">
        <v>8</v>
      </c>
      <c r="E120" t="s">
        <v>8</v>
      </c>
    </row>
    <row r="121" spans="1:5">
      <c r="A121" t="s">
        <v>236</v>
      </c>
      <c r="B121" t="s">
        <v>270</v>
      </c>
      <c r="C121" t="b">
        <f>FALSE()</f>
        <v>0</v>
      </c>
      <c r="E12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1"/>
  <sheetViews>
    <sheetView topLeftCell="A90" zoomScale="80" zoomScaleNormal="80" workbookViewId="0">
      <selection activeCell="E109" sqref="E109"/>
    </sheetView>
  </sheetViews>
  <sheetFormatPr defaultColWidth="8.5703125" defaultRowHeight="15"/>
  <cols>
    <col min="1" max="1" width="46.5703125" style="4" customWidth="1"/>
    <col min="2" max="2" width="39" style="4" customWidth="1"/>
    <col min="3" max="4" width="8.5703125" style="4"/>
    <col min="5" max="5" width="14.42578125" style="4" customWidth="1"/>
    <col min="6" max="16384" width="8.5703125" style="4"/>
  </cols>
  <sheetData>
    <row r="1" spans="1:5">
      <c r="A1" s="1" t="s">
        <v>18</v>
      </c>
      <c r="B1" s="1" t="s">
        <v>19</v>
      </c>
      <c r="C1" s="4" t="s">
        <v>20</v>
      </c>
      <c r="D1" s="4" t="s">
        <v>21</v>
      </c>
      <c r="E1" s="4" t="s">
        <v>22</v>
      </c>
    </row>
    <row r="2" spans="1:5">
      <c r="A2" s="4" t="s">
        <v>23</v>
      </c>
      <c r="B2" s="4" t="s">
        <v>24</v>
      </c>
      <c r="C2" s="4" t="b">
        <f>TRUE()</f>
        <v>1</v>
      </c>
      <c r="E2" s="4" t="b">
        <f>TRUE()</f>
        <v>1</v>
      </c>
    </row>
    <row r="3" spans="1:5">
      <c r="A3" s="4" t="s">
        <v>25</v>
      </c>
      <c r="B3" s="4" t="s">
        <v>26</v>
      </c>
      <c r="C3" s="4" t="b">
        <f>TRUE()</f>
        <v>1</v>
      </c>
      <c r="E3" s="4" t="b">
        <f>TRUE()</f>
        <v>1</v>
      </c>
    </row>
    <row r="4" spans="1:5">
      <c r="A4" s="4" t="s">
        <v>27</v>
      </c>
      <c r="B4" s="4" t="s">
        <v>28</v>
      </c>
      <c r="C4" s="4" t="b">
        <f>TRUE()</f>
        <v>1</v>
      </c>
      <c r="E4" s="4" t="b">
        <f>TRUE()</f>
        <v>1</v>
      </c>
    </row>
    <row r="5" spans="1:5">
      <c r="A5" s="4" t="s">
        <v>29</v>
      </c>
      <c r="B5" s="4" t="s">
        <v>285</v>
      </c>
      <c r="C5" s="4" t="b">
        <f>TRUE()</f>
        <v>1</v>
      </c>
      <c r="E5" s="4" t="b">
        <f>TRUE()</f>
        <v>1</v>
      </c>
    </row>
    <row r="6" spans="1:5" ht="46.35">
      <c r="A6" s="4" t="s">
        <v>31</v>
      </c>
      <c r="B6" s="5" t="s">
        <v>365</v>
      </c>
      <c r="C6" s="4" t="b">
        <f>FALSE()</f>
        <v>0</v>
      </c>
      <c r="E6" s="4" t="b">
        <f>FALSE()</f>
        <v>0</v>
      </c>
    </row>
    <row r="7" spans="1:5">
      <c r="A7" s="4" t="s">
        <v>34</v>
      </c>
      <c r="B7" s="4" t="s">
        <v>239</v>
      </c>
      <c r="C7" s="4" t="b">
        <f>FALSE()</f>
        <v>0</v>
      </c>
      <c r="E7" s="4" t="b">
        <f>FALSE()</f>
        <v>0</v>
      </c>
    </row>
    <row r="8" spans="1:5">
      <c r="A8" s="4" t="s">
        <v>36</v>
      </c>
      <c r="B8" s="4" t="s">
        <v>37</v>
      </c>
      <c r="C8" s="4" t="b">
        <f>TRUE()</f>
        <v>1</v>
      </c>
      <c r="E8" s="4" t="b">
        <f>TRUE()</f>
        <v>1</v>
      </c>
    </row>
    <row r="9" spans="1:5">
      <c r="A9" s="4" t="s">
        <v>38</v>
      </c>
      <c r="B9" s="4" t="s">
        <v>39</v>
      </c>
      <c r="C9" s="4" t="b">
        <f>TRUE()</f>
        <v>1</v>
      </c>
      <c r="E9" s="4" t="b">
        <f>TRUE()</f>
        <v>1</v>
      </c>
    </row>
    <row r="10" spans="1:5">
      <c r="A10" s="4" t="s">
        <v>40</v>
      </c>
      <c r="B10" s="4" t="s">
        <v>366</v>
      </c>
      <c r="C10" s="4" t="b">
        <f>TRUE()</f>
        <v>1</v>
      </c>
      <c r="E10" s="4" t="b">
        <f>TRUE()</f>
        <v>1</v>
      </c>
    </row>
    <row r="11" spans="1:5">
      <c r="A11" s="4" t="s">
        <v>42</v>
      </c>
      <c r="B11" s="4" t="s">
        <v>285</v>
      </c>
      <c r="C11" s="4" t="b">
        <f>TRUE()</f>
        <v>1</v>
      </c>
      <c r="E11" s="4" t="b">
        <f>TRUE()</f>
        <v>1</v>
      </c>
    </row>
    <row r="12" spans="1:5" ht="46.35">
      <c r="A12" s="4" t="s">
        <v>43</v>
      </c>
      <c r="B12" s="5" t="s">
        <v>367</v>
      </c>
      <c r="C12" s="4" t="b">
        <f>FALSE()</f>
        <v>0</v>
      </c>
      <c r="E12" s="4" t="b">
        <f>FALSE()</f>
        <v>0</v>
      </c>
    </row>
    <row r="13" spans="1:5">
      <c r="A13" s="4" t="s">
        <v>45</v>
      </c>
      <c r="B13" s="4" t="s">
        <v>333</v>
      </c>
      <c r="C13" s="4" t="b">
        <f>FALSE()</f>
        <v>0</v>
      </c>
      <c r="E13" s="4" t="b">
        <f>FALSE()</f>
        <v>0</v>
      </c>
    </row>
    <row r="14" spans="1:5">
      <c r="A14" s="4" t="s">
        <v>47</v>
      </c>
      <c r="B14" s="4" t="s">
        <v>48</v>
      </c>
      <c r="C14" s="4" t="b">
        <f>TRUE()</f>
        <v>1</v>
      </c>
      <c r="E14" s="4" t="b">
        <f>TRUE()</f>
        <v>1</v>
      </c>
    </row>
    <row r="15" spans="1:5">
      <c r="A15" s="4" t="s">
        <v>49</v>
      </c>
      <c r="B15" s="4" t="s">
        <v>240</v>
      </c>
      <c r="C15" s="4" t="b">
        <f>TRUE()</f>
        <v>1</v>
      </c>
      <c r="E15" s="4" t="b">
        <f>TRUE()</f>
        <v>1</v>
      </c>
    </row>
    <row r="16" spans="1:5">
      <c r="A16" s="4" t="s">
        <v>51</v>
      </c>
      <c r="B16" s="4" t="s">
        <v>331</v>
      </c>
      <c r="C16" s="4" t="b">
        <f>TRUE()</f>
        <v>1</v>
      </c>
      <c r="E16" s="4" t="b">
        <f>TRUE()</f>
        <v>1</v>
      </c>
    </row>
    <row r="17" spans="1:5">
      <c r="A17" s="4" t="s">
        <v>53</v>
      </c>
      <c r="B17" s="4" t="s">
        <v>285</v>
      </c>
      <c r="C17" s="4" t="b">
        <f>TRUE()</f>
        <v>1</v>
      </c>
      <c r="E17" s="4" t="b">
        <f>TRUE()</f>
        <v>1</v>
      </c>
    </row>
    <row r="18" spans="1:5" ht="31.35">
      <c r="A18" s="4" t="s">
        <v>55</v>
      </c>
      <c r="B18" s="5" t="s">
        <v>56</v>
      </c>
      <c r="C18" s="4" t="s">
        <v>8</v>
      </c>
      <c r="E18" s="4" t="s">
        <v>8</v>
      </c>
    </row>
    <row r="19" spans="1:5">
      <c r="A19" s="4" t="s">
        <v>58</v>
      </c>
      <c r="B19" s="4" t="s">
        <v>268</v>
      </c>
      <c r="C19" s="4" t="b">
        <f>FALSE()</f>
        <v>0</v>
      </c>
      <c r="E19" s="4" t="b">
        <f>FALSE()</f>
        <v>0</v>
      </c>
    </row>
    <row r="20" spans="1:5">
      <c r="A20" s="4" t="s">
        <v>60</v>
      </c>
      <c r="B20" s="4" t="s">
        <v>61</v>
      </c>
      <c r="C20" s="4" t="b">
        <f>TRUE()</f>
        <v>1</v>
      </c>
      <c r="E20" s="4" t="b">
        <f>TRUE()</f>
        <v>1</v>
      </c>
    </row>
    <row r="21" spans="1:5">
      <c r="A21" s="4" t="s">
        <v>62</v>
      </c>
      <c r="B21" s="4" t="s">
        <v>243</v>
      </c>
      <c r="C21" s="4" t="b">
        <f>TRUE()</f>
        <v>1</v>
      </c>
      <c r="E21" s="4" t="b">
        <f>TRUE()</f>
        <v>1</v>
      </c>
    </row>
    <row r="22" spans="1:5">
      <c r="A22" s="4" t="s">
        <v>64</v>
      </c>
      <c r="B22" s="4" t="s">
        <v>65</v>
      </c>
      <c r="C22" s="4" t="b">
        <f>TRUE()</f>
        <v>1</v>
      </c>
      <c r="E22" s="4" t="b">
        <f>TRUE()</f>
        <v>1</v>
      </c>
    </row>
    <row r="23" spans="1:5">
      <c r="A23" s="4" t="s">
        <v>66</v>
      </c>
      <c r="B23" s="4" t="s">
        <v>368</v>
      </c>
      <c r="C23" s="4" t="b">
        <f>TRUE()</f>
        <v>1</v>
      </c>
      <c r="E23" s="4" t="b">
        <f>TRUE()</f>
        <v>1</v>
      </c>
    </row>
    <row r="24" spans="1:5" ht="46.35">
      <c r="A24" s="4" t="s">
        <v>67</v>
      </c>
      <c r="B24" s="5" t="s">
        <v>369</v>
      </c>
      <c r="C24" s="4" t="s">
        <v>8</v>
      </c>
      <c r="E24" s="4" t="s">
        <v>8</v>
      </c>
    </row>
    <row r="25" spans="1:5">
      <c r="A25" s="4" t="s">
        <v>69</v>
      </c>
      <c r="B25" s="4" t="s">
        <v>336</v>
      </c>
      <c r="C25" s="4" t="b">
        <f>FALSE()</f>
        <v>0</v>
      </c>
      <c r="E25" s="4" t="b">
        <f>FALSE()</f>
        <v>0</v>
      </c>
    </row>
    <row r="26" spans="1:5">
      <c r="A26" s="4" t="s">
        <v>70</v>
      </c>
      <c r="B26" s="4" t="s">
        <v>308</v>
      </c>
      <c r="C26" s="4" t="b">
        <f>TRUE()</f>
        <v>1</v>
      </c>
      <c r="E26" s="4" t="b">
        <f>TRUE()</f>
        <v>1</v>
      </c>
    </row>
    <row r="27" spans="1:5">
      <c r="A27" s="4" t="s">
        <v>72</v>
      </c>
      <c r="B27" s="4" t="s">
        <v>73</v>
      </c>
      <c r="C27" s="4" t="b">
        <f>TRUE()</f>
        <v>1</v>
      </c>
      <c r="E27" s="4" t="b">
        <f>TRUE()</f>
        <v>1</v>
      </c>
    </row>
    <row r="28" spans="1:5">
      <c r="A28" s="4" t="s">
        <v>74</v>
      </c>
      <c r="B28" s="4" t="s">
        <v>75</v>
      </c>
      <c r="C28" s="4" t="b">
        <f>TRUE()</f>
        <v>1</v>
      </c>
      <c r="E28" s="4" t="b">
        <f>TRUE()</f>
        <v>1</v>
      </c>
    </row>
    <row r="29" spans="1:5">
      <c r="A29" s="4" t="s">
        <v>76</v>
      </c>
      <c r="B29" s="4" t="s">
        <v>285</v>
      </c>
      <c r="C29" s="4" t="b">
        <f>TRUE()</f>
        <v>1</v>
      </c>
      <c r="E29" s="4" t="b">
        <f>TRUE()</f>
        <v>1</v>
      </c>
    </row>
    <row r="30" spans="1:5" ht="46.35">
      <c r="A30" s="4" t="s">
        <v>77</v>
      </c>
      <c r="B30" s="5" t="s">
        <v>309</v>
      </c>
      <c r="C30" s="4" t="b">
        <f>FALSE()</f>
        <v>0</v>
      </c>
      <c r="E30" s="4" t="b">
        <f>FALSE()</f>
        <v>0</v>
      </c>
    </row>
    <row r="31" spans="1:5">
      <c r="A31" s="4" t="s">
        <v>79</v>
      </c>
      <c r="B31" s="4" t="s">
        <v>310</v>
      </c>
      <c r="C31" s="4" t="b">
        <f>FALSE()</f>
        <v>0</v>
      </c>
      <c r="E31" s="4" t="b">
        <f>FALSE()</f>
        <v>0</v>
      </c>
    </row>
    <row r="32" spans="1:5">
      <c r="A32" s="4" t="s">
        <v>80</v>
      </c>
      <c r="B32" s="4" t="s">
        <v>246</v>
      </c>
      <c r="C32" s="4" t="b">
        <f>TRUE()</f>
        <v>1</v>
      </c>
      <c r="E32" s="4" t="b">
        <f>TRUE()</f>
        <v>1</v>
      </c>
    </row>
    <row r="33" spans="1:5">
      <c r="A33" s="4" t="s">
        <v>82</v>
      </c>
      <c r="B33" s="4" t="s">
        <v>247</v>
      </c>
      <c r="C33" s="4" t="b">
        <f>TRUE()</f>
        <v>1</v>
      </c>
      <c r="E33" s="4" t="b">
        <f>TRUE()</f>
        <v>1</v>
      </c>
    </row>
    <row r="34" spans="1:5">
      <c r="A34" s="4" t="s">
        <v>84</v>
      </c>
      <c r="B34" s="4" t="s">
        <v>370</v>
      </c>
      <c r="C34" s="4" t="b">
        <f>TRUE()</f>
        <v>1</v>
      </c>
      <c r="E34" s="4" t="b">
        <f>TRUE()</f>
        <v>1</v>
      </c>
    </row>
    <row r="35" spans="1:5">
      <c r="A35" s="4" t="s">
        <v>86</v>
      </c>
      <c r="B35" s="4" t="s">
        <v>285</v>
      </c>
      <c r="C35" s="4" t="b">
        <f>TRUE()</f>
        <v>1</v>
      </c>
      <c r="E35" s="4" t="b">
        <f>TRUE()</f>
        <v>1</v>
      </c>
    </row>
    <row r="36" spans="1:5" ht="31.35">
      <c r="A36" s="4" t="s">
        <v>87</v>
      </c>
      <c r="B36" s="5" t="s">
        <v>56</v>
      </c>
      <c r="C36" s="4" t="s">
        <v>8</v>
      </c>
      <c r="E36" s="4" t="b">
        <f>FALSE()</f>
        <v>0</v>
      </c>
    </row>
    <row r="37" spans="1:5">
      <c r="A37" s="4" t="s">
        <v>89</v>
      </c>
      <c r="B37" s="4" t="s">
        <v>371</v>
      </c>
      <c r="C37" s="4" t="b">
        <f>FALSE()</f>
        <v>0</v>
      </c>
      <c r="E37" s="4" t="b">
        <f>FALSE()</f>
        <v>0</v>
      </c>
    </row>
    <row r="38" spans="1:5">
      <c r="A38" s="4" t="s">
        <v>91</v>
      </c>
      <c r="B38" s="4" t="s">
        <v>250</v>
      </c>
      <c r="C38" s="4" t="b">
        <f>TRUE()</f>
        <v>1</v>
      </c>
      <c r="E38" s="4" t="b">
        <f>TRUE()</f>
        <v>1</v>
      </c>
    </row>
    <row r="39" spans="1:5">
      <c r="A39" s="4" t="s">
        <v>93</v>
      </c>
      <c r="B39" s="4" t="s">
        <v>94</v>
      </c>
      <c r="C39" s="4" t="b">
        <f>TRUE()</f>
        <v>1</v>
      </c>
      <c r="E39" s="4" t="b">
        <f>TRUE()</f>
        <v>1</v>
      </c>
    </row>
    <row r="40" spans="1:5">
      <c r="A40" s="4" t="s">
        <v>95</v>
      </c>
      <c r="B40" s="4" t="s">
        <v>85</v>
      </c>
      <c r="C40" s="4" t="b">
        <f>TRUE()</f>
        <v>1</v>
      </c>
      <c r="E40" s="4" t="b">
        <f>TRUE()</f>
        <v>1</v>
      </c>
    </row>
    <row r="41" spans="1:5">
      <c r="A41" s="4" t="s">
        <v>96</v>
      </c>
      <c r="B41" s="4" t="s">
        <v>285</v>
      </c>
      <c r="C41" s="4" t="b">
        <f>TRUE()</f>
        <v>1</v>
      </c>
      <c r="E41" s="4" t="b">
        <f>TRUE()</f>
        <v>1</v>
      </c>
    </row>
    <row r="42" spans="1:5">
      <c r="A42" s="4" t="s">
        <v>97</v>
      </c>
      <c r="B42" s="4" t="s">
        <v>98</v>
      </c>
      <c r="C42" s="4" t="b">
        <f>FALSE()</f>
        <v>0</v>
      </c>
      <c r="E42" s="4" t="b">
        <f>FALSE()</f>
        <v>0</v>
      </c>
    </row>
    <row r="43" spans="1:5">
      <c r="A43" s="4" t="s">
        <v>99</v>
      </c>
      <c r="B43" s="4" t="s">
        <v>260</v>
      </c>
      <c r="C43" s="4" t="b">
        <f>FALSE()</f>
        <v>0</v>
      </c>
      <c r="E43" s="4" t="b">
        <f>FALSE()</f>
        <v>0</v>
      </c>
    </row>
    <row r="44" spans="1:5">
      <c r="A44" s="4" t="s">
        <v>100</v>
      </c>
      <c r="B44" s="4" t="s">
        <v>372</v>
      </c>
      <c r="C44" s="4" t="b">
        <f>FALSE()</f>
        <v>0</v>
      </c>
      <c r="E44" s="4" t="b">
        <f>FALSE()</f>
        <v>0</v>
      </c>
    </row>
    <row r="45" spans="1:5">
      <c r="A45" s="4" t="s">
        <v>102</v>
      </c>
      <c r="B45" s="4" t="s">
        <v>341</v>
      </c>
      <c r="C45" s="4" t="b">
        <f>TRUE()</f>
        <v>1</v>
      </c>
      <c r="E45" s="4" t="b">
        <f>TRUE()</f>
        <v>1</v>
      </c>
    </row>
    <row r="46" spans="1:5">
      <c r="A46" s="4" t="s">
        <v>104</v>
      </c>
      <c r="B46" s="4" t="s">
        <v>342</v>
      </c>
      <c r="C46" s="4" t="b">
        <f>TRUE()</f>
        <v>1</v>
      </c>
      <c r="E46" s="4" t="b">
        <f>TRUE()</f>
        <v>1</v>
      </c>
    </row>
    <row r="47" spans="1:5">
      <c r="A47" s="4" t="s">
        <v>105</v>
      </c>
      <c r="B47" s="4" t="s">
        <v>285</v>
      </c>
      <c r="C47" s="4" t="b">
        <f>TRUE()</f>
        <v>1</v>
      </c>
      <c r="E47" s="4" t="b">
        <f>TRUE()</f>
        <v>1</v>
      </c>
    </row>
    <row r="48" spans="1:5" ht="46.35">
      <c r="A48" s="4" t="s">
        <v>106</v>
      </c>
      <c r="B48" s="5" t="s">
        <v>373</v>
      </c>
      <c r="C48" s="4" t="b">
        <f>FALSE()</f>
        <v>0</v>
      </c>
      <c r="E48" s="4" t="b">
        <f>FALSE()</f>
        <v>0</v>
      </c>
    </row>
    <row r="49" spans="1:5">
      <c r="A49" s="4" t="s">
        <v>108</v>
      </c>
      <c r="B49" s="4" t="s">
        <v>374</v>
      </c>
      <c r="C49" s="4" t="b">
        <f>FALSE()</f>
        <v>0</v>
      </c>
      <c r="E49" s="4" t="b">
        <f>FALSE()</f>
        <v>0</v>
      </c>
    </row>
    <row r="50" spans="1:5">
      <c r="A50" s="4" t="s">
        <v>110</v>
      </c>
      <c r="B50" s="4" t="s">
        <v>111</v>
      </c>
      <c r="C50" s="4" t="b">
        <f>TRUE()</f>
        <v>1</v>
      </c>
      <c r="E50" s="4" t="b">
        <f>TRUE()</f>
        <v>1</v>
      </c>
    </row>
    <row r="51" spans="1:5">
      <c r="A51" s="4" t="s">
        <v>112</v>
      </c>
      <c r="B51" s="4" t="s">
        <v>113</v>
      </c>
      <c r="C51" s="4" t="b">
        <f>TRUE()</f>
        <v>1</v>
      </c>
      <c r="E51" s="4" t="b">
        <f>TRUE()</f>
        <v>1</v>
      </c>
    </row>
    <row r="52" spans="1:5">
      <c r="A52" s="4" t="s">
        <v>114</v>
      </c>
      <c r="B52" s="4" t="s">
        <v>115</v>
      </c>
      <c r="C52" s="4" t="b">
        <f>TRUE()</f>
        <v>1</v>
      </c>
      <c r="E52" s="4" t="b">
        <f>TRUE()</f>
        <v>1</v>
      </c>
    </row>
    <row r="53" spans="1:5">
      <c r="A53" s="4" t="s">
        <v>116</v>
      </c>
      <c r="B53" s="4" t="s">
        <v>285</v>
      </c>
      <c r="C53" s="4" t="b">
        <f>TRUE()</f>
        <v>1</v>
      </c>
      <c r="E53" s="4" t="b">
        <f>TRUE()</f>
        <v>1</v>
      </c>
    </row>
    <row r="54" spans="1:5" ht="31.35">
      <c r="A54" s="4" t="s">
        <v>117</v>
      </c>
      <c r="B54" s="5" t="s">
        <v>375</v>
      </c>
      <c r="C54" s="4" t="s">
        <v>8</v>
      </c>
      <c r="E54" s="4" t="s">
        <v>8</v>
      </c>
    </row>
    <row r="55" spans="1:5">
      <c r="A55" s="4" t="s">
        <v>119</v>
      </c>
      <c r="B55" s="4" t="s">
        <v>184</v>
      </c>
      <c r="C55" s="4" t="b">
        <f>FALSE()</f>
        <v>0</v>
      </c>
      <c r="E55" s="4" t="b">
        <f>FALSE()</f>
        <v>0</v>
      </c>
    </row>
    <row r="56" spans="1:5">
      <c r="A56" s="4" t="s">
        <v>121</v>
      </c>
      <c r="B56" s="4" t="s">
        <v>376</v>
      </c>
      <c r="C56" s="4" t="b">
        <f>FALSE()</f>
        <v>0</v>
      </c>
      <c r="E56" s="4" t="b">
        <f>FALSE()</f>
        <v>0</v>
      </c>
    </row>
    <row r="57" spans="1:5">
      <c r="A57" s="4" t="s">
        <v>123</v>
      </c>
      <c r="B57" s="4" t="s">
        <v>315</v>
      </c>
      <c r="C57" s="4" t="b">
        <f>TRUE()</f>
        <v>1</v>
      </c>
      <c r="E57" s="4" t="b">
        <f>TRUE()</f>
        <v>1</v>
      </c>
    </row>
    <row r="58" spans="1:5">
      <c r="A58" s="4" t="s">
        <v>125</v>
      </c>
      <c r="B58" s="4" t="s">
        <v>75</v>
      </c>
      <c r="C58" s="4" t="b">
        <f>TRUE()</f>
        <v>1</v>
      </c>
      <c r="E58" s="4" t="b">
        <f>TRUE()</f>
        <v>1</v>
      </c>
    </row>
    <row r="59" spans="1:5">
      <c r="A59" s="4" t="s">
        <v>126</v>
      </c>
      <c r="B59" s="4" t="s">
        <v>368</v>
      </c>
      <c r="C59" s="4" t="b">
        <f>TRUE()</f>
        <v>1</v>
      </c>
      <c r="E59" s="4" t="b">
        <f>TRUE()</f>
        <v>1</v>
      </c>
    </row>
    <row r="60" spans="1:5" ht="31.35">
      <c r="A60" s="4" t="s">
        <v>127</v>
      </c>
      <c r="B60" s="5" t="s">
        <v>255</v>
      </c>
      <c r="C60" s="4" t="s">
        <v>8</v>
      </c>
      <c r="E60" s="4" t="b">
        <f>FALSE()</f>
        <v>0</v>
      </c>
    </row>
    <row r="61" spans="1:5">
      <c r="A61" s="4" t="s">
        <v>129</v>
      </c>
      <c r="B61" s="4" t="s">
        <v>257</v>
      </c>
      <c r="C61" s="4" t="b">
        <f>FALSE()</f>
        <v>0</v>
      </c>
      <c r="E61" s="4" t="b">
        <f>FALSE()</f>
        <v>0</v>
      </c>
    </row>
    <row r="62" spans="1:5">
      <c r="A62" s="4" t="s">
        <v>131</v>
      </c>
      <c r="B62" s="4" t="s">
        <v>132</v>
      </c>
      <c r="C62" s="4" t="b">
        <f>TRUE()</f>
        <v>1</v>
      </c>
      <c r="E62" s="4" t="b">
        <f>TRUE()</f>
        <v>1</v>
      </c>
    </row>
    <row r="63" spans="1:5">
      <c r="A63" s="4" t="s">
        <v>133</v>
      </c>
      <c r="B63" s="4" t="s">
        <v>134</v>
      </c>
      <c r="C63" s="4" t="b">
        <f>TRUE()</f>
        <v>1</v>
      </c>
      <c r="E63" s="4" t="b">
        <f>TRUE()</f>
        <v>1</v>
      </c>
    </row>
    <row r="64" spans="1:5">
      <c r="A64" s="4" t="s">
        <v>135</v>
      </c>
      <c r="B64" s="4" t="s">
        <v>136</v>
      </c>
      <c r="C64" s="4" t="b">
        <f>TRUE()</f>
        <v>1</v>
      </c>
      <c r="E64" s="4" t="b">
        <f>TRUE()</f>
        <v>1</v>
      </c>
    </row>
    <row r="65" spans="1:5">
      <c r="A65" s="4" t="s">
        <v>137</v>
      </c>
      <c r="B65" s="4" t="s">
        <v>347</v>
      </c>
      <c r="C65" s="4" t="b">
        <f>TRUE()</f>
        <v>1</v>
      </c>
      <c r="E65" s="4" t="b">
        <f>TRUE()</f>
        <v>1</v>
      </c>
    </row>
    <row r="66" spans="1:5" ht="31.35">
      <c r="A66" s="4" t="s">
        <v>139</v>
      </c>
      <c r="B66" s="5" t="s">
        <v>348</v>
      </c>
      <c r="C66" s="4" t="s">
        <v>8</v>
      </c>
      <c r="E66" s="4" t="b">
        <f>FALSE()</f>
        <v>0</v>
      </c>
    </row>
    <row r="67" spans="1:5">
      <c r="A67" s="4" t="s">
        <v>141</v>
      </c>
      <c r="B67" s="4" t="s">
        <v>377</v>
      </c>
      <c r="C67" s="4" t="b">
        <f>FALSE()</f>
        <v>0</v>
      </c>
      <c r="E67" s="4" t="b">
        <f>FALSE()</f>
        <v>0</v>
      </c>
    </row>
    <row r="68" spans="1:5">
      <c r="A68" s="4" t="s">
        <v>143</v>
      </c>
      <c r="B68" s="4" t="s">
        <v>144</v>
      </c>
      <c r="C68" s="4" t="b">
        <f>TRUE()</f>
        <v>1</v>
      </c>
      <c r="E68" s="4" t="b">
        <f>TRUE()</f>
        <v>1</v>
      </c>
    </row>
    <row r="69" spans="1:5">
      <c r="A69" s="4" t="s">
        <v>145</v>
      </c>
      <c r="B69" s="4" t="s">
        <v>146</v>
      </c>
      <c r="C69" s="4" t="b">
        <f>TRUE()</f>
        <v>1</v>
      </c>
      <c r="E69" s="4" t="b">
        <f>TRUE()</f>
        <v>1</v>
      </c>
    </row>
    <row r="70" spans="1:5">
      <c r="A70" s="4" t="s">
        <v>147</v>
      </c>
      <c r="B70" s="4" t="s">
        <v>378</v>
      </c>
      <c r="C70" s="4" t="b">
        <f>TRUE()</f>
        <v>1</v>
      </c>
      <c r="E70" s="4" t="b">
        <f>TRUE()</f>
        <v>1</v>
      </c>
    </row>
    <row r="71" spans="1:5">
      <c r="A71" s="4" t="s">
        <v>149</v>
      </c>
      <c r="B71" s="4" t="s">
        <v>347</v>
      </c>
      <c r="C71" s="4" t="b">
        <f>TRUE()</f>
        <v>1</v>
      </c>
      <c r="E71" s="4" t="b">
        <f>TRUE()</f>
        <v>1</v>
      </c>
    </row>
    <row r="72" spans="1:5" ht="46.35">
      <c r="A72" s="4" t="s">
        <v>150</v>
      </c>
      <c r="B72" s="5" t="s">
        <v>379</v>
      </c>
      <c r="C72" s="4" t="b">
        <f>FALSE()</f>
        <v>0</v>
      </c>
      <c r="D72" s="4" t="s">
        <v>380</v>
      </c>
      <c r="E72" s="4" t="b">
        <f>FALSE()</f>
        <v>0</v>
      </c>
    </row>
    <row r="73" spans="1:5">
      <c r="A73" s="4" t="s">
        <v>152</v>
      </c>
      <c r="B73" s="4" t="s">
        <v>291</v>
      </c>
      <c r="C73" s="4" t="b">
        <f>FALSE()</f>
        <v>0</v>
      </c>
      <c r="E73" s="4" t="b">
        <f>FALSE()</f>
        <v>0</v>
      </c>
    </row>
    <row r="74" spans="1:5">
      <c r="A74" s="4" t="s">
        <v>154</v>
      </c>
      <c r="B74" s="4" t="s">
        <v>155</v>
      </c>
      <c r="C74" s="4" t="b">
        <f>TRUE()</f>
        <v>1</v>
      </c>
      <c r="E74" s="4" t="b">
        <f>TRUE()</f>
        <v>1</v>
      </c>
    </row>
    <row r="75" spans="1:5">
      <c r="A75" s="4" t="s">
        <v>156</v>
      </c>
      <c r="B75" s="4" t="s">
        <v>157</v>
      </c>
      <c r="C75" s="4" t="b">
        <f>TRUE()</f>
        <v>1</v>
      </c>
      <c r="E75" s="4" t="b">
        <f>TRUE()</f>
        <v>1</v>
      </c>
    </row>
    <row r="76" spans="1:5">
      <c r="A76" s="4" t="s">
        <v>158</v>
      </c>
      <c r="B76" s="4" t="s">
        <v>381</v>
      </c>
      <c r="C76" s="4" t="b">
        <f>TRUE()</f>
        <v>1</v>
      </c>
      <c r="E76" s="4" t="b">
        <f>TRUE()</f>
        <v>1</v>
      </c>
    </row>
    <row r="77" spans="1:5">
      <c r="A77" s="4" t="s">
        <v>160</v>
      </c>
      <c r="B77" s="4" t="s">
        <v>347</v>
      </c>
      <c r="C77" s="4" t="b">
        <f>TRUE()</f>
        <v>1</v>
      </c>
      <c r="E77" s="4" t="b">
        <f>TRUE()</f>
        <v>1</v>
      </c>
    </row>
    <row r="78" spans="1:5" ht="46.35">
      <c r="A78" s="4" t="s">
        <v>161</v>
      </c>
      <c r="B78" s="5" t="s">
        <v>382</v>
      </c>
      <c r="C78" s="4" t="b">
        <f>FALSE()</f>
        <v>0</v>
      </c>
      <c r="E78" s="4" t="b">
        <f>FALSE()</f>
        <v>0</v>
      </c>
    </row>
    <row r="79" spans="1:5">
      <c r="A79" s="4" t="s">
        <v>163</v>
      </c>
      <c r="B79" s="4" t="s">
        <v>383</v>
      </c>
      <c r="C79" s="4" t="b">
        <f>FALSE()</f>
        <v>0</v>
      </c>
      <c r="E79" s="4" t="b">
        <f>FALSE()</f>
        <v>0</v>
      </c>
    </row>
    <row r="80" spans="1:5">
      <c r="A80" s="4" t="s">
        <v>164</v>
      </c>
      <c r="B80" s="4" t="s">
        <v>321</v>
      </c>
      <c r="C80" s="4" t="b">
        <f>TRUE()</f>
        <v>1</v>
      </c>
      <c r="E80" s="4" t="b">
        <f>TRUE()</f>
        <v>1</v>
      </c>
    </row>
    <row r="81" spans="1:5">
      <c r="A81" s="4" t="s">
        <v>167</v>
      </c>
      <c r="B81" s="4" t="s">
        <v>168</v>
      </c>
      <c r="C81" s="4" t="b">
        <f>TRUE()</f>
        <v>1</v>
      </c>
      <c r="E81" s="4" t="b">
        <f>TRUE()</f>
        <v>1</v>
      </c>
    </row>
    <row r="82" spans="1:5">
      <c r="A82" s="4" t="s">
        <v>169</v>
      </c>
      <c r="B82" s="4" t="s">
        <v>170</v>
      </c>
      <c r="C82" s="4" t="b">
        <f>TRUE()</f>
        <v>1</v>
      </c>
      <c r="E82" s="4" t="b">
        <f>TRUE()</f>
        <v>1</v>
      </c>
    </row>
    <row r="83" spans="1:5">
      <c r="A83" s="4" t="s">
        <v>171</v>
      </c>
      <c r="B83" s="4" t="s">
        <v>347</v>
      </c>
      <c r="C83" s="4" t="b">
        <f>TRUE()</f>
        <v>1</v>
      </c>
      <c r="E83" s="4" t="b">
        <f>TRUE()</f>
        <v>1</v>
      </c>
    </row>
    <row r="84" spans="1:5" ht="31.35">
      <c r="A84" s="4" t="s">
        <v>172</v>
      </c>
      <c r="B84" s="5" t="s">
        <v>384</v>
      </c>
      <c r="C84" s="4" t="s">
        <v>8</v>
      </c>
      <c r="E84" s="4" t="b">
        <f>FALSE()</f>
        <v>0</v>
      </c>
    </row>
    <row r="85" spans="1:5">
      <c r="A85" s="4" t="s">
        <v>174</v>
      </c>
      <c r="B85" s="4" t="s">
        <v>385</v>
      </c>
      <c r="C85" s="4" t="b">
        <f>FALSE()</f>
        <v>0</v>
      </c>
      <c r="E85" s="4" t="b">
        <f>FALSE()</f>
        <v>0</v>
      </c>
    </row>
    <row r="86" spans="1:5">
      <c r="A86" s="4" t="s">
        <v>175</v>
      </c>
      <c r="B86" s="4" t="s">
        <v>176</v>
      </c>
      <c r="C86" s="4" t="b">
        <f>TRUE()</f>
        <v>1</v>
      </c>
      <c r="E86" s="4" t="b">
        <f>TRUE()</f>
        <v>1</v>
      </c>
    </row>
    <row r="87" spans="1:5">
      <c r="A87" s="4" t="s">
        <v>177</v>
      </c>
      <c r="B87" s="4" t="s">
        <v>178</v>
      </c>
      <c r="C87" s="4" t="b">
        <f>TRUE()</f>
        <v>1</v>
      </c>
      <c r="E87" s="4" t="b">
        <f>TRUE()</f>
        <v>1</v>
      </c>
    </row>
    <row r="88" spans="1:5">
      <c r="A88" s="4" t="s">
        <v>179</v>
      </c>
      <c r="B88" s="4" t="s">
        <v>355</v>
      </c>
      <c r="C88" s="4" t="b">
        <f>TRUE()</f>
        <v>1</v>
      </c>
      <c r="E88" s="4" t="b">
        <f>TRUE()</f>
        <v>1</v>
      </c>
    </row>
    <row r="89" spans="1:5">
      <c r="A89" s="4" t="s">
        <v>180</v>
      </c>
      <c r="B89" s="4" t="s">
        <v>347</v>
      </c>
      <c r="C89" s="4" t="b">
        <f>TRUE()</f>
        <v>1</v>
      </c>
      <c r="E89" s="4" t="b">
        <f>TRUE()</f>
        <v>1</v>
      </c>
    </row>
    <row r="90" spans="1:5" ht="46.35">
      <c r="A90" s="4" t="s">
        <v>181</v>
      </c>
      <c r="B90" s="5" t="s">
        <v>182</v>
      </c>
      <c r="C90" s="4" t="b">
        <f>FALSE()</f>
        <v>0</v>
      </c>
      <c r="E90" s="4" t="b">
        <f>FALSE()</f>
        <v>0</v>
      </c>
    </row>
    <row r="91" spans="1:5">
      <c r="A91" s="4" t="s">
        <v>183</v>
      </c>
      <c r="B91" s="4" t="s">
        <v>325</v>
      </c>
      <c r="C91" s="4" t="b">
        <f>FALSE()</f>
        <v>0</v>
      </c>
      <c r="E91" s="4" t="b">
        <f>FALSE()</f>
        <v>0</v>
      </c>
    </row>
    <row r="92" spans="1:5">
      <c r="A92" s="4" t="s">
        <v>185</v>
      </c>
      <c r="B92" s="4" t="s">
        <v>186</v>
      </c>
      <c r="C92" s="4" t="b">
        <f>TRUE()</f>
        <v>1</v>
      </c>
      <c r="E92" s="4" t="b">
        <f>TRUE()</f>
        <v>1</v>
      </c>
    </row>
    <row r="93" spans="1:5">
      <c r="A93" s="4" t="s">
        <v>187</v>
      </c>
      <c r="B93" s="4" t="s">
        <v>188</v>
      </c>
      <c r="C93" s="4" t="b">
        <f>TRUE()</f>
        <v>1</v>
      </c>
      <c r="E93" s="4" t="b">
        <f>TRUE()</f>
        <v>1</v>
      </c>
    </row>
    <row r="94" spans="1:5">
      <c r="A94" s="4" t="s">
        <v>189</v>
      </c>
      <c r="B94" s="4" t="s">
        <v>386</v>
      </c>
      <c r="C94" s="4" t="b">
        <f>TRUE()</f>
        <v>1</v>
      </c>
      <c r="E94" s="4" t="b">
        <f>TRUE()</f>
        <v>1</v>
      </c>
    </row>
    <row r="95" spans="1:5">
      <c r="A95" s="4" t="s">
        <v>190</v>
      </c>
      <c r="B95" s="4" t="s">
        <v>347</v>
      </c>
      <c r="C95" s="4" t="b">
        <f>TRUE()</f>
        <v>1</v>
      </c>
      <c r="E95" s="4" t="b">
        <f>TRUE()</f>
        <v>1</v>
      </c>
    </row>
    <row r="96" spans="1:5" ht="46.35">
      <c r="A96" s="4" t="s">
        <v>191</v>
      </c>
      <c r="B96" s="5" t="s">
        <v>266</v>
      </c>
      <c r="C96" s="4" t="b">
        <f>FALSE()</f>
        <v>0</v>
      </c>
      <c r="E96" s="4" t="b">
        <f>FALSE()</f>
        <v>0</v>
      </c>
    </row>
    <row r="97" spans="1:5">
      <c r="A97" s="4" t="s">
        <v>194</v>
      </c>
      <c r="B97" s="4" t="s">
        <v>387</v>
      </c>
      <c r="C97" s="4" t="b">
        <f>FALSE()</f>
        <v>0</v>
      </c>
      <c r="E97" s="4" t="b">
        <f>FALSE()</f>
        <v>0</v>
      </c>
    </row>
    <row r="98" spans="1:5">
      <c r="A98" s="4" t="s">
        <v>196</v>
      </c>
      <c r="B98" s="4" t="s">
        <v>197</v>
      </c>
      <c r="C98" s="4" t="b">
        <f>TRUE()</f>
        <v>1</v>
      </c>
      <c r="E98" s="4" t="b">
        <f>TRUE()</f>
        <v>1</v>
      </c>
    </row>
    <row r="99" spans="1:5">
      <c r="A99" s="4" t="s">
        <v>198</v>
      </c>
      <c r="B99" s="4" t="s">
        <v>199</v>
      </c>
      <c r="C99" s="4" t="b">
        <f>TRUE()</f>
        <v>1</v>
      </c>
      <c r="E99" s="4" t="b">
        <f>TRUE()</f>
        <v>1</v>
      </c>
    </row>
    <row r="100" spans="1:5">
      <c r="A100" s="4" t="s">
        <v>200</v>
      </c>
      <c r="B100" s="4" t="s">
        <v>201</v>
      </c>
      <c r="C100" s="4" t="b">
        <f>TRUE()</f>
        <v>1</v>
      </c>
      <c r="E100" s="4" t="b">
        <f>TRUE()</f>
        <v>1</v>
      </c>
    </row>
    <row r="101" spans="1:5">
      <c r="A101" s="4" t="s">
        <v>202</v>
      </c>
      <c r="B101" s="4" t="s">
        <v>347</v>
      </c>
      <c r="C101" s="4" t="b">
        <f>TRUE()</f>
        <v>1</v>
      </c>
      <c r="E101" s="4" t="b">
        <f>TRUE()</f>
        <v>1</v>
      </c>
    </row>
    <row r="102" spans="1:5">
      <c r="A102" s="4" t="s">
        <v>203</v>
      </c>
      <c r="B102" s="4" t="s">
        <v>388</v>
      </c>
      <c r="C102" s="4" t="b">
        <f>FALSE()</f>
        <v>0</v>
      </c>
      <c r="E102" s="4" t="b">
        <f>FALSE()</f>
        <v>0</v>
      </c>
    </row>
    <row r="103" spans="1:5">
      <c r="A103" s="4" t="s">
        <v>205</v>
      </c>
      <c r="B103" s="4" t="s">
        <v>120</v>
      </c>
      <c r="C103" s="4" t="b">
        <f>TRUE()</f>
        <v>1</v>
      </c>
      <c r="E103" s="4" t="b">
        <f>TRUE()</f>
        <v>1</v>
      </c>
    </row>
    <row r="104" spans="1:5">
      <c r="A104" s="4" t="s">
        <v>206</v>
      </c>
      <c r="B104" s="4" t="s">
        <v>207</v>
      </c>
      <c r="C104" s="4" t="b">
        <f>TRUE()</f>
        <v>1</v>
      </c>
      <c r="E104" s="4" t="b">
        <f>TRUE()</f>
        <v>1</v>
      </c>
    </row>
    <row r="105" spans="1:5">
      <c r="A105" s="4" t="s">
        <v>208</v>
      </c>
      <c r="B105" s="4" t="s">
        <v>359</v>
      </c>
      <c r="C105" s="4" t="b">
        <f>TRUE()</f>
        <v>1</v>
      </c>
      <c r="E105" s="4" t="b">
        <f>TRUE()</f>
        <v>1</v>
      </c>
    </row>
    <row r="106" spans="1:5">
      <c r="A106" s="4" t="s">
        <v>210</v>
      </c>
      <c r="B106" s="4" t="s">
        <v>211</v>
      </c>
      <c r="C106" s="4" t="b">
        <f>TRUE()</f>
        <v>1</v>
      </c>
      <c r="E106" s="4" t="b">
        <f>TRUE()</f>
        <v>1</v>
      </c>
    </row>
    <row r="107" spans="1:5">
      <c r="A107" s="4" t="s">
        <v>212</v>
      </c>
      <c r="B107" s="4" t="s">
        <v>347</v>
      </c>
      <c r="C107" s="4" t="b">
        <f>TRUE()</f>
        <v>1</v>
      </c>
      <c r="E107" s="4" t="b">
        <f>TRUE()</f>
        <v>1</v>
      </c>
    </row>
    <row r="108" spans="1:5" ht="31.35">
      <c r="A108" s="4" t="s">
        <v>213</v>
      </c>
      <c r="B108" s="5" t="s">
        <v>255</v>
      </c>
      <c r="C108" s="4" t="s">
        <v>8</v>
      </c>
      <c r="E108" s="4" t="b">
        <f>FALSE()</f>
        <v>0</v>
      </c>
    </row>
    <row r="109" spans="1:5">
      <c r="A109" s="4" t="s">
        <v>215</v>
      </c>
      <c r="B109" s="4" t="s">
        <v>389</v>
      </c>
      <c r="C109" s="4" t="b">
        <f>FALSE()</f>
        <v>0</v>
      </c>
      <c r="E109" s="4" t="b">
        <f>FALSE()</f>
        <v>0</v>
      </c>
    </row>
    <row r="110" spans="1:5">
      <c r="A110" s="4" t="s">
        <v>216</v>
      </c>
      <c r="B110" s="4" t="s">
        <v>217</v>
      </c>
      <c r="C110" s="4" t="b">
        <f>TRUE()</f>
        <v>1</v>
      </c>
      <c r="E110" s="4" t="b">
        <f>TRUE()</f>
        <v>1</v>
      </c>
    </row>
    <row r="111" spans="1:5">
      <c r="A111" s="4" t="s">
        <v>218</v>
      </c>
      <c r="B111" s="4" t="s">
        <v>219</v>
      </c>
      <c r="C111" s="4" t="b">
        <f>TRUE()</f>
        <v>1</v>
      </c>
      <c r="E111" s="4" t="b">
        <f>TRUE()</f>
        <v>1</v>
      </c>
    </row>
    <row r="112" spans="1:5">
      <c r="A112" s="4" t="s">
        <v>220</v>
      </c>
      <c r="B112" s="4" t="s">
        <v>221</v>
      </c>
      <c r="C112" s="4" t="b">
        <f>TRUE()</f>
        <v>1</v>
      </c>
      <c r="E112" s="4" t="b">
        <f>TRUE()</f>
        <v>1</v>
      </c>
    </row>
    <row r="113" spans="1:5">
      <c r="A113" s="4" t="s">
        <v>222</v>
      </c>
      <c r="B113" s="4" t="s">
        <v>347</v>
      </c>
      <c r="C113" s="4" t="b">
        <f>TRUE()</f>
        <v>1</v>
      </c>
      <c r="E113" s="4" t="b">
        <f>TRUE()</f>
        <v>1</v>
      </c>
    </row>
    <row r="114" spans="1:5" ht="31.35">
      <c r="A114" s="4" t="s">
        <v>223</v>
      </c>
      <c r="B114" s="5" t="s">
        <v>390</v>
      </c>
      <c r="C114" s="4" t="b">
        <f>FALSE()</f>
        <v>0</v>
      </c>
      <c r="E114" s="4" t="b">
        <f>FALSE()</f>
        <v>0</v>
      </c>
    </row>
    <row r="115" spans="1:5">
      <c r="A115" s="4" t="s">
        <v>226</v>
      </c>
      <c r="B115" s="4" t="s">
        <v>184</v>
      </c>
      <c r="C115" s="4" t="b">
        <f>FALSE()</f>
        <v>0</v>
      </c>
      <c r="E115" s="4" t="b">
        <f>FALSE()</f>
        <v>0</v>
      </c>
    </row>
    <row r="116" spans="1:5">
      <c r="A116" s="4" t="s">
        <v>227</v>
      </c>
      <c r="B116" s="4" t="s">
        <v>271</v>
      </c>
      <c r="C116" s="4" t="b">
        <f>TRUE()</f>
        <v>1</v>
      </c>
      <c r="E116" s="4" t="b">
        <f>TRUE()</f>
        <v>1</v>
      </c>
    </row>
    <row r="117" spans="1:5">
      <c r="A117" s="4" t="s">
        <v>229</v>
      </c>
      <c r="B117" s="4" t="s">
        <v>391</v>
      </c>
      <c r="C117" s="4" t="b">
        <f>TRUE()</f>
        <v>1</v>
      </c>
      <c r="E117" s="4" t="b">
        <f>TRUE()</f>
        <v>1</v>
      </c>
    </row>
    <row r="118" spans="1:5">
      <c r="A118" s="4" t="s">
        <v>231</v>
      </c>
      <c r="B118" s="4" t="s">
        <v>232</v>
      </c>
      <c r="C118" s="4" t="b">
        <f>TRUE()</f>
        <v>1</v>
      </c>
      <c r="E118" s="4" t="b">
        <f>TRUE()</f>
        <v>1</v>
      </c>
    </row>
    <row r="119" spans="1:5">
      <c r="A119" s="4" t="s">
        <v>233</v>
      </c>
      <c r="B119" s="4" t="s">
        <v>347</v>
      </c>
      <c r="C119" s="4" t="b">
        <f>TRUE()</f>
        <v>1</v>
      </c>
      <c r="E119" s="4" t="b">
        <f>TRUE()</f>
        <v>1</v>
      </c>
    </row>
    <row r="120" spans="1:5">
      <c r="A120" s="4" t="s">
        <v>234</v>
      </c>
      <c r="B120" s="4" t="s">
        <v>272</v>
      </c>
      <c r="C120" s="4" t="b">
        <f>TRUE()</f>
        <v>1</v>
      </c>
      <c r="E120" s="4" t="b">
        <f>TRUE()</f>
        <v>1</v>
      </c>
    </row>
    <row r="121" spans="1:5">
      <c r="A121" s="4" t="s">
        <v>236</v>
      </c>
      <c r="B121" s="4" t="s">
        <v>245</v>
      </c>
      <c r="C121" s="4" t="b">
        <f>FALSE()</f>
        <v>0</v>
      </c>
      <c r="E121" s="4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1"/>
  <sheetViews>
    <sheetView zoomScale="80" zoomScaleNormal="80" workbookViewId="0">
      <selection activeCell="E121" sqref="E121"/>
    </sheetView>
  </sheetViews>
  <sheetFormatPr defaultColWidth="8.5703125" defaultRowHeight="15"/>
  <cols>
    <col min="1" max="1" width="44.5703125" customWidth="1"/>
    <col min="2" max="2" width="42.8554687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285</v>
      </c>
      <c r="C5" t="b">
        <f>TRUE()</f>
        <v>1</v>
      </c>
      <c r="E5" t="b">
        <f>TRUE()</f>
        <v>1</v>
      </c>
    </row>
    <row r="6" spans="1:5">
      <c r="A6" t="s">
        <v>31</v>
      </c>
      <c r="B6" t="s">
        <v>344</v>
      </c>
      <c r="C6" t="b">
        <f>FALSE()</f>
        <v>0</v>
      </c>
      <c r="E6" t="b">
        <f>FALSE()</f>
        <v>0</v>
      </c>
    </row>
    <row r="7" spans="1:5">
      <c r="A7" t="s">
        <v>34</v>
      </c>
      <c r="B7" t="s">
        <v>184</v>
      </c>
      <c r="C7" t="b">
        <f>FALSE()</f>
        <v>0</v>
      </c>
      <c r="E7" t="b">
        <f>FALSE()</f>
        <v>0</v>
      </c>
    </row>
    <row r="8" spans="1:5">
      <c r="A8" t="s">
        <v>36</v>
      </c>
      <c r="B8" t="s">
        <v>37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304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30</v>
      </c>
      <c r="C11" t="b">
        <f>TRUE()</f>
        <v>1</v>
      </c>
      <c r="E11" t="b">
        <f>TRUE()</f>
        <v>1</v>
      </c>
    </row>
    <row r="12" spans="1:5" ht="46.35">
      <c r="A12" t="s">
        <v>43</v>
      </c>
      <c r="B12" s="2" t="s">
        <v>392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159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240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54</v>
      </c>
      <c r="C17" t="b">
        <f>TRUE()</f>
        <v>1</v>
      </c>
      <c r="E17" t="b">
        <f>TRUE()</f>
        <v>1</v>
      </c>
    </row>
    <row r="18" spans="1:5" ht="46.35">
      <c r="A18" t="s">
        <v>55</v>
      </c>
      <c r="B18" s="2" t="s">
        <v>393</v>
      </c>
      <c r="C18" t="b">
        <f>FALSE()</f>
        <v>0</v>
      </c>
      <c r="E18" t="b">
        <f>FALSE()</f>
        <v>0</v>
      </c>
    </row>
    <row r="19" spans="1:5">
      <c r="A19" t="s">
        <v>58</v>
      </c>
      <c r="B19" t="s">
        <v>275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394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65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30</v>
      </c>
      <c r="C23" t="b">
        <f>TRUE()</f>
        <v>1</v>
      </c>
      <c r="E23" t="b">
        <f>TRUE()</f>
        <v>1</v>
      </c>
    </row>
    <row r="24" spans="1:5">
      <c r="A24" t="s">
        <v>67</v>
      </c>
      <c r="B24" t="s">
        <v>395</v>
      </c>
      <c r="C24" t="s">
        <v>8</v>
      </c>
      <c r="E24" t="b">
        <f>FALSE()</f>
        <v>0</v>
      </c>
    </row>
    <row r="25" spans="1:5">
      <c r="A25" t="s">
        <v>69</v>
      </c>
      <c r="B25" t="s">
        <v>35</v>
      </c>
      <c r="C25" t="b">
        <f>FALSE()</f>
        <v>0</v>
      </c>
      <c r="E25" t="b">
        <f>FALSE()</f>
        <v>0</v>
      </c>
    </row>
    <row r="26" spans="1:5">
      <c r="A26" t="s">
        <v>70</v>
      </c>
      <c r="B26" t="s">
        <v>308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30</v>
      </c>
      <c r="C29" t="b">
        <f>TRUE()</f>
        <v>1</v>
      </c>
      <c r="E29" t="b">
        <f>TRUE()</f>
        <v>1</v>
      </c>
    </row>
    <row r="30" spans="1:5">
      <c r="A30" t="s">
        <v>77</v>
      </c>
      <c r="B30" t="s">
        <v>396</v>
      </c>
      <c r="C30" t="s">
        <v>8</v>
      </c>
      <c r="E30" t="s">
        <v>8</v>
      </c>
    </row>
    <row r="31" spans="1:5">
      <c r="A31" t="s">
        <v>79</v>
      </c>
      <c r="B31" t="s">
        <v>397</v>
      </c>
      <c r="C31" t="b">
        <f>FALSE()</f>
        <v>0</v>
      </c>
      <c r="E31" t="b">
        <f>FALSE()</f>
        <v>0</v>
      </c>
    </row>
    <row r="32" spans="1:5">
      <c r="A32" t="s">
        <v>80</v>
      </c>
      <c r="B32" t="s">
        <v>81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83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285</v>
      </c>
      <c r="C35" t="b">
        <f>TRUE()</f>
        <v>1</v>
      </c>
      <c r="E35" t="b">
        <f>TRUE()</f>
        <v>1</v>
      </c>
    </row>
    <row r="36" spans="1:5" ht="46.35">
      <c r="A36" t="s">
        <v>87</v>
      </c>
      <c r="B36" s="2" t="s">
        <v>398</v>
      </c>
      <c r="C36" t="s">
        <v>8</v>
      </c>
      <c r="E36" t="s">
        <v>8</v>
      </c>
    </row>
    <row r="37" spans="1:5">
      <c r="A37" t="s">
        <v>89</v>
      </c>
      <c r="B37" t="s">
        <v>399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250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94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98</v>
      </c>
      <c r="C42" t="b">
        <f>FALSE()</f>
        <v>0</v>
      </c>
      <c r="E42" t="b">
        <f>FALSE()</f>
        <v>0</v>
      </c>
    </row>
    <row r="43" spans="1:5">
      <c r="A43" t="s">
        <v>99</v>
      </c>
      <c r="B43" t="s">
        <v>159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400</v>
      </c>
      <c r="C44" t="b">
        <f>FALSE()</f>
        <v>0</v>
      </c>
      <c r="E44" t="b">
        <f>FALSE()</f>
        <v>0</v>
      </c>
    </row>
    <row r="45" spans="1:5">
      <c r="A45" t="s">
        <v>102</v>
      </c>
      <c r="B45" t="s">
        <v>341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252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30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401</v>
      </c>
      <c r="C48" t="b">
        <f>FALSE()</f>
        <v>0</v>
      </c>
      <c r="E48" t="b">
        <f>FALSE()</f>
        <v>0</v>
      </c>
    </row>
    <row r="49" spans="1:5">
      <c r="A49" t="s">
        <v>108</v>
      </c>
      <c r="B49" t="s">
        <v>159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111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54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402</v>
      </c>
      <c r="C54" t="b">
        <f>FALSE()</f>
        <v>0</v>
      </c>
      <c r="E54" t="b">
        <f>FALSE()</f>
        <v>0</v>
      </c>
    </row>
    <row r="55" spans="1:5">
      <c r="A55" t="s">
        <v>119</v>
      </c>
      <c r="B55" t="s">
        <v>403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404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124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30</v>
      </c>
      <c r="C59" t="b">
        <f>TRUE()</f>
        <v>1</v>
      </c>
      <c r="E59" t="b">
        <f>TRUE()</f>
        <v>1</v>
      </c>
    </row>
    <row r="60" spans="1:5">
      <c r="A60" t="s">
        <v>127</v>
      </c>
      <c r="B60" t="s">
        <v>405</v>
      </c>
      <c r="C60" t="b">
        <f>FALSE()</f>
        <v>0</v>
      </c>
      <c r="E60" t="b">
        <f>FALSE()</f>
        <v>0</v>
      </c>
    </row>
    <row r="61" spans="1:5">
      <c r="A61" t="s">
        <v>129</v>
      </c>
      <c r="B61" t="s">
        <v>35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406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>
      <c r="A66" t="s">
        <v>139</v>
      </c>
      <c r="B66" t="s">
        <v>407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257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408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146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138</v>
      </c>
      <c r="C71" t="b">
        <f>TRUE()</f>
        <v>1</v>
      </c>
      <c r="E71" t="b">
        <f>TRUE()</f>
        <v>1</v>
      </c>
    </row>
    <row r="72" spans="1:5">
      <c r="A72" t="s">
        <v>150</v>
      </c>
      <c r="B72" t="s">
        <v>409</v>
      </c>
      <c r="C72" t="b">
        <f>FALSE()</f>
        <v>0</v>
      </c>
      <c r="E72" t="b">
        <f>FALSE()</f>
        <v>0</v>
      </c>
    </row>
    <row r="73" spans="1:5">
      <c r="A73" t="s">
        <v>152</v>
      </c>
      <c r="B73" t="s">
        <v>184</v>
      </c>
      <c r="C73" t="b">
        <f>FALSE()</f>
        <v>0</v>
      </c>
      <c r="E73" t="b">
        <f>FALSE()</f>
        <v>0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159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138</v>
      </c>
      <c r="C77" t="b">
        <f>TRUE()</f>
        <v>1</v>
      </c>
      <c r="E77" t="b">
        <f>TRUE()</f>
        <v>1</v>
      </c>
    </row>
    <row r="78" spans="1:5" ht="46.35">
      <c r="A78" t="s">
        <v>161</v>
      </c>
      <c r="B78" s="2" t="s">
        <v>382</v>
      </c>
      <c r="C78" t="b">
        <f>FALSE()</f>
        <v>0</v>
      </c>
      <c r="E78" t="b">
        <f>FALSE()</f>
        <v>0</v>
      </c>
    </row>
    <row r="79" spans="1:5">
      <c r="A79" t="s">
        <v>163</v>
      </c>
      <c r="B79" t="s">
        <v>257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410</v>
      </c>
      <c r="C80" t="b">
        <f>TRUE()</f>
        <v>1</v>
      </c>
      <c r="E80" t="b">
        <f>TRUE()</f>
        <v>1</v>
      </c>
    </row>
    <row r="81" spans="1:5">
      <c r="A81" t="s">
        <v>167</v>
      </c>
      <c r="B81" t="s">
        <v>322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138</v>
      </c>
      <c r="C83" t="b">
        <f>TRUE()</f>
        <v>1</v>
      </c>
      <c r="E83" t="b">
        <f>TRUE()</f>
        <v>1</v>
      </c>
    </row>
    <row r="84" spans="1:5" ht="46.35">
      <c r="A84" t="s">
        <v>172</v>
      </c>
      <c r="B84" s="2" t="s">
        <v>411</v>
      </c>
      <c r="C84" t="b">
        <f>FALSE()</f>
        <v>0</v>
      </c>
      <c r="E84" t="b">
        <f>FALSE()</f>
        <v>0</v>
      </c>
    </row>
    <row r="85" spans="1:5">
      <c r="A85" t="s">
        <v>174</v>
      </c>
      <c r="B85" t="s">
        <v>159</v>
      </c>
      <c r="C85" t="b">
        <f>FALSE()</f>
        <v>0</v>
      </c>
      <c r="E85" t="b">
        <f>FALSE()</f>
        <v>0</v>
      </c>
    </row>
    <row r="86" spans="1:5">
      <c r="A86" t="s">
        <v>175</v>
      </c>
      <c r="B86" t="s">
        <v>176</v>
      </c>
      <c r="C86" t="b">
        <f>TRUE()</f>
        <v>1</v>
      </c>
      <c r="E86" t="b">
        <f>TRUE()</f>
        <v>1</v>
      </c>
    </row>
    <row r="87" spans="1:5">
      <c r="A87" t="s">
        <v>177</v>
      </c>
      <c r="B87" t="s">
        <v>263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148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138</v>
      </c>
      <c r="C89" t="b">
        <f>TRUE()</f>
        <v>1</v>
      </c>
      <c r="E89" t="b">
        <f>TRUE()</f>
        <v>1</v>
      </c>
    </row>
    <row r="90" spans="1:5">
      <c r="A90" t="s">
        <v>181</v>
      </c>
      <c r="B90" t="s">
        <v>412</v>
      </c>
      <c r="C90" t="s">
        <v>8</v>
      </c>
      <c r="E90" t="b">
        <f>FALSE()</f>
        <v>0</v>
      </c>
    </row>
    <row r="91" spans="1:5">
      <c r="A91" t="s">
        <v>183</v>
      </c>
      <c r="B91" t="s">
        <v>245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413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265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347</v>
      </c>
      <c r="C95" t="b">
        <f>TRUE()</f>
        <v>1</v>
      </c>
      <c r="E95" t="b">
        <f>TRUE()</f>
        <v>1</v>
      </c>
    </row>
    <row r="96" spans="1:5" ht="46.35">
      <c r="A96" t="s">
        <v>191</v>
      </c>
      <c r="B96" s="2" t="s">
        <v>414</v>
      </c>
      <c r="C96" t="b">
        <f>FALSE()</f>
        <v>0</v>
      </c>
      <c r="E96" t="b">
        <f>FALSE()</f>
        <v>0</v>
      </c>
    </row>
    <row r="97" spans="1:5">
      <c r="A97" t="s">
        <v>194</v>
      </c>
      <c r="B97" t="s">
        <v>239</v>
      </c>
      <c r="C97" t="b">
        <f>FALSE()</f>
        <v>0</v>
      </c>
      <c r="E97" t="b">
        <f>FALSE()</f>
        <v>0</v>
      </c>
    </row>
    <row r="98" spans="1:5">
      <c r="A98" t="s">
        <v>196</v>
      </c>
      <c r="B98" t="s">
        <v>415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416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138</v>
      </c>
      <c r="C101" t="b">
        <f>TRUE()</f>
        <v>1</v>
      </c>
      <c r="E101" t="b">
        <f>TRUE()</f>
        <v>1</v>
      </c>
    </row>
    <row r="102" spans="1:5">
      <c r="A102" t="s">
        <v>203</v>
      </c>
      <c r="B102" t="s">
        <v>417</v>
      </c>
      <c r="C102" t="s">
        <v>8</v>
      </c>
      <c r="E102" t="s">
        <v>8</v>
      </c>
    </row>
    <row r="103" spans="1:5">
      <c r="A103" t="s">
        <v>205</v>
      </c>
      <c r="B103" t="s">
        <v>120</v>
      </c>
      <c r="C103" t="b">
        <f>TRUE()</f>
        <v>1</v>
      </c>
      <c r="E103" t="b">
        <f>TRUE()</f>
        <v>1</v>
      </c>
    </row>
    <row r="104" spans="1:5">
      <c r="A104" t="s">
        <v>206</v>
      </c>
      <c r="B104" t="s">
        <v>418</v>
      </c>
      <c r="C104" t="b">
        <f>TRUE()</f>
        <v>1</v>
      </c>
      <c r="E104" t="b">
        <f>TRUE()</f>
        <v>1</v>
      </c>
    </row>
    <row r="105" spans="1:5">
      <c r="A105" t="s">
        <v>208</v>
      </c>
      <c r="B105" t="s">
        <v>359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138</v>
      </c>
      <c r="C107" t="b">
        <f>TRUE()</f>
        <v>1</v>
      </c>
      <c r="E107" t="b">
        <f>TRUE()</f>
        <v>1</v>
      </c>
    </row>
    <row r="108" spans="1:5">
      <c r="A108" t="s">
        <v>213</v>
      </c>
      <c r="B108" t="s">
        <v>214</v>
      </c>
      <c r="C108" t="b">
        <f>FALSE()</f>
        <v>0</v>
      </c>
      <c r="E108" t="b">
        <f>FALSE()</f>
        <v>0</v>
      </c>
    </row>
    <row r="109" spans="1:5">
      <c r="A109" t="s">
        <v>215</v>
      </c>
      <c r="B109" t="s">
        <v>245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219</v>
      </c>
      <c r="C111" t="b">
        <f>TRUE()</f>
        <v>1</v>
      </c>
      <c r="E111" t="b">
        <f>TRUE()</f>
        <v>1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138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419</v>
      </c>
      <c r="C114" t="s">
        <v>8</v>
      </c>
      <c r="E114" t="s">
        <v>8</v>
      </c>
    </row>
    <row r="115" spans="1:5">
      <c r="A115" t="s">
        <v>226</v>
      </c>
      <c r="B115" t="s">
        <v>120</v>
      </c>
      <c r="C115" t="b">
        <f>FALSE()</f>
        <v>0</v>
      </c>
      <c r="E115" t="b">
        <f>FALSE()</f>
        <v>0</v>
      </c>
    </row>
    <row r="116" spans="1:5">
      <c r="A116" t="s">
        <v>227</v>
      </c>
      <c r="B116" t="s">
        <v>228</v>
      </c>
      <c r="C116" t="b">
        <f>TRUE()</f>
        <v>1</v>
      </c>
      <c r="E116" t="b">
        <f>TRUE()</f>
        <v>1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138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420</v>
      </c>
      <c r="C120" t="b">
        <f>FALSE()</f>
        <v>0</v>
      </c>
      <c r="E120" t="b">
        <f>FALSE()</f>
        <v>0</v>
      </c>
    </row>
    <row r="121" spans="1:5">
      <c r="A121" t="s">
        <v>236</v>
      </c>
      <c r="B121" t="s">
        <v>421</v>
      </c>
      <c r="C121" t="b">
        <f>FALSE()</f>
        <v>0</v>
      </c>
      <c r="E121" t="b">
        <f>FALSE()</f>
        <v>0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1"/>
  <sheetViews>
    <sheetView topLeftCell="A86" zoomScale="80" zoomScaleNormal="80" workbookViewId="0">
      <selection activeCell="E114" sqref="E114"/>
    </sheetView>
  </sheetViews>
  <sheetFormatPr defaultColWidth="8.5703125" defaultRowHeight="15"/>
  <cols>
    <col min="1" max="1" width="43.85546875" customWidth="1"/>
    <col min="2" max="2" width="41.5703125" customWidth="1"/>
    <col min="3" max="3" width="12.710937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25</v>
      </c>
      <c r="B3" t="s">
        <v>26</v>
      </c>
      <c r="C3" t="b">
        <f>TRUE()</f>
        <v>1</v>
      </c>
      <c r="E3" t="b">
        <f>TRUE()</f>
        <v>1</v>
      </c>
    </row>
    <row r="4" spans="1:5">
      <c r="A4" t="s">
        <v>27</v>
      </c>
      <c r="B4" t="s">
        <v>28</v>
      </c>
      <c r="C4" t="b">
        <f>TRUE()</f>
        <v>1</v>
      </c>
      <c r="E4" t="b">
        <f>TRUE()</f>
        <v>1</v>
      </c>
    </row>
    <row r="5" spans="1:5">
      <c r="A5" t="s">
        <v>29</v>
      </c>
      <c r="B5" t="s">
        <v>285</v>
      </c>
      <c r="C5" t="b">
        <f>TRUE()</f>
        <v>1</v>
      </c>
      <c r="E5" t="b">
        <f>TRUE()</f>
        <v>1</v>
      </c>
    </row>
    <row r="6" spans="1:5" ht="31.35">
      <c r="A6" t="s">
        <v>31</v>
      </c>
      <c r="B6" s="2" t="s">
        <v>237</v>
      </c>
      <c r="C6" t="s">
        <v>8</v>
      </c>
      <c r="E6" t="b">
        <f>FALSE()</f>
        <v>0</v>
      </c>
    </row>
    <row r="7" spans="1:5">
      <c r="A7" t="s">
        <v>34</v>
      </c>
      <c r="B7" t="s">
        <v>159</v>
      </c>
      <c r="C7" t="b">
        <f>FALSE()</f>
        <v>0</v>
      </c>
      <c r="E7" t="b">
        <f>FALSE()</f>
        <v>0</v>
      </c>
    </row>
    <row r="8" spans="1:5">
      <c r="A8" t="s">
        <v>36</v>
      </c>
      <c r="B8" t="s">
        <v>422</v>
      </c>
      <c r="C8" t="b">
        <f>TRUE()</f>
        <v>1</v>
      </c>
      <c r="E8" t="b">
        <f>TRUE()</f>
        <v>1</v>
      </c>
    </row>
    <row r="9" spans="1:5">
      <c r="A9" t="s">
        <v>38</v>
      </c>
      <c r="B9" t="s">
        <v>39</v>
      </c>
      <c r="C9" t="b">
        <f>TRUE()</f>
        <v>1</v>
      </c>
      <c r="E9" t="b">
        <f>TRUE()</f>
        <v>1</v>
      </c>
    </row>
    <row r="10" spans="1:5">
      <c r="A10" t="s">
        <v>40</v>
      </c>
      <c r="B10" t="s">
        <v>41</v>
      </c>
      <c r="C10" t="b">
        <f>TRUE()</f>
        <v>1</v>
      </c>
      <c r="E10" t="b">
        <f>TRUE()</f>
        <v>1</v>
      </c>
    </row>
    <row r="11" spans="1:5">
      <c r="A11" t="s">
        <v>42</v>
      </c>
      <c r="B11" t="s">
        <v>54</v>
      </c>
      <c r="C11" t="b">
        <f>TRUE()</f>
        <v>1</v>
      </c>
      <c r="E11" t="b">
        <f>TRUE()</f>
        <v>1</v>
      </c>
    </row>
    <row r="12" spans="1:5" ht="46.35">
      <c r="A12" t="s">
        <v>43</v>
      </c>
      <c r="B12" s="2" t="s">
        <v>367</v>
      </c>
      <c r="C12" t="b">
        <f>FALSE()</f>
        <v>0</v>
      </c>
      <c r="E12" t="b">
        <f>FALSE()</f>
        <v>0</v>
      </c>
    </row>
    <row r="13" spans="1:5">
      <c r="A13" t="s">
        <v>45</v>
      </c>
      <c r="B13" t="s">
        <v>333</v>
      </c>
      <c r="C13" t="b">
        <f>FALSE()</f>
        <v>0</v>
      </c>
      <c r="E13" t="b">
        <f>FALSE()</f>
        <v>0</v>
      </c>
    </row>
    <row r="14" spans="1:5">
      <c r="A14" t="s">
        <v>47</v>
      </c>
      <c r="B14" t="s">
        <v>48</v>
      </c>
      <c r="C14" t="b">
        <f>TRUE()</f>
        <v>1</v>
      </c>
      <c r="E14" t="b">
        <f>TRUE()</f>
        <v>1</v>
      </c>
    </row>
    <row r="15" spans="1:5">
      <c r="A15" t="s">
        <v>49</v>
      </c>
      <c r="B15" t="s">
        <v>240</v>
      </c>
      <c r="C15" t="b">
        <f>TRUE()</f>
        <v>1</v>
      </c>
      <c r="E15" t="b">
        <f>TRUE()</f>
        <v>1</v>
      </c>
    </row>
    <row r="16" spans="1:5">
      <c r="A16" t="s">
        <v>51</v>
      </c>
      <c r="B16" t="s">
        <v>52</v>
      </c>
      <c r="C16" t="b">
        <f>TRUE()</f>
        <v>1</v>
      </c>
      <c r="E16" t="b">
        <f>TRUE()</f>
        <v>1</v>
      </c>
    </row>
    <row r="17" spans="1:5">
      <c r="A17" t="s">
        <v>53</v>
      </c>
      <c r="B17" t="s">
        <v>30</v>
      </c>
      <c r="C17" t="b">
        <f>TRUE()</f>
        <v>1</v>
      </c>
      <c r="E17" t="b">
        <f>TRUE()</f>
        <v>1</v>
      </c>
    </row>
    <row r="18" spans="1:5" ht="31.35">
      <c r="A18" t="s">
        <v>55</v>
      </c>
      <c r="B18" s="2" t="s">
        <v>241</v>
      </c>
      <c r="C18" t="s">
        <v>8</v>
      </c>
      <c r="E18" t="b">
        <f>FALSE()</f>
        <v>0</v>
      </c>
    </row>
    <row r="19" spans="1:5">
      <c r="A19" t="s">
        <v>58</v>
      </c>
      <c r="B19" t="s">
        <v>257</v>
      </c>
      <c r="C19" t="b">
        <f>FALSE()</f>
        <v>0</v>
      </c>
      <c r="E19" t="b">
        <f>FALSE()</f>
        <v>0</v>
      </c>
    </row>
    <row r="20" spans="1:5">
      <c r="A20" t="s">
        <v>60</v>
      </c>
      <c r="B20" t="s">
        <v>334</v>
      </c>
      <c r="C20" t="b">
        <f>TRUE()</f>
        <v>1</v>
      </c>
      <c r="E20" t="b">
        <f>TRUE()</f>
        <v>1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A22" t="s">
        <v>64</v>
      </c>
      <c r="B22" t="s">
        <v>423</v>
      </c>
      <c r="C22" t="b">
        <f>TRUE()</f>
        <v>1</v>
      </c>
      <c r="E22" t="b">
        <f>TRUE()</f>
        <v>1</v>
      </c>
    </row>
    <row r="23" spans="1:5">
      <c r="A23" t="s">
        <v>66</v>
      </c>
      <c r="B23" t="s">
        <v>30</v>
      </c>
      <c r="C23" t="b">
        <f>TRUE()</f>
        <v>1</v>
      </c>
      <c r="E23" t="b">
        <f>TRUE()</f>
        <v>1</v>
      </c>
    </row>
    <row r="24" spans="1:5" ht="31.35">
      <c r="A24" t="s">
        <v>67</v>
      </c>
      <c r="B24" s="2" t="s">
        <v>244</v>
      </c>
      <c r="C24" t="s">
        <v>8</v>
      </c>
      <c r="E24" t="b">
        <f>FALSE()</f>
        <v>0</v>
      </c>
    </row>
    <row r="25" spans="1:5">
      <c r="A25" t="s">
        <v>69</v>
      </c>
      <c r="B25" t="s">
        <v>159</v>
      </c>
      <c r="C25" t="b">
        <f>FALSE()</f>
        <v>0</v>
      </c>
      <c r="E25" t="b">
        <f>FALSE()</f>
        <v>0</v>
      </c>
    </row>
    <row r="26" spans="1:5">
      <c r="A26" t="s">
        <v>70</v>
      </c>
      <c r="B26" t="s">
        <v>308</v>
      </c>
      <c r="C26" t="b">
        <f>TRUE()</f>
        <v>1</v>
      </c>
      <c r="E26" t="b">
        <f>TRUE()</f>
        <v>1</v>
      </c>
    </row>
    <row r="27" spans="1:5">
      <c r="A27" t="s">
        <v>72</v>
      </c>
      <c r="B27" t="s">
        <v>73</v>
      </c>
      <c r="C27" t="b">
        <f>TRUE()</f>
        <v>1</v>
      </c>
      <c r="E27" t="b">
        <f>TRUE()</f>
        <v>1</v>
      </c>
    </row>
    <row r="28" spans="1:5">
      <c r="A28" t="s">
        <v>74</v>
      </c>
      <c r="B28" t="s">
        <v>75</v>
      </c>
      <c r="C28" t="b">
        <f>TRUE()</f>
        <v>1</v>
      </c>
      <c r="E28" t="b">
        <f>TRUE()</f>
        <v>1</v>
      </c>
    </row>
    <row r="29" spans="1:5">
      <c r="A29" t="s">
        <v>76</v>
      </c>
      <c r="B29" t="s">
        <v>54</v>
      </c>
      <c r="C29" t="b">
        <f>TRUE()</f>
        <v>1</v>
      </c>
      <c r="E29" t="b">
        <f>TRUE()</f>
        <v>1</v>
      </c>
    </row>
    <row r="30" spans="1:5" ht="46.35">
      <c r="A30" t="s">
        <v>77</v>
      </c>
      <c r="B30" s="2" t="s">
        <v>424</v>
      </c>
      <c r="C30" t="b">
        <f>FALSE()</f>
        <v>0</v>
      </c>
      <c r="E30" t="b">
        <f>FALSE()</f>
        <v>0</v>
      </c>
    </row>
    <row r="31" spans="1:5">
      <c r="A31" t="s">
        <v>79</v>
      </c>
      <c r="B31" t="s">
        <v>425</v>
      </c>
      <c r="C31" t="b">
        <f>FALSE()</f>
        <v>0</v>
      </c>
      <c r="E31" t="b">
        <f>FALSE()</f>
        <v>0</v>
      </c>
    </row>
    <row r="32" spans="1:5">
      <c r="A32" t="s">
        <v>80</v>
      </c>
      <c r="B32" t="s">
        <v>81</v>
      </c>
      <c r="C32" t="b">
        <f>TRUE()</f>
        <v>1</v>
      </c>
      <c r="E32" t="b">
        <f>TRUE()</f>
        <v>1</v>
      </c>
    </row>
    <row r="33" spans="1:5">
      <c r="A33" t="s">
        <v>82</v>
      </c>
      <c r="B33" t="s">
        <v>247</v>
      </c>
      <c r="C33" t="b">
        <f>TRUE()</f>
        <v>1</v>
      </c>
      <c r="E33" t="b">
        <f>TRUE()</f>
        <v>1</v>
      </c>
    </row>
    <row r="34" spans="1:5">
      <c r="A34" t="s">
        <v>84</v>
      </c>
      <c r="B34" t="s">
        <v>85</v>
      </c>
      <c r="C34" t="b">
        <f>TRUE()</f>
        <v>1</v>
      </c>
      <c r="E34" t="b">
        <f>TRUE()</f>
        <v>1</v>
      </c>
    </row>
    <row r="35" spans="1:5">
      <c r="A35" t="s">
        <v>86</v>
      </c>
      <c r="B35" t="s">
        <v>368</v>
      </c>
      <c r="C35" t="b">
        <f>TRUE()</f>
        <v>1</v>
      </c>
      <c r="E35" t="b">
        <f>TRUE()</f>
        <v>1</v>
      </c>
    </row>
    <row r="36" spans="1:5" ht="46.35">
      <c r="A36" t="s">
        <v>87</v>
      </c>
      <c r="B36" s="2" t="s">
        <v>426</v>
      </c>
      <c r="C36" t="s">
        <v>8</v>
      </c>
      <c r="E36" t="b">
        <f>FALSE()</f>
        <v>0</v>
      </c>
    </row>
    <row r="37" spans="1:5">
      <c r="A37" t="s">
        <v>89</v>
      </c>
      <c r="B37" t="s">
        <v>239</v>
      </c>
      <c r="C37" t="b">
        <f>FALSE()</f>
        <v>0</v>
      </c>
      <c r="E37" t="b">
        <f>FALSE()</f>
        <v>0</v>
      </c>
    </row>
    <row r="38" spans="1:5">
      <c r="A38" t="s">
        <v>91</v>
      </c>
      <c r="B38" t="s">
        <v>250</v>
      </c>
      <c r="C38" t="b">
        <f>TRUE()</f>
        <v>1</v>
      </c>
      <c r="E38" t="b">
        <f>TRUE()</f>
        <v>1</v>
      </c>
    </row>
    <row r="39" spans="1:5">
      <c r="A39" t="s">
        <v>93</v>
      </c>
      <c r="B39" t="s">
        <v>427</v>
      </c>
      <c r="C39" t="b">
        <f>TRUE()</f>
        <v>1</v>
      </c>
      <c r="E39" t="b">
        <f>TRUE()</f>
        <v>1</v>
      </c>
    </row>
    <row r="40" spans="1:5">
      <c r="A40" t="s">
        <v>95</v>
      </c>
      <c r="B40" t="s">
        <v>85</v>
      </c>
      <c r="C40" t="b">
        <f>TRUE()</f>
        <v>1</v>
      </c>
      <c r="E40" t="b">
        <f>TRUE()</f>
        <v>1</v>
      </c>
    </row>
    <row r="41" spans="1:5">
      <c r="A41" t="s">
        <v>96</v>
      </c>
      <c r="B41" t="s">
        <v>30</v>
      </c>
      <c r="C41" t="b">
        <f>TRUE()</f>
        <v>1</v>
      </c>
      <c r="E41" t="b">
        <f>TRUE()</f>
        <v>1</v>
      </c>
    </row>
    <row r="42" spans="1:5">
      <c r="A42" t="s">
        <v>97</v>
      </c>
      <c r="B42" t="s">
        <v>428</v>
      </c>
      <c r="C42" t="s">
        <v>8</v>
      </c>
      <c r="E42" t="b">
        <f>FALSE()</f>
        <v>0</v>
      </c>
    </row>
    <row r="43" spans="1:5">
      <c r="A43" t="s">
        <v>99</v>
      </c>
      <c r="B43" t="s">
        <v>184</v>
      </c>
      <c r="C43" t="b">
        <f>FALSE()</f>
        <v>0</v>
      </c>
      <c r="E43" t="b">
        <f>FALSE()</f>
        <v>0</v>
      </c>
    </row>
    <row r="44" spans="1:5">
      <c r="A44" t="s">
        <v>100</v>
      </c>
      <c r="B44" t="s">
        <v>101</v>
      </c>
      <c r="C44" t="b">
        <f>TRUE()</f>
        <v>1</v>
      </c>
      <c r="E44" t="b">
        <f>TRUE()</f>
        <v>1</v>
      </c>
    </row>
    <row r="45" spans="1:5">
      <c r="A45" t="s">
        <v>102</v>
      </c>
      <c r="B45" t="s">
        <v>103</v>
      </c>
      <c r="C45" t="b">
        <f>TRUE()</f>
        <v>1</v>
      </c>
      <c r="E45" t="b">
        <f>TRUE()</f>
        <v>1</v>
      </c>
    </row>
    <row r="46" spans="1:5">
      <c r="A46" t="s">
        <v>104</v>
      </c>
      <c r="B46" t="s">
        <v>252</v>
      </c>
      <c r="C46" t="b">
        <f>TRUE()</f>
        <v>1</v>
      </c>
      <c r="E46" t="b">
        <f>TRUE()</f>
        <v>1</v>
      </c>
    </row>
    <row r="47" spans="1:5">
      <c r="A47" t="s">
        <v>105</v>
      </c>
      <c r="B47" t="s">
        <v>30</v>
      </c>
      <c r="C47" t="b">
        <f>TRUE()</f>
        <v>1</v>
      </c>
      <c r="E47" t="b">
        <f>TRUE()</f>
        <v>1</v>
      </c>
    </row>
    <row r="48" spans="1:5">
      <c r="A48" t="s">
        <v>106</v>
      </c>
      <c r="B48" t="s">
        <v>429</v>
      </c>
      <c r="C48" t="s">
        <v>8</v>
      </c>
      <c r="E48" t="b">
        <f>FALSE()</f>
        <v>0</v>
      </c>
    </row>
    <row r="49" spans="1:5">
      <c r="A49" t="s">
        <v>108</v>
      </c>
      <c r="B49" t="s">
        <v>239</v>
      </c>
      <c r="C49" t="b">
        <f>FALSE()</f>
        <v>0</v>
      </c>
      <c r="E49" t="b">
        <f>FALSE()</f>
        <v>0</v>
      </c>
    </row>
    <row r="50" spans="1:5">
      <c r="A50" t="s">
        <v>110</v>
      </c>
      <c r="B50" t="s">
        <v>111</v>
      </c>
      <c r="C50" t="b">
        <f>TRUE()</f>
        <v>1</v>
      </c>
      <c r="E50" t="b">
        <f>TRUE()</f>
        <v>1</v>
      </c>
    </row>
    <row r="51" spans="1:5">
      <c r="A51" t="s">
        <v>112</v>
      </c>
      <c r="B51" t="s">
        <v>113</v>
      </c>
      <c r="C51" t="b">
        <f>TRUE()</f>
        <v>1</v>
      </c>
      <c r="E51" t="b">
        <f>TRUE()</f>
        <v>1</v>
      </c>
    </row>
    <row r="52" spans="1:5">
      <c r="A52" t="s">
        <v>114</v>
      </c>
      <c r="B52" t="s">
        <v>115</v>
      </c>
      <c r="C52" t="b">
        <f>TRUE()</f>
        <v>1</v>
      </c>
      <c r="E52" t="b">
        <f>TRUE()</f>
        <v>1</v>
      </c>
    </row>
    <row r="53" spans="1:5">
      <c r="A53" t="s">
        <v>116</v>
      </c>
      <c r="B53" t="s">
        <v>30</v>
      </c>
      <c r="C53" t="b">
        <f>TRUE()</f>
        <v>1</v>
      </c>
      <c r="E53" t="b">
        <f>TRUE()</f>
        <v>1</v>
      </c>
    </row>
    <row r="54" spans="1:5">
      <c r="A54" t="s">
        <v>117</v>
      </c>
      <c r="B54" t="s">
        <v>254</v>
      </c>
      <c r="C54" t="s">
        <v>8</v>
      </c>
      <c r="E54" t="s">
        <v>8</v>
      </c>
    </row>
    <row r="55" spans="1:5">
      <c r="A55" t="s">
        <v>119</v>
      </c>
      <c r="B55" t="s">
        <v>184</v>
      </c>
      <c r="C55" t="b">
        <f>FALSE()</f>
        <v>0</v>
      </c>
      <c r="E55" t="b">
        <f>FALSE()</f>
        <v>0</v>
      </c>
    </row>
    <row r="56" spans="1:5">
      <c r="A56" t="s">
        <v>121</v>
      </c>
      <c r="B56" t="s">
        <v>404</v>
      </c>
      <c r="C56" t="b">
        <f>TRUE()</f>
        <v>1</v>
      </c>
      <c r="E56" t="b">
        <f>TRUE()</f>
        <v>1</v>
      </c>
    </row>
    <row r="57" spans="1:5">
      <c r="A57" t="s">
        <v>123</v>
      </c>
      <c r="B57" t="s">
        <v>315</v>
      </c>
      <c r="C57" t="b">
        <f>TRUE()</f>
        <v>1</v>
      </c>
      <c r="E57" t="b">
        <f>TRUE()</f>
        <v>1</v>
      </c>
    </row>
    <row r="58" spans="1:5">
      <c r="A58" t="s">
        <v>125</v>
      </c>
      <c r="B58" t="s">
        <v>75</v>
      </c>
      <c r="C58" t="b">
        <f>TRUE()</f>
        <v>1</v>
      </c>
      <c r="E58" t="b">
        <f>TRUE()</f>
        <v>1</v>
      </c>
    </row>
    <row r="59" spans="1:5">
      <c r="A59" t="s">
        <v>126</v>
      </c>
      <c r="B59" t="s">
        <v>30</v>
      </c>
      <c r="C59" t="b">
        <f>TRUE()</f>
        <v>1</v>
      </c>
      <c r="E59" t="b">
        <f>TRUE()</f>
        <v>1</v>
      </c>
    </row>
    <row r="60" spans="1:5" ht="31.35">
      <c r="A60" t="s">
        <v>127</v>
      </c>
      <c r="B60" s="2" t="s">
        <v>255</v>
      </c>
      <c r="C60" t="s">
        <v>8</v>
      </c>
      <c r="E60" t="b">
        <f>FALSE()</f>
        <v>0</v>
      </c>
    </row>
    <row r="61" spans="1:5">
      <c r="A61" t="s">
        <v>129</v>
      </c>
      <c r="B61" t="s">
        <v>159</v>
      </c>
      <c r="C61" t="b">
        <f>FALSE()</f>
        <v>0</v>
      </c>
      <c r="E61" t="b">
        <f>FALSE()</f>
        <v>0</v>
      </c>
    </row>
    <row r="62" spans="1:5">
      <c r="A62" t="s">
        <v>131</v>
      </c>
      <c r="B62" t="s">
        <v>132</v>
      </c>
      <c r="C62" t="b">
        <f>TRUE()</f>
        <v>1</v>
      </c>
      <c r="E62" t="b">
        <f>TRUE()</f>
        <v>1</v>
      </c>
    </row>
    <row r="63" spans="1:5">
      <c r="A63" t="s">
        <v>133</v>
      </c>
      <c r="B63" t="s">
        <v>134</v>
      </c>
      <c r="C63" t="b">
        <f>TRUE()</f>
        <v>1</v>
      </c>
      <c r="E63" t="b">
        <f>TRUE()</f>
        <v>1</v>
      </c>
    </row>
    <row r="64" spans="1:5">
      <c r="A64" t="s">
        <v>135</v>
      </c>
      <c r="B64" t="s">
        <v>136</v>
      </c>
      <c r="C64" t="b">
        <f>TRUE()</f>
        <v>1</v>
      </c>
      <c r="E64" t="b">
        <f>TRUE()</f>
        <v>1</v>
      </c>
    </row>
    <row r="65" spans="1:5">
      <c r="A65" t="s">
        <v>137</v>
      </c>
      <c r="B65" t="s">
        <v>138</v>
      </c>
      <c r="C65" t="b">
        <f>TRUE()</f>
        <v>1</v>
      </c>
      <c r="E65" t="b">
        <f>TRUE()</f>
        <v>1</v>
      </c>
    </row>
    <row r="66" spans="1:5" ht="46.35">
      <c r="A66" t="s">
        <v>139</v>
      </c>
      <c r="B66" s="2" t="s">
        <v>430</v>
      </c>
      <c r="C66" t="b">
        <f>FALSE()</f>
        <v>0</v>
      </c>
      <c r="E66" t="b">
        <f>FALSE()</f>
        <v>0</v>
      </c>
    </row>
    <row r="67" spans="1:5">
      <c r="A67" t="s">
        <v>141</v>
      </c>
      <c r="B67" t="s">
        <v>431</v>
      </c>
      <c r="C67" t="b">
        <f>FALSE()</f>
        <v>0</v>
      </c>
      <c r="E67" t="b">
        <f>FALSE()</f>
        <v>0</v>
      </c>
    </row>
    <row r="68" spans="1:5">
      <c r="A68" t="s">
        <v>143</v>
      </c>
      <c r="B68" t="s">
        <v>144</v>
      </c>
      <c r="C68" t="b">
        <f>TRUE()</f>
        <v>1</v>
      </c>
      <c r="E68" t="b">
        <f>TRUE()</f>
        <v>1</v>
      </c>
    </row>
    <row r="69" spans="1:5">
      <c r="A69" t="s">
        <v>145</v>
      </c>
      <c r="B69" t="s">
        <v>432</v>
      </c>
      <c r="C69" t="b">
        <f>TRUE()</f>
        <v>1</v>
      </c>
      <c r="E69" t="b">
        <f>TRUE()</f>
        <v>1</v>
      </c>
    </row>
    <row r="70" spans="1:5">
      <c r="A70" t="s">
        <v>147</v>
      </c>
      <c r="B70" t="s">
        <v>148</v>
      </c>
      <c r="C70" t="b">
        <f>TRUE()</f>
        <v>1</v>
      </c>
      <c r="E70" t="b">
        <f>TRUE()</f>
        <v>1</v>
      </c>
    </row>
    <row r="71" spans="1:5">
      <c r="A71" t="s">
        <v>149</v>
      </c>
      <c r="B71" t="s">
        <v>138</v>
      </c>
      <c r="C71" t="b">
        <f>TRUE()</f>
        <v>1</v>
      </c>
      <c r="E71" t="b">
        <f>TRUE()</f>
        <v>1</v>
      </c>
    </row>
    <row r="72" spans="1:5" ht="46.35">
      <c r="A72" t="s">
        <v>150</v>
      </c>
      <c r="B72" s="2" t="s">
        <v>433</v>
      </c>
      <c r="C72" t="s">
        <v>8</v>
      </c>
      <c r="E72" t="b">
        <f>FALSE()</f>
        <v>0</v>
      </c>
    </row>
    <row r="73" spans="1:5">
      <c r="A73" t="s">
        <v>152</v>
      </c>
      <c r="B73" t="s">
        <v>245</v>
      </c>
      <c r="C73" t="b">
        <f>FALSE()</f>
        <v>0</v>
      </c>
      <c r="E73" t="b">
        <f>FALSE()</f>
        <v>0</v>
      </c>
    </row>
    <row r="74" spans="1:5">
      <c r="A74" t="s">
        <v>154</v>
      </c>
      <c r="B74" t="s">
        <v>155</v>
      </c>
      <c r="C74" t="b">
        <f>TRUE()</f>
        <v>1</v>
      </c>
      <c r="E74" t="b">
        <f>TRUE()</f>
        <v>1</v>
      </c>
    </row>
    <row r="75" spans="1:5">
      <c r="A75" t="s">
        <v>156</v>
      </c>
      <c r="B75" t="s">
        <v>157</v>
      </c>
      <c r="C75" t="b">
        <f>TRUE()</f>
        <v>1</v>
      </c>
      <c r="E75" t="b">
        <f>TRUE()</f>
        <v>1</v>
      </c>
    </row>
    <row r="76" spans="1:5">
      <c r="A76" t="s">
        <v>158</v>
      </c>
      <c r="B76" t="s">
        <v>159</v>
      </c>
      <c r="C76" t="b">
        <f>TRUE()</f>
        <v>1</v>
      </c>
      <c r="E76" t="b">
        <f>TRUE()</f>
        <v>1</v>
      </c>
    </row>
    <row r="77" spans="1:5">
      <c r="A77" t="s">
        <v>160</v>
      </c>
      <c r="B77" t="s">
        <v>138</v>
      </c>
      <c r="C77" t="b">
        <f>TRUE()</f>
        <v>1</v>
      </c>
      <c r="E77" t="b">
        <f>TRUE()</f>
        <v>1</v>
      </c>
    </row>
    <row r="78" spans="1:5">
      <c r="A78" t="s">
        <v>161</v>
      </c>
      <c r="B78" t="s">
        <v>351</v>
      </c>
      <c r="C78" t="s">
        <v>8</v>
      </c>
      <c r="E78" t="b">
        <f>FALSE()</f>
        <v>0</v>
      </c>
    </row>
    <row r="79" spans="1:5">
      <c r="A79" t="s">
        <v>163</v>
      </c>
      <c r="B79" t="s">
        <v>159</v>
      </c>
      <c r="C79" t="b">
        <f>FALSE()</f>
        <v>0</v>
      </c>
      <c r="E79" t="b">
        <f>FALSE()</f>
        <v>0</v>
      </c>
    </row>
    <row r="80" spans="1:5">
      <c r="A80" t="s">
        <v>164</v>
      </c>
      <c r="B80" t="s">
        <v>434</v>
      </c>
      <c r="C80" t="b">
        <f>FALSE()</f>
        <v>0</v>
      </c>
      <c r="E80" t="b">
        <f>FALSE()</f>
        <v>0</v>
      </c>
    </row>
    <row r="81" spans="1:5">
      <c r="A81" t="s">
        <v>167</v>
      </c>
      <c r="B81" t="s">
        <v>168</v>
      </c>
      <c r="C81" t="b">
        <f>TRUE()</f>
        <v>1</v>
      </c>
      <c r="E81" t="b">
        <f>TRUE()</f>
        <v>1</v>
      </c>
    </row>
    <row r="82" spans="1:5">
      <c r="A82" t="s">
        <v>169</v>
      </c>
      <c r="B82" t="s">
        <v>170</v>
      </c>
      <c r="C82" t="b">
        <f>TRUE()</f>
        <v>1</v>
      </c>
      <c r="E82" t="b">
        <f>TRUE()</f>
        <v>1</v>
      </c>
    </row>
    <row r="83" spans="1:5">
      <c r="A83" t="s">
        <v>171</v>
      </c>
      <c r="B83" t="s">
        <v>138</v>
      </c>
      <c r="C83" t="b">
        <f>TRUE()</f>
        <v>1</v>
      </c>
      <c r="E83" t="b">
        <f>TRUE()</f>
        <v>1</v>
      </c>
    </row>
    <row r="84" spans="1:5" ht="46.35">
      <c r="A84" t="s">
        <v>172</v>
      </c>
      <c r="B84" s="2" t="s">
        <v>435</v>
      </c>
      <c r="C84" t="s">
        <v>8</v>
      </c>
      <c r="E84" t="b">
        <f>FALSE()</f>
        <v>0</v>
      </c>
    </row>
    <row r="85" spans="1:5">
      <c r="A85" t="s">
        <v>174</v>
      </c>
      <c r="B85" t="s">
        <v>275</v>
      </c>
      <c r="C85" t="b">
        <f>FALSE()</f>
        <v>0</v>
      </c>
      <c r="E85" t="b">
        <f>FALSE()</f>
        <v>0</v>
      </c>
    </row>
    <row r="86" spans="1:5">
      <c r="A86" t="s">
        <v>175</v>
      </c>
      <c r="B86" t="s">
        <v>436</v>
      </c>
      <c r="C86" t="b">
        <f>TRUE()</f>
        <v>1</v>
      </c>
      <c r="E86" t="b">
        <f>TRUE()</f>
        <v>1</v>
      </c>
    </row>
    <row r="87" spans="1:5">
      <c r="A87" t="s">
        <v>177</v>
      </c>
      <c r="B87" t="s">
        <v>178</v>
      </c>
      <c r="C87" t="b">
        <f>TRUE()</f>
        <v>1</v>
      </c>
      <c r="E87" t="b">
        <f>TRUE()</f>
        <v>1</v>
      </c>
    </row>
    <row r="88" spans="1:5">
      <c r="A88" t="s">
        <v>179</v>
      </c>
      <c r="B88" t="s">
        <v>148</v>
      </c>
      <c r="C88" t="b">
        <f>TRUE()</f>
        <v>1</v>
      </c>
      <c r="E88" t="b">
        <f>TRUE()</f>
        <v>1</v>
      </c>
    </row>
    <row r="89" spans="1:5">
      <c r="A89" t="s">
        <v>180</v>
      </c>
      <c r="B89" t="s">
        <v>138</v>
      </c>
      <c r="C89" t="b">
        <f>TRUE()</f>
        <v>1</v>
      </c>
      <c r="E89" t="b">
        <f>TRUE()</f>
        <v>1</v>
      </c>
    </row>
    <row r="90" spans="1:5">
      <c r="A90" t="s">
        <v>181</v>
      </c>
      <c r="B90" t="s">
        <v>437</v>
      </c>
      <c r="C90" t="s">
        <v>8</v>
      </c>
      <c r="E90" t="b">
        <f>FALSE()</f>
        <v>0</v>
      </c>
    </row>
    <row r="91" spans="1:5">
      <c r="A91" t="s">
        <v>183</v>
      </c>
      <c r="B91" t="s">
        <v>245</v>
      </c>
      <c r="C91" t="b">
        <f>FALSE()</f>
        <v>0</v>
      </c>
      <c r="E91" t="b">
        <f>FALSE()</f>
        <v>0</v>
      </c>
    </row>
    <row r="92" spans="1:5">
      <c r="A92" t="s">
        <v>185</v>
      </c>
      <c r="B92" t="s">
        <v>186</v>
      </c>
      <c r="C92" t="b">
        <f>TRUE()</f>
        <v>1</v>
      </c>
      <c r="E92" t="b">
        <f>TRUE()</f>
        <v>1</v>
      </c>
    </row>
    <row r="93" spans="1:5">
      <c r="A93" t="s">
        <v>187</v>
      </c>
      <c r="B93" t="s">
        <v>265</v>
      </c>
      <c r="C93" t="b">
        <f>TRUE()</f>
        <v>1</v>
      </c>
      <c r="E93" t="b">
        <f>TRUE()</f>
        <v>1</v>
      </c>
    </row>
    <row r="94" spans="1:5">
      <c r="A94" t="s">
        <v>189</v>
      </c>
      <c r="B94" t="s">
        <v>115</v>
      </c>
      <c r="C94" t="b">
        <f>TRUE()</f>
        <v>1</v>
      </c>
      <c r="E94" t="b">
        <f>TRUE()</f>
        <v>1</v>
      </c>
    </row>
    <row r="95" spans="1:5">
      <c r="A95" t="s">
        <v>190</v>
      </c>
      <c r="B95" t="s">
        <v>138</v>
      </c>
      <c r="C95" t="b">
        <f>TRUE()</f>
        <v>1</v>
      </c>
      <c r="E95" t="b">
        <f>TRUE()</f>
        <v>1</v>
      </c>
    </row>
    <row r="96" spans="1:5">
      <c r="A96" t="s">
        <v>191</v>
      </c>
      <c r="B96" t="s">
        <v>438</v>
      </c>
      <c r="C96" t="s">
        <v>8</v>
      </c>
      <c r="E96" t="b">
        <f>FALSE()</f>
        <v>0</v>
      </c>
    </row>
    <row r="97" spans="1:5">
      <c r="A97" t="s">
        <v>194</v>
      </c>
      <c r="B97" t="s">
        <v>239</v>
      </c>
      <c r="C97" t="b">
        <f>FALSE()</f>
        <v>0</v>
      </c>
      <c r="E97" t="b">
        <f>FALSE()</f>
        <v>0</v>
      </c>
    </row>
    <row r="98" spans="1:5">
      <c r="A98" t="s">
        <v>196</v>
      </c>
      <c r="B98" t="s">
        <v>415</v>
      </c>
      <c r="C98" t="b">
        <f>TRUE()</f>
        <v>1</v>
      </c>
      <c r="E98" t="b">
        <f>TRUE()</f>
        <v>1</v>
      </c>
    </row>
    <row r="99" spans="1:5">
      <c r="A99" t="s">
        <v>198</v>
      </c>
      <c r="B99" t="s">
        <v>416</v>
      </c>
      <c r="C99" t="b">
        <f>TRUE()</f>
        <v>1</v>
      </c>
      <c r="E99" t="b">
        <f>TRUE()</f>
        <v>1</v>
      </c>
    </row>
    <row r="100" spans="1:5">
      <c r="A100" t="s">
        <v>200</v>
      </c>
      <c r="B100" t="s">
        <v>201</v>
      </c>
      <c r="C100" t="b">
        <f>TRUE()</f>
        <v>1</v>
      </c>
      <c r="E100" t="b">
        <f>TRUE()</f>
        <v>1</v>
      </c>
    </row>
    <row r="101" spans="1:5">
      <c r="A101" t="s">
        <v>202</v>
      </c>
      <c r="B101" t="s">
        <v>138</v>
      </c>
      <c r="C101" t="b">
        <f>TRUE()</f>
        <v>1</v>
      </c>
      <c r="E101" t="b">
        <f>TRUE()</f>
        <v>1</v>
      </c>
    </row>
    <row r="102" spans="1:5">
      <c r="A102" t="s">
        <v>203</v>
      </c>
      <c r="B102" t="s">
        <v>439</v>
      </c>
      <c r="C102" t="b">
        <f>TRUE()</f>
        <v>1</v>
      </c>
      <c r="E102" t="b">
        <f>TRUE()</f>
        <v>1</v>
      </c>
    </row>
    <row r="103" spans="1:5">
      <c r="A103" t="s">
        <v>205</v>
      </c>
      <c r="B103" t="s">
        <v>120</v>
      </c>
      <c r="C103" t="b">
        <f>TRUE()</f>
        <v>1</v>
      </c>
      <c r="E103" t="b">
        <f>TRUE()</f>
        <v>1</v>
      </c>
    </row>
    <row r="104" spans="1:5">
      <c r="A104" t="s">
        <v>206</v>
      </c>
      <c r="B104" t="s">
        <v>207</v>
      </c>
      <c r="C104" t="b">
        <f>TRUE()</f>
        <v>1</v>
      </c>
      <c r="E104" t="b">
        <f>TRUE()</f>
        <v>1</v>
      </c>
    </row>
    <row r="105" spans="1:5">
      <c r="A105" t="s">
        <v>208</v>
      </c>
      <c r="B105" t="s">
        <v>359</v>
      </c>
      <c r="C105" t="b">
        <f>TRUE()</f>
        <v>1</v>
      </c>
      <c r="E105" t="b">
        <f>TRUE()</f>
        <v>1</v>
      </c>
    </row>
    <row r="106" spans="1:5">
      <c r="A106" t="s">
        <v>210</v>
      </c>
      <c r="B106" t="s">
        <v>211</v>
      </c>
      <c r="C106" t="b">
        <f>TRUE()</f>
        <v>1</v>
      </c>
      <c r="E106" t="b">
        <f>TRUE()</f>
        <v>1</v>
      </c>
    </row>
    <row r="107" spans="1:5">
      <c r="A107" t="s">
        <v>212</v>
      </c>
      <c r="B107" t="s">
        <v>138</v>
      </c>
      <c r="C107" t="b">
        <f>TRUE()</f>
        <v>1</v>
      </c>
      <c r="E107" t="b">
        <f>TRUE()</f>
        <v>1</v>
      </c>
    </row>
    <row r="108" spans="1:5">
      <c r="A108" t="s">
        <v>213</v>
      </c>
      <c r="B108" t="s">
        <v>214</v>
      </c>
      <c r="C108" t="b">
        <f>FALSE()</f>
        <v>0</v>
      </c>
      <c r="E108" t="b">
        <f>FALSE()</f>
        <v>0</v>
      </c>
    </row>
    <row r="109" spans="1:5">
      <c r="A109" t="s">
        <v>215</v>
      </c>
      <c r="B109" t="s">
        <v>389</v>
      </c>
      <c r="C109" t="b">
        <f>FALSE()</f>
        <v>0</v>
      </c>
      <c r="E109" t="b">
        <f>FALSE()</f>
        <v>0</v>
      </c>
    </row>
    <row r="110" spans="1:5">
      <c r="A110" t="s">
        <v>216</v>
      </c>
      <c r="B110" t="s">
        <v>217</v>
      </c>
      <c r="C110" t="b">
        <f>TRUE()</f>
        <v>1</v>
      </c>
      <c r="E110" t="b">
        <f>TRUE()</f>
        <v>1</v>
      </c>
    </row>
    <row r="111" spans="1:5">
      <c r="A111" t="s">
        <v>218</v>
      </c>
      <c r="B111" t="s">
        <v>219</v>
      </c>
      <c r="C111" t="b">
        <f>TRUE()</f>
        <v>1</v>
      </c>
      <c r="E111" t="b">
        <f>TRUE()</f>
        <v>1</v>
      </c>
    </row>
    <row r="112" spans="1:5">
      <c r="A112" t="s">
        <v>220</v>
      </c>
      <c r="B112" t="s">
        <v>221</v>
      </c>
      <c r="C112" t="b">
        <f>TRUE()</f>
        <v>1</v>
      </c>
      <c r="E112" t="b">
        <f>TRUE()</f>
        <v>1</v>
      </c>
    </row>
    <row r="113" spans="1:5">
      <c r="A113" t="s">
        <v>222</v>
      </c>
      <c r="B113" t="s">
        <v>138</v>
      </c>
      <c r="C113" t="b">
        <f>TRUE()</f>
        <v>1</v>
      </c>
      <c r="E113" t="b">
        <f>TRUE()</f>
        <v>1</v>
      </c>
    </row>
    <row r="114" spans="1:5">
      <c r="A114" t="s">
        <v>223</v>
      </c>
      <c r="B114" t="s">
        <v>440</v>
      </c>
      <c r="C114" t="s">
        <v>8</v>
      </c>
      <c r="E114" t="s">
        <v>8</v>
      </c>
    </row>
    <row r="115" spans="1:5">
      <c r="A115" t="s">
        <v>226</v>
      </c>
      <c r="B115" t="s">
        <v>120</v>
      </c>
      <c r="C115" t="b">
        <f>FALSE()</f>
        <v>0</v>
      </c>
      <c r="E115" t="b">
        <f>FALSE()</f>
        <v>0</v>
      </c>
    </row>
    <row r="116" spans="1:5">
      <c r="A116" t="s">
        <v>227</v>
      </c>
      <c r="B116" t="s">
        <v>271</v>
      </c>
      <c r="C116" t="b">
        <f>TRUE()</f>
        <v>1</v>
      </c>
      <c r="E116" t="b">
        <f>TRUE()</f>
        <v>1</v>
      </c>
    </row>
    <row r="117" spans="1:5">
      <c r="A117" t="s">
        <v>229</v>
      </c>
      <c r="B117" t="s">
        <v>230</v>
      </c>
      <c r="C117" t="b">
        <f>TRUE()</f>
        <v>1</v>
      </c>
      <c r="E117" t="b">
        <f>TRUE()</f>
        <v>1</v>
      </c>
    </row>
    <row r="118" spans="1:5">
      <c r="A118" t="s">
        <v>231</v>
      </c>
      <c r="B118" t="s">
        <v>232</v>
      </c>
      <c r="C118" t="b">
        <f>TRUE()</f>
        <v>1</v>
      </c>
      <c r="E118" t="b">
        <f>TRUE()</f>
        <v>1</v>
      </c>
    </row>
    <row r="119" spans="1:5">
      <c r="A119" t="s">
        <v>233</v>
      </c>
      <c r="B119" t="s">
        <v>138</v>
      </c>
      <c r="C119" t="b">
        <f>TRUE()</f>
        <v>1</v>
      </c>
      <c r="E119" t="b">
        <f>TRUE()</f>
        <v>1</v>
      </c>
    </row>
    <row r="120" spans="1:5">
      <c r="A120" t="s">
        <v>234</v>
      </c>
      <c r="B120" t="s">
        <v>364</v>
      </c>
      <c r="C120" t="s">
        <v>8</v>
      </c>
      <c r="E120" t="s">
        <v>8</v>
      </c>
    </row>
    <row r="121" spans="1:5">
      <c r="A121" t="s">
        <v>236</v>
      </c>
      <c r="B121" t="s">
        <v>120</v>
      </c>
      <c r="C121" t="b">
        <f>TRUE()</f>
        <v>1</v>
      </c>
      <c r="E1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1"/>
  <sheetViews>
    <sheetView zoomScale="80" zoomScaleNormal="80" workbookViewId="0">
      <selection activeCell="E22" sqref="E22"/>
    </sheetView>
  </sheetViews>
  <sheetFormatPr defaultColWidth="8.5703125" defaultRowHeight="15"/>
  <cols>
    <col min="1" max="1" width="38.140625" customWidth="1"/>
    <col min="2" max="2" width="36.140625" customWidth="1"/>
    <col min="3" max="3" width="12.7109375" customWidth="1"/>
    <col min="5" max="5" width="12.7109375" customWidth="1"/>
  </cols>
  <sheetData>
    <row r="1" spans="1:5">
      <c r="A1" s="1" t="s">
        <v>18</v>
      </c>
      <c r="B1" s="1" t="s">
        <v>19</v>
      </c>
      <c r="C1" t="s">
        <v>20</v>
      </c>
      <c r="D1" t="s">
        <v>21</v>
      </c>
      <c r="E1" t="s">
        <v>22</v>
      </c>
    </row>
    <row r="2" spans="1:5">
      <c r="A2" t="s">
        <v>441</v>
      </c>
      <c r="B2" t="s">
        <v>24</v>
      </c>
      <c r="C2" t="b">
        <f>TRUE()</f>
        <v>1</v>
      </c>
      <c r="E2" t="b">
        <f>TRUE()</f>
        <v>1</v>
      </c>
    </row>
    <row r="3" spans="1:5">
      <c r="A3" t="s">
        <v>442</v>
      </c>
      <c r="B3" t="s">
        <v>28</v>
      </c>
      <c r="C3" t="b">
        <f>TRUE()</f>
        <v>1</v>
      </c>
      <c r="E3" t="b">
        <f>TRUE()</f>
        <v>1</v>
      </c>
    </row>
    <row r="4" spans="1:5">
      <c r="A4" t="s">
        <v>443</v>
      </c>
      <c r="B4" t="s">
        <v>30</v>
      </c>
      <c r="C4" t="b">
        <f>TRUE()</f>
        <v>1</v>
      </c>
      <c r="E4" t="b">
        <f>TRUE()</f>
        <v>1</v>
      </c>
    </row>
    <row r="5" spans="1:5">
      <c r="A5" t="s">
        <v>444</v>
      </c>
      <c r="B5" t="s">
        <v>445</v>
      </c>
      <c r="C5" t="s">
        <v>8</v>
      </c>
      <c r="E5" t="s">
        <v>8</v>
      </c>
    </row>
    <row r="6" spans="1:5">
      <c r="A6" t="s">
        <v>446</v>
      </c>
      <c r="B6" t="s">
        <v>35</v>
      </c>
      <c r="C6" t="b">
        <f>TRUE()</f>
        <v>1</v>
      </c>
      <c r="E6" t="b">
        <f>TRUE()</f>
        <v>1</v>
      </c>
    </row>
    <row r="7" spans="1:5">
      <c r="A7" t="s">
        <v>447</v>
      </c>
      <c r="B7" t="s">
        <v>37</v>
      </c>
      <c r="C7" t="b">
        <f>TRUE()</f>
        <v>1</v>
      </c>
      <c r="E7" t="b">
        <f>TRUE()</f>
        <v>1</v>
      </c>
    </row>
    <row r="8" spans="1:5">
      <c r="A8" t="s">
        <v>448</v>
      </c>
      <c r="B8" t="s">
        <v>41</v>
      </c>
      <c r="C8" t="b">
        <f>TRUE()</f>
        <v>1</v>
      </c>
      <c r="E8" t="b">
        <f>TRUE()</f>
        <v>1</v>
      </c>
    </row>
    <row r="9" spans="1:5">
      <c r="A9" t="s">
        <v>449</v>
      </c>
      <c r="B9" t="s">
        <v>30</v>
      </c>
      <c r="C9" t="b">
        <f>TRUE()</f>
        <v>1</v>
      </c>
      <c r="E9" t="b">
        <f>TRUE()</f>
        <v>1</v>
      </c>
    </row>
    <row r="10" spans="1:5">
      <c r="A10" t="s">
        <v>450</v>
      </c>
      <c r="B10" t="s">
        <v>451</v>
      </c>
      <c r="C10" t="s">
        <v>8</v>
      </c>
      <c r="E10" t="s">
        <v>8</v>
      </c>
    </row>
    <row r="11" spans="1:5">
      <c r="A11" t="s">
        <v>452</v>
      </c>
      <c r="B11" t="s">
        <v>184</v>
      </c>
      <c r="C11" t="b">
        <f>TRUE()</f>
        <v>1</v>
      </c>
      <c r="E11" t="b">
        <f>TRUE()</f>
        <v>1</v>
      </c>
    </row>
    <row r="12" spans="1:5">
      <c r="A12" t="s">
        <v>453</v>
      </c>
      <c r="B12" t="s">
        <v>48</v>
      </c>
      <c r="C12" t="b">
        <f>TRUE()</f>
        <v>1</v>
      </c>
      <c r="E12" t="b">
        <f>TRUE()</f>
        <v>1</v>
      </c>
    </row>
    <row r="13" spans="1:5">
      <c r="A13" t="s">
        <v>454</v>
      </c>
      <c r="B13" t="s">
        <v>52</v>
      </c>
      <c r="C13" t="b">
        <f>TRUE()</f>
        <v>1</v>
      </c>
      <c r="E13" t="b">
        <f>TRUE()</f>
        <v>1</v>
      </c>
    </row>
    <row r="14" spans="1:5">
      <c r="A14" t="s">
        <v>455</v>
      </c>
      <c r="B14" t="s">
        <v>30</v>
      </c>
      <c r="C14" t="b">
        <f>TRUE()</f>
        <v>1</v>
      </c>
      <c r="E14" t="b">
        <f>TRUE()</f>
        <v>1</v>
      </c>
    </row>
    <row r="15" spans="1:5">
      <c r="A15" t="s">
        <v>456</v>
      </c>
      <c r="B15" t="s">
        <v>457</v>
      </c>
      <c r="C15" t="s">
        <v>8</v>
      </c>
      <c r="E15" t="b">
        <f>FALSE()</f>
        <v>0</v>
      </c>
    </row>
    <row r="16" spans="1:5">
      <c r="A16" t="s">
        <v>458</v>
      </c>
      <c r="B16" t="s">
        <v>184</v>
      </c>
      <c r="C16" t="b">
        <f>FALSE()</f>
        <v>0</v>
      </c>
      <c r="E16" t="b">
        <f>FALSE()</f>
        <v>0</v>
      </c>
    </row>
    <row r="17" spans="1:5">
      <c r="A17" t="s">
        <v>459</v>
      </c>
      <c r="B17" t="s">
        <v>460</v>
      </c>
      <c r="C17" t="b">
        <f>FALSE()</f>
        <v>0</v>
      </c>
      <c r="E17" t="b">
        <f>FALSE()</f>
        <v>0</v>
      </c>
    </row>
    <row r="18" spans="1:5">
      <c r="A18" t="s">
        <v>461</v>
      </c>
      <c r="B18" t="s">
        <v>65</v>
      </c>
      <c r="C18" t="b">
        <f>TRUE()</f>
        <v>1</v>
      </c>
      <c r="E18" t="b">
        <f>TRUE()</f>
        <v>1</v>
      </c>
    </row>
    <row r="19" spans="1:5">
      <c r="A19" t="s">
        <v>462</v>
      </c>
      <c r="B19" t="s">
        <v>30</v>
      </c>
      <c r="C19" t="b">
        <f>TRUE()</f>
        <v>1</v>
      </c>
      <c r="E19" t="b">
        <f>TRUE()</f>
        <v>1</v>
      </c>
    </row>
    <row r="20" spans="1:5">
      <c r="A20" t="s">
        <v>463</v>
      </c>
      <c r="B20" t="s">
        <v>464</v>
      </c>
      <c r="C20" t="s">
        <v>8</v>
      </c>
      <c r="E20" t="s">
        <v>8</v>
      </c>
    </row>
    <row r="21" spans="1:5">
      <c r="A21" t="s">
        <v>465</v>
      </c>
      <c r="B21" t="s">
        <v>35</v>
      </c>
      <c r="C21" t="b">
        <f>FALSE()</f>
        <v>0</v>
      </c>
      <c r="E21" t="b">
        <f>FALSE()</f>
        <v>0</v>
      </c>
    </row>
    <row r="22" spans="1:5">
      <c r="A22" t="s">
        <v>466</v>
      </c>
      <c r="B22" t="s">
        <v>308</v>
      </c>
      <c r="C22" t="b">
        <f>TRUE()</f>
        <v>1</v>
      </c>
      <c r="E22" t="b">
        <f>TRUE()</f>
        <v>1</v>
      </c>
    </row>
    <row r="23" spans="1:5">
      <c r="A23" t="s">
        <v>467</v>
      </c>
      <c r="B23" t="s">
        <v>75</v>
      </c>
      <c r="C23" t="b">
        <f>TRUE()</f>
        <v>1</v>
      </c>
      <c r="E23" t="b">
        <f>TRUE()</f>
        <v>1</v>
      </c>
    </row>
    <row r="24" spans="1:5">
      <c r="A24" t="s">
        <v>468</v>
      </c>
      <c r="B24" t="s">
        <v>30</v>
      </c>
      <c r="C24" t="b">
        <f>TRUE()</f>
        <v>1</v>
      </c>
      <c r="E24" t="b">
        <f>TRUE()</f>
        <v>1</v>
      </c>
    </row>
    <row r="25" spans="1:5">
      <c r="A25" t="s">
        <v>469</v>
      </c>
      <c r="B25" t="s">
        <v>470</v>
      </c>
      <c r="C25" t="s">
        <v>8</v>
      </c>
      <c r="E25" t="s">
        <v>8</v>
      </c>
    </row>
    <row r="26" spans="1:5">
      <c r="A26" t="s">
        <v>471</v>
      </c>
      <c r="B26" t="s">
        <v>184</v>
      </c>
      <c r="C26" t="b">
        <f>FALSE()</f>
        <v>0</v>
      </c>
      <c r="E26" t="b">
        <f>FALSE()</f>
        <v>0</v>
      </c>
    </row>
    <row r="27" spans="1:5">
      <c r="A27" t="s">
        <v>472</v>
      </c>
      <c r="B27" t="s">
        <v>473</v>
      </c>
      <c r="C27" t="b">
        <f>FALSE()</f>
        <v>0</v>
      </c>
      <c r="E27" t="b">
        <f>FALSE()</f>
        <v>0</v>
      </c>
    </row>
    <row r="28" spans="1:5">
      <c r="A28" t="s">
        <v>474</v>
      </c>
      <c r="B28" t="s">
        <v>85</v>
      </c>
      <c r="C28" t="b">
        <f>TRUE()</f>
        <v>1</v>
      </c>
      <c r="E28" t="b">
        <f>TRUE()</f>
        <v>1</v>
      </c>
    </row>
    <row r="29" spans="1:5">
      <c r="A29" t="s">
        <v>475</v>
      </c>
      <c r="B29" t="s">
        <v>30</v>
      </c>
      <c r="C29" t="b">
        <f>TRUE()</f>
        <v>1</v>
      </c>
      <c r="E29" t="b">
        <f>TRUE()</f>
        <v>1</v>
      </c>
    </row>
    <row r="30" spans="1:5">
      <c r="A30" t="s">
        <v>476</v>
      </c>
      <c r="B30" t="s">
        <v>477</v>
      </c>
      <c r="C30" t="s">
        <v>8</v>
      </c>
      <c r="E30" t="s">
        <v>8</v>
      </c>
    </row>
    <row r="31" spans="1:5">
      <c r="A31" t="s">
        <v>478</v>
      </c>
      <c r="B31" t="s">
        <v>479</v>
      </c>
      <c r="C31" t="b">
        <f>FALSE()</f>
        <v>0</v>
      </c>
      <c r="E31" t="b">
        <f>FALSE()</f>
        <v>0</v>
      </c>
    </row>
    <row r="32" spans="1:5">
      <c r="A32" t="s">
        <v>480</v>
      </c>
      <c r="B32" t="s">
        <v>481</v>
      </c>
      <c r="C32" t="b">
        <f>FALSE()</f>
        <v>0</v>
      </c>
      <c r="E32" t="b">
        <f>FALSE()</f>
        <v>0</v>
      </c>
    </row>
    <row r="33" spans="1:5">
      <c r="A33" t="s">
        <v>482</v>
      </c>
      <c r="B33" t="s">
        <v>85</v>
      </c>
      <c r="C33" t="b">
        <f>TRUE()</f>
        <v>1</v>
      </c>
      <c r="E33" t="b">
        <f>TRUE()</f>
        <v>1</v>
      </c>
    </row>
    <row r="34" spans="1:5">
      <c r="A34" t="s">
        <v>483</v>
      </c>
      <c r="B34" t="s">
        <v>30</v>
      </c>
      <c r="C34" t="b">
        <f>TRUE()</f>
        <v>1</v>
      </c>
      <c r="E34" t="b">
        <f>TRUE()</f>
        <v>1</v>
      </c>
    </row>
    <row r="35" spans="1:5">
      <c r="A35" t="s">
        <v>484</v>
      </c>
      <c r="B35" t="s">
        <v>485</v>
      </c>
      <c r="C35" t="s">
        <v>8</v>
      </c>
      <c r="E35" t="s">
        <v>8</v>
      </c>
    </row>
    <row r="36" spans="1:5">
      <c r="A36" t="s">
        <v>486</v>
      </c>
      <c r="B36" t="s">
        <v>184</v>
      </c>
      <c r="C36" t="b">
        <f>FALSE()</f>
        <v>0</v>
      </c>
      <c r="E36" t="b">
        <f>FALSE()</f>
        <v>0</v>
      </c>
    </row>
    <row r="37" spans="1:5">
      <c r="A37" t="s">
        <v>487</v>
      </c>
      <c r="B37" t="s">
        <v>37</v>
      </c>
      <c r="C37" t="b">
        <f>FALSE()</f>
        <v>0</v>
      </c>
      <c r="E37" t="b">
        <f>FALSE()</f>
        <v>0</v>
      </c>
    </row>
    <row r="38" spans="1:5">
      <c r="A38" t="s">
        <v>488</v>
      </c>
      <c r="B38" t="s">
        <v>35</v>
      </c>
      <c r="C38" t="b">
        <f>TRUE()</f>
        <v>1</v>
      </c>
      <c r="E38" t="b">
        <f>TRUE()</f>
        <v>1</v>
      </c>
    </row>
    <row r="39" spans="1:5">
      <c r="A39" t="s">
        <v>489</v>
      </c>
      <c r="B39" t="s">
        <v>30</v>
      </c>
      <c r="C39" t="b">
        <f>TRUE()</f>
        <v>1</v>
      </c>
      <c r="E39" t="b">
        <f>TRUE()</f>
        <v>1</v>
      </c>
    </row>
    <row r="40" spans="1:5" ht="46.35">
      <c r="A40" t="s">
        <v>490</v>
      </c>
      <c r="B40" s="2" t="s">
        <v>491</v>
      </c>
      <c r="C40" t="s">
        <v>8</v>
      </c>
      <c r="E40" t="b">
        <f>FALSE()</f>
        <v>0</v>
      </c>
    </row>
    <row r="41" spans="1:5">
      <c r="A41" t="s">
        <v>492</v>
      </c>
      <c r="B41" t="s">
        <v>257</v>
      </c>
      <c r="C41" t="b">
        <f>FALSE()</f>
        <v>0</v>
      </c>
      <c r="E41" t="b">
        <f>FALSE()</f>
        <v>0</v>
      </c>
    </row>
    <row r="42" spans="1:5">
      <c r="A42" t="s">
        <v>493</v>
      </c>
      <c r="B42" t="s">
        <v>253</v>
      </c>
      <c r="C42" t="b">
        <f>TRUE()</f>
        <v>1</v>
      </c>
      <c r="E42" t="b">
        <f>TRUE()</f>
        <v>1</v>
      </c>
    </row>
    <row r="43" spans="1:5">
      <c r="A43" t="s">
        <v>494</v>
      </c>
      <c r="B43" t="s">
        <v>115</v>
      </c>
      <c r="C43" t="b">
        <f>TRUE()</f>
        <v>1</v>
      </c>
      <c r="E43" t="b">
        <f>TRUE()</f>
        <v>1</v>
      </c>
    </row>
    <row r="44" spans="1:5">
      <c r="A44" t="s">
        <v>495</v>
      </c>
      <c r="B44" t="s">
        <v>30</v>
      </c>
      <c r="C44" t="b">
        <f>TRUE()</f>
        <v>1</v>
      </c>
      <c r="E44" t="b">
        <f>TRUE()</f>
        <v>1</v>
      </c>
    </row>
    <row r="45" spans="1:5">
      <c r="A45" t="s">
        <v>496</v>
      </c>
      <c r="B45" t="s">
        <v>497</v>
      </c>
      <c r="C45" t="s">
        <v>8</v>
      </c>
      <c r="E45" t="s">
        <v>8</v>
      </c>
    </row>
    <row r="46" spans="1:5">
      <c r="A46" t="s">
        <v>498</v>
      </c>
      <c r="B46" t="s">
        <v>245</v>
      </c>
      <c r="C46" t="b">
        <f>FALSE()</f>
        <v>0</v>
      </c>
      <c r="E46" t="b">
        <f>FALSE()</f>
        <v>0</v>
      </c>
    </row>
    <row r="47" spans="1:5">
      <c r="A47" t="s">
        <v>499</v>
      </c>
      <c r="B47" t="s">
        <v>122</v>
      </c>
      <c r="C47" t="b">
        <f>TRUE()</f>
        <v>1</v>
      </c>
      <c r="E47" t="b">
        <f>TRUE()</f>
        <v>1</v>
      </c>
    </row>
    <row r="48" spans="1:5">
      <c r="A48" t="s">
        <v>500</v>
      </c>
      <c r="B48" t="s">
        <v>75</v>
      </c>
      <c r="C48" t="b">
        <f>TRUE()</f>
        <v>1</v>
      </c>
      <c r="E48" t="b">
        <f>TRUE()</f>
        <v>1</v>
      </c>
    </row>
    <row r="49" spans="1:5">
      <c r="A49" t="s">
        <v>501</v>
      </c>
      <c r="B49" t="s">
        <v>30</v>
      </c>
      <c r="C49" t="b">
        <f>TRUE()</f>
        <v>1</v>
      </c>
      <c r="E49" t="b">
        <f>TRUE()</f>
        <v>1</v>
      </c>
    </row>
    <row r="50" spans="1:5">
      <c r="A50" t="s">
        <v>502</v>
      </c>
      <c r="B50" t="s">
        <v>503</v>
      </c>
      <c r="C50" t="s">
        <v>8</v>
      </c>
      <c r="E50" t="s">
        <v>8</v>
      </c>
    </row>
    <row r="51" spans="1:5">
      <c r="A51" t="s">
        <v>504</v>
      </c>
      <c r="B51" t="s">
        <v>245</v>
      </c>
      <c r="C51" t="b">
        <f>FALSE()</f>
        <v>0</v>
      </c>
      <c r="E51" t="b">
        <f>FALSE()</f>
        <v>0</v>
      </c>
    </row>
    <row r="52" spans="1:5">
      <c r="A52" t="s">
        <v>505</v>
      </c>
      <c r="B52" t="s">
        <v>506</v>
      </c>
      <c r="C52" t="b">
        <f>FALSE()</f>
        <v>0</v>
      </c>
      <c r="E52" t="b">
        <f>FALSE()</f>
        <v>0</v>
      </c>
    </row>
    <row r="53" spans="1:5">
      <c r="A53" t="s">
        <v>507</v>
      </c>
      <c r="B53" t="s">
        <v>136</v>
      </c>
      <c r="C53" t="b">
        <f>TRUE()</f>
        <v>1</v>
      </c>
      <c r="E53" t="b">
        <f>TRUE()</f>
        <v>1</v>
      </c>
    </row>
    <row r="54" spans="1:5">
      <c r="A54" t="s">
        <v>508</v>
      </c>
      <c r="B54" t="s">
        <v>138</v>
      </c>
      <c r="C54" t="b">
        <f>TRUE()</f>
        <v>1</v>
      </c>
      <c r="E54" t="b">
        <f>TRUE()</f>
        <v>1</v>
      </c>
    </row>
    <row r="55" spans="1:5" ht="46.35">
      <c r="A55" t="s">
        <v>509</v>
      </c>
      <c r="B55" s="2" t="s">
        <v>510</v>
      </c>
      <c r="C55" t="s">
        <v>8</v>
      </c>
      <c r="E55" t="b">
        <f>FALSE()</f>
        <v>0</v>
      </c>
    </row>
    <row r="56" spans="1:5">
      <c r="A56" t="s">
        <v>511</v>
      </c>
      <c r="B56" t="s">
        <v>257</v>
      </c>
      <c r="C56" t="b">
        <f>FALSE()</f>
        <v>0</v>
      </c>
      <c r="E56" t="b">
        <f>FALSE()</f>
        <v>0</v>
      </c>
    </row>
    <row r="57" spans="1:5">
      <c r="A57" t="s">
        <v>512</v>
      </c>
      <c r="B57" t="s">
        <v>144</v>
      </c>
      <c r="C57" t="b">
        <f>TRUE()</f>
        <v>1</v>
      </c>
      <c r="E57" t="b">
        <f>TRUE()</f>
        <v>1</v>
      </c>
    </row>
    <row r="58" spans="1:5">
      <c r="A58" t="s">
        <v>513</v>
      </c>
      <c r="B58" t="s">
        <v>148</v>
      </c>
      <c r="C58" t="b">
        <f>TRUE()</f>
        <v>1</v>
      </c>
      <c r="E58" t="b">
        <f>TRUE()</f>
        <v>1</v>
      </c>
    </row>
    <row r="59" spans="1:5">
      <c r="A59" t="s">
        <v>514</v>
      </c>
      <c r="B59" t="s">
        <v>138</v>
      </c>
      <c r="C59" t="b">
        <f>TRUE()</f>
        <v>1</v>
      </c>
      <c r="E59" t="b">
        <f>TRUE()</f>
        <v>1</v>
      </c>
    </row>
    <row r="60" spans="1:5">
      <c r="A60" t="s">
        <v>515</v>
      </c>
      <c r="B60" t="s">
        <v>516</v>
      </c>
      <c r="C60" t="s">
        <v>8</v>
      </c>
      <c r="E60" t="b">
        <f>FALSE()</f>
        <v>0</v>
      </c>
    </row>
    <row r="61" spans="1:5">
      <c r="A61" t="s">
        <v>517</v>
      </c>
      <c r="B61" t="s">
        <v>159</v>
      </c>
      <c r="C61" t="b">
        <f>FALSE()</f>
        <v>0</v>
      </c>
      <c r="E61" t="b">
        <f>FALSE()</f>
        <v>0</v>
      </c>
    </row>
    <row r="62" spans="1:5">
      <c r="A62" t="s">
        <v>518</v>
      </c>
      <c r="B62" t="s">
        <v>155</v>
      </c>
      <c r="C62" t="b">
        <f>TRUE()</f>
        <v>1</v>
      </c>
      <c r="E62" t="b">
        <f>TRUE()</f>
        <v>1</v>
      </c>
    </row>
    <row r="63" spans="1:5">
      <c r="A63" t="s">
        <v>519</v>
      </c>
      <c r="B63" t="s">
        <v>159</v>
      </c>
      <c r="C63" t="b">
        <f>TRUE()</f>
        <v>1</v>
      </c>
      <c r="E63" t="b">
        <f>TRUE()</f>
        <v>1</v>
      </c>
    </row>
    <row r="64" spans="1:5">
      <c r="A64" t="s">
        <v>520</v>
      </c>
      <c r="B64" t="s">
        <v>138</v>
      </c>
      <c r="C64" t="b">
        <f>TRUE()</f>
        <v>1</v>
      </c>
      <c r="E64" t="b">
        <f>TRUE()</f>
        <v>1</v>
      </c>
    </row>
    <row r="65" spans="1:5" ht="46.35">
      <c r="A65" t="s">
        <v>521</v>
      </c>
      <c r="B65" s="2" t="s">
        <v>522</v>
      </c>
      <c r="C65" t="s">
        <v>8</v>
      </c>
      <c r="E65" t="b">
        <f>FALSE()</f>
        <v>0</v>
      </c>
    </row>
    <row r="66" spans="1:5">
      <c r="A66" t="s">
        <v>523</v>
      </c>
      <c r="B66" t="s">
        <v>239</v>
      </c>
      <c r="C66" t="b">
        <f>FALSE()</f>
        <v>0</v>
      </c>
      <c r="E66" t="b">
        <f>FALSE()</f>
        <v>0</v>
      </c>
    </row>
    <row r="67" spans="1:5">
      <c r="A67" t="s">
        <v>524</v>
      </c>
      <c r="B67" t="s">
        <v>525</v>
      </c>
      <c r="C67" t="b">
        <f>FALSE()</f>
        <v>0</v>
      </c>
      <c r="E67" t="b">
        <f>FALSE()</f>
        <v>0</v>
      </c>
    </row>
    <row r="68" spans="1:5">
      <c r="A68" t="s">
        <v>526</v>
      </c>
      <c r="B68" t="s">
        <v>170</v>
      </c>
      <c r="C68" t="b">
        <f>TRUE()</f>
        <v>1</v>
      </c>
      <c r="E68" t="b">
        <f>TRUE()</f>
        <v>1</v>
      </c>
    </row>
    <row r="69" spans="1:5">
      <c r="A69" t="s">
        <v>527</v>
      </c>
      <c r="B69" t="s">
        <v>138</v>
      </c>
      <c r="C69" t="b">
        <f>TRUE()</f>
        <v>1</v>
      </c>
      <c r="E69" t="b">
        <f>TRUE()</f>
        <v>1</v>
      </c>
    </row>
    <row r="70" spans="1:5">
      <c r="A70" t="s">
        <v>528</v>
      </c>
      <c r="B70" t="s">
        <v>529</v>
      </c>
      <c r="C70" t="s">
        <v>8</v>
      </c>
      <c r="E70" t="s">
        <v>8</v>
      </c>
    </row>
    <row r="71" spans="1:5">
      <c r="A71" t="s">
        <v>530</v>
      </c>
      <c r="B71" t="s">
        <v>531</v>
      </c>
      <c r="C71" t="b">
        <f>TRUE()</f>
        <v>1</v>
      </c>
      <c r="E71" t="b">
        <f>TRUE()</f>
        <v>1</v>
      </c>
    </row>
    <row r="72" spans="1:5">
      <c r="A72" t="s">
        <v>532</v>
      </c>
      <c r="B72" t="s">
        <v>176</v>
      </c>
      <c r="C72" t="b">
        <f>TRUE()</f>
        <v>1</v>
      </c>
      <c r="E72" t="b">
        <f>TRUE()</f>
        <v>1</v>
      </c>
    </row>
    <row r="73" spans="1:5">
      <c r="A73" t="s">
        <v>533</v>
      </c>
      <c r="B73" t="s">
        <v>148</v>
      </c>
      <c r="C73" t="b">
        <f>TRUE()</f>
        <v>1</v>
      </c>
      <c r="E73" t="b">
        <f>TRUE()</f>
        <v>1</v>
      </c>
    </row>
    <row r="74" spans="1:5">
      <c r="A74" t="s">
        <v>534</v>
      </c>
      <c r="B74" t="s">
        <v>138</v>
      </c>
      <c r="C74" t="b">
        <f>TRUE()</f>
        <v>1</v>
      </c>
      <c r="E74" t="b">
        <f>TRUE()</f>
        <v>1</v>
      </c>
    </row>
    <row r="75" spans="1:5">
      <c r="A75" t="s">
        <v>535</v>
      </c>
      <c r="B75" t="s">
        <v>536</v>
      </c>
      <c r="C75" t="s">
        <v>8</v>
      </c>
      <c r="E75" t="s">
        <v>8</v>
      </c>
    </row>
    <row r="76" spans="1:5">
      <c r="A76" t="s">
        <v>537</v>
      </c>
      <c r="B76" t="s">
        <v>257</v>
      </c>
      <c r="C76" t="b">
        <f>FALSE()</f>
        <v>0</v>
      </c>
      <c r="E76" t="b">
        <f>FALSE()</f>
        <v>0</v>
      </c>
    </row>
    <row r="77" spans="1:5">
      <c r="A77" t="s">
        <v>538</v>
      </c>
      <c r="B77" t="s">
        <v>186</v>
      </c>
      <c r="C77" t="b">
        <f>TRUE()</f>
        <v>1</v>
      </c>
      <c r="E77" t="b">
        <f>TRUE()</f>
        <v>1</v>
      </c>
    </row>
    <row r="78" spans="1:5">
      <c r="A78" t="s">
        <v>539</v>
      </c>
      <c r="B78" t="s">
        <v>115</v>
      </c>
      <c r="C78" t="b">
        <f>TRUE()</f>
        <v>1</v>
      </c>
      <c r="E78" t="b">
        <f>TRUE()</f>
        <v>1</v>
      </c>
    </row>
    <row r="79" spans="1:5">
      <c r="A79" t="s">
        <v>540</v>
      </c>
      <c r="B79" t="s">
        <v>138</v>
      </c>
      <c r="C79" t="b">
        <f>TRUE()</f>
        <v>1</v>
      </c>
      <c r="E79" t="b">
        <f>TRUE()</f>
        <v>1</v>
      </c>
    </row>
    <row r="80" spans="1:5" ht="31.35">
      <c r="A80" t="s">
        <v>541</v>
      </c>
      <c r="B80" s="2" t="s">
        <v>542</v>
      </c>
      <c r="C80" t="b">
        <f>FALSE()</f>
        <v>0</v>
      </c>
      <c r="E80" t="b">
        <f>FALSE()</f>
        <v>0</v>
      </c>
    </row>
    <row r="81" spans="1:5">
      <c r="A81" t="s">
        <v>543</v>
      </c>
      <c r="B81" t="s">
        <v>52</v>
      </c>
      <c r="C81" t="b">
        <f>FALSE()</f>
        <v>0</v>
      </c>
      <c r="E81" t="b">
        <f>FALSE()</f>
        <v>0</v>
      </c>
    </row>
    <row r="82" spans="1:5">
      <c r="A82" t="s">
        <v>544</v>
      </c>
      <c r="B82" t="s">
        <v>197</v>
      </c>
      <c r="C82" t="b">
        <f>TRUE()</f>
        <v>1</v>
      </c>
      <c r="E82" t="b">
        <f>TRUE()</f>
        <v>1</v>
      </c>
    </row>
    <row r="83" spans="1:5">
      <c r="A83" t="s">
        <v>545</v>
      </c>
      <c r="B83" t="s">
        <v>201</v>
      </c>
      <c r="C83" t="b">
        <f>TRUE()</f>
        <v>1</v>
      </c>
      <c r="E83" t="b">
        <f>TRUE()</f>
        <v>1</v>
      </c>
    </row>
    <row r="84" spans="1:5">
      <c r="A84" t="s">
        <v>546</v>
      </c>
      <c r="B84" t="s">
        <v>138</v>
      </c>
      <c r="C84" t="b">
        <f>TRUE()</f>
        <v>1</v>
      </c>
      <c r="E84" t="b">
        <f>TRUE()</f>
        <v>1</v>
      </c>
    </row>
    <row r="85" spans="1:5">
      <c r="A85" t="s">
        <v>547</v>
      </c>
      <c r="B85" t="s">
        <v>548</v>
      </c>
      <c r="C85" t="b">
        <f>TRUE()</f>
        <v>1</v>
      </c>
      <c r="E85" t="b">
        <f>TRUE()</f>
        <v>1</v>
      </c>
    </row>
    <row r="86" spans="1:5">
      <c r="A86" t="s">
        <v>549</v>
      </c>
      <c r="B86" t="s">
        <v>120</v>
      </c>
      <c r="C86" t="b">
        <f>TRUE()</f>
        <v>1</v>
      </c>
      <c r="E86" t="b">
        <f>TRUE()</f>
        <v>1</v>
      </c>
    </row>
    <row r="87" spans="1:5">
      <c r="A87" t="s">
        <v>550</v>
      </c>
      <c r="B87" t="s">
        <v>207</v>
      </c>
      <c r="C87" t="b">
        <f>TRUE()</f>
        <v>1</v>
      </c>
      <c r="E87" t="b">
        <f>TRUE()</f>
        <v>1</v>
      </c>
    </row>
    <row r="88" spans="1:5">
      <c r="A88" t="s">
        <v>551</v>
      </c>
      <c r="B88" t="s">
        <v>211</v>
      </c>
      <c r="C88" t="b">
        <f>TRUE()</f>
        <v>1</v>
      </c>
      <c r="E88" t="b">
        <f>TRUE()</f>
        <v>1</v>
      </c>
    </row>
    <row r="89" spans="1:5">
      <c r="A89" t="s">
        <v>552</v>
      </c>
      <c r="B89" t="s">
        <v>138</v>
      </c>
      <c r="C89" t="b">
        <f>TRUE()</f>
        <v>1</v>
      </c>
      <c r="E89" t="b">
        <f>TRUE()</f>
        <v>1</v>
      </c>
    </row>
    <row r="90" spans="1:5">
      <c r="A90" t="s">
        <v>553</v>
      </c>
      <c r="B90" t="s">
        <v>554</v>
      </c>
      <c r="C90" t="s">
        <v>8</v>
      </c>
      <c r="E90" t="b">
        <f>FALSE()</f>
        <v>0</v>
      </c>
    </row>
    <row r="91" spans="1:5">
      <c r="A91" t="s">
        <v>555</v>
      </c>
      <c r="B91" t="s">
        <v>257</v>
      </c>
      <c r="C91" t="b">
        <f>FALSE()</f>
        <v>0</v>
      </c>
      <c r="E91" t="b">
        <f>FALSE()</f>
        <v>0</v>
      </c>
    </row>
    <row r="92" spans="1:5">
      <c r="A92" t="s">
        <v>556</v>
      </c>
      <c r="B92" t="s">
        <v>217</v>
      </c>
      <c r="C92" t="b">
        <f>TRUE()</f>
        <v>1</v>
      </c>
      <c r="E92" t="b">
        <f>TRUE()</f>
        <v>1</v>
      </c>
    </row>
    <row r="93" spans="1:5">
      <c r="A93" t="s">
        <v>557</v>
      </c>
      <c r="B93" t="s">
        <v>221</v>
      </c>
      <c r="C93" t="b">
        <f>TRUE()</f>
        <v>1</v>
      </c>
      <c r="E93" t="b">
        <f>TRUE()</f>
        <v>1</v>
      </c>
    </row>
    <row r="94" spans="1:5">
      <c r="A94" t="s">
        <v>558</v>
      </c>
      <c r="B94" t="s">
        <v>138</v>
      </c>
      <c r="C94" t="b">
        <f>TRUE()</f>
        <v>1</v>
      </c>
      <c r="E94" t="b">
        <f>TRUE()</f>
        <v>1</v>
      </c>
    </row>
    <row r="95" spans="1:5" ht="61.15">
      <c r="A95" t="s">
        <v>559</v>
      </c>
      <c r="B95" s="2" t="s">
        <v>560</v>
      </c>
      <c r="C95" t="s">
        <v>8</v>
      </c>
      <c r="E95" t="b">
        <f>FALSE()</f>
        <v>0</v>
      </c>
    </row>
    <row r="96" spans="1:5">
      <c r="A96" t="s">
        <v>561</v>
      </c>
      <c r="B96" t="s">
        <v>270</v>
      </c>
      <c r="C96" t="b">
        <f>TRUE()</f>
        <v>1</v>
      </c>
      <c r="E96" t="b">
        <f>TRUE()</f>
        <v>1</v>
      </c>
    </row>
    <row r="97" spans="1:5">
      <c r="A97" t="s">
        <v>562</v>
      </c>
      <c r="B97" t="s">
        <v>228</v>
      </c>
      <c r="C97" t="b">
        <f>TRUE()</f>
        <v>1</v>
      </c>
      <c r="E97" t="b">
        <f>TRUE()</f>
        <v>1</v>
      </c>
    </row>
    <row r="98" spans="1:5">
      <c r="A98" t="s">
        <v>563</v>
      </c>
      <c r="B98" t="s">
        <v>232</v>
      </c>
      <c r="C98" t="b">
        <f>TRUE()</f>
        <v>1</v>
      </c>
      <c r="E98" t="b">
        <f>TRUE()</f>
        <v>1</v>
      </c>
    </row>
    <row r="99" spans="1:5">
      <c r="A99" t="s">
        <v>564</v>
      </c>
      <c r="B99" t="s">
        <v>138</v>
      </c>
      <c r="C99" t="b">
        <f>TRUE()</f>
        <v>1</v>
      </c>
      <c r="E99" t="b">
        <f>TRUE()</f>
        <v>1</v>
      </c>
    </row>
    <row r="100" spans="1:5">
      <c r="A100" t="s">
        <v>565</v>
      </c>
      <c r="B100" t="s">
        <v>566</v>
      </c>
      <c r="C100" t="b">
        <f>TRUE()</f>
        <v>1</v>
      </c>
      <c r="E100" t="b">
        <f>TRUE()</f>
        <v>1</v>
      </c>
    </row>
    <row r="101" spans="1:5">
      <c r="A101" t="s">
        <v>567</v>
      </c>
      <c r="B101" t="s">
        <v>120</v>
      </c>
      <c r="C101" t="b">
        <f>TRUE()</f>
        <v>1</v>
      </c>
      <c r="E101" t="b">
        <f>TRUE()</f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8</cp:revision>
  <dcterms:created xsi:type="dcterms:W3CDTF">2026-03-12T14:03:28Z</dcterms:created>
  <dcterms:modified xsi:type="dcterms:W3CDTF">2026-09-16T08:35:05Z</dcterms:modified>
  <cp:category/>
  <cp:contentStatus/>
</cp:coreProperties>
</file>