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8" documentId="11_79667FA8F771E91F0CC5EA605F5CCEA13A9869EC" xr6:coauthVersionLast="47" xr6:coauthVersionMax="47" xr10:uidLastSave="{C9BA9DBD-FD63-4250-9B0C-713BE468572F}"/>
  <bookViews>
    <workbookView xWindow="0" yWindow="0" windowWidth="16384" windowHeight="8192" tabRatio="500" firstSheet="8" xr2:uid="{00000000-000D-0000-FFFF-FFFF00000000}"/>
  </bookViews>
  <sheets>
    <sheet name="kappa" sheetId="9" r:id="rId1"/>
    <sheet name="xml_names_people6" sheetId="1" r:id="rId2"/>
    <sheet name="xml_names_people10" sheetId="2" r:id="rId3"/>
    <sheet name="xml_names_people14" sheetId="3" r:id="rId4"/>
    <sheet name="xml_names_people20" sheetId="4" r:id="rId5"/>
    <sheet name="natural_people6" sheetId="5" r:id="rId6"/>
    <sheet name="natural_people10" sheetId="6" r:id="rId7"/>
    <sheet name="natural_people14" sheetId="7" r:id="rId8"/>
    <sheet name="natural_people20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9" l="1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D55" i="9" s="1"/>
  <c r="C25" i="9"/>
  <c r="C55" i="9" s="1"/>
  <c r="B25" i="9"/>
  <c r="B55" i="9" s="1"/>
  <c r="I24" i="9"/>
  <c r="H24" i="9"/>
  <c r="G24" i="9"/>
  <c r="D24" i="9"/>
  <c r="D54" i="9" s="1"/>
  <c r="C24" i="9"/>
  <c r="C54" i="9" s="1"/>
  <c r="B24" i="9"/>
  <c r="B54" i="9" s="1"/>
  <c r="I23" i="9"/>
  <c r="H23" i="9"/>
  <c r="G23" i="9"/>
  <c r="D23" i="9"/>
  <c r="D53" i="9" s="1"/>
  <c r="C23" i="9"/>
  <c r="C53" i="9" s="1"/>
  <c r="B23" i="9"/>
  <c r="B53" i="9" s="1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C5" i="9"/>
  <c r="B5" i="9"/>
  <c r="I4" i="9"/>
  <c r="H4" i="9"/>
  <c r="G4" i="9"/>
  <c r="D4" i="9"/>
  <c r="C4" i="9"/>
  <c r="B4" i="9"/>
  <c r="I3" i="9"/>
  <c r="H3" i="9"/>
  <c r="G3" i="9"/>
  <c r="D3" i="9"/>
  <c r="C3" i="9"/>
  <c r="B3" i="9"/>
  <c r="G53" i="9" s="1"/>
  <c r="E121" i="8"/>
  <c r="C121" i="8"/>
  <c r="E120" i="8"/>
  <c r="C120" i="8"/>
  <c r="E119" i="8"/>
  <c r="C119" i="8"/>
  <c r="E118" i="8"/>
  <c r="C118" i="8"/>
  <c r="E117" i="8"/>
  <c r="C117" i="8"/>
  <c r="E116" i="8"/>
  <c r="C116" i="8"/>
  <c r="E115" i="8"/>
  <c r="C115" i="8"/>
  <c r="E113" i="8"/>
  <c r="C113" i="8"/>
  <c r="E112" i="8"/>
  <c r="C112" i="8"/>
  <c r="E111" i="8"/>
  <c r="C111" i="8"/>
  <c r="E110" i="8"/>
  <c r="C110" i="8"/>
  <c r="E109" i="8"/>
  <c r="C109" i="8"/>
  <c r="E107" i="8"/>
  <c r="C107" i="8"/>
  <c r="E106" i="8"/>
  <c r="C106" i="8"/>
  <c r="E105" i="8"/>
  <c r="C105" i="8"/>
  <c r="E104" i="8"/>
  <c r="C104" i="8"/>
  <c r="E103" i="8"/>
  <c r="C103" i="8"/>
  <c r="E102" i="8"/>
  <c r="C102" i="8"/>
  <c r="E101" i="8"/>
  <c r="C101" i="8"/>
  <c r="E100" i="8"/>
  <c r="C100" i="8"/>
  <c r="E99" i="8"/>
  <c r="C99" i="8"/>
  <c r="E98" i="8"/>
  <c r="C98" i="8"/>
  <c r="E97" i="8"/>
  <c r="C97" i="8"/>
  <c r="E95" i="8"/>
  <c r="C95" i="8"/>
  <c r="E94" i="8"/>
  <c r="C94" i="8"/>
  <c r="E93" i="8"/>
  <c r="C93" i="8"/>
  <c r="E92" i="8"/>
  <c r="C92" i="8"/>
  <c r="E91" i="8"/>
  <c r="C91" i="8"/>
  <c r="E90" i="8"/>
  <c r="C90" i="8"/>
  <c r="E89" i="8"/>
  <c r="C89" i="8"/>
  <c r="E88" i="8"/>
  <c r="C88" i="8"/>
  <c r="E87" i="8"/>
  <c r="C87" i="8"/>
  <c r="E86" i="8"/>
  <c r="C86" i="8"/>
  <c r="E85" i="8"/>
  <c r="C85" i="8"/>
  <c r="E83" i="8"/>
  <c r="C83" i="8"/>
  <c r="E82" i="8"/>
  <c r="C82" i="8"/>
  <c r="E81" i="8"/>
  <c r="C81" i="8"/>
  <c r="E80" i="8"/>
  <c r="C80" i="8"/>
  <c r="E79" i="8"/>
  <c r="C79" i="8"/>
  <c r="E77" i="8"/>
  <c r="C77" i="8"/>
  <c r="E76" i="8"/>
  <c r="C76" i="8"/>
  <c r="E75" i="8"/>
  <c r="C75" i="8"/>
  <c r="E74" i="8"/>
  <c r="C74" i="8"/>
  <c r="E73" i="8"/>
  <c r="C73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E63" i="8"/>
  <c r="C63" i="8"/>
  <c r="E62" i="8"/>
  <c r="C62" i="8"/>
  <c r="E61" i="8"/>
  <c r="C61" i="8"/>
  <c r="E59" i="8"/>
  <c r="C59" i="8"/>
  <c r="E58" i="8"/>
  <c r="C58" i="8"/>
  <c r="E57" i="8"/>
  <c r="C57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2" i="8"/>
  <c r="C42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2" i="8"/>
  <c r="C12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85" i="7"/>
  <c r="C85" i="7"/>
  <c r="E83" i="7"/>
  <c r="C83" i="7"/>
  <c r="E82" i="7"/>
  <c r="C82" i="7"/>
  <c r="E81" i="7"/>
  <c r="C81" i="7"/>
  <c r="E80" i="7"/>
  <c r="C80" i="7"/>
  <c r="E79" i="7"/>
  <c r="C79" i="7"/>
  <c r="E78" i="7"/>
  <c r="C78" i="7"/>
  <c r="E77" i="7"/>
  <c r="C77" i="7"/>
  <c r="E76" i="7"/>
  <c r="C76" i="7"/>
  <c r="E75" i="7"/>
  <c r="C75" i="7"/>
  <c r="E74" i="7"/>
  <c r="C74" i="7"/>
  <c r="E73" i="7"/>
  <c r="C73" i="7"/>
  <c r="E71" i="7"/>
  <c r="C71" i="7"/>
  <c r="E70" i="7"/>
  <c r="C70" i="7"/>
  <c r="E69" i="7"/>
  <c r="C69" i="7"/>
  <c r="E68" i="7"/>
  <c r="C68" i="7"/>
  <c r="E67" i="7"/>
  <c r="C67" i="7"/>
  <c r="E66" i="7"/>
  <c r="C66" i="7"/>
  <c r="E65" i="7"/>
  <c r="C65" i="7"/>
  <c r="E64" i="7"/>
  <c r="C64" i="7"/>
  <c r="E63" i="7"/>
  <c r="C63" i="7"/>
  <c r="E62" i="7"/>
  <c r="C62" i="7"/>
  <c r="E61" i="7"/>
  <c r="C61" i="7"/>
  <c r="E59" i="7"/>
  <c r="C59" i="7"/>
  <c r="E58" i="7"/>
  <c r="C58" i="7"/>
  <c r="E57" i="7"/>
  <c r="C57" i="7"/>
  <c r="E56" i="7"/>
  <c r="C56" i="7"/>
  <c r="E55" i="7"/>
  <c r="C55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2" i="7"/>
  <c r="C42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2" i="7"/>
  <c r="C12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3" i="4"/>
  <c r="C113" i="4"/>
  <c r="E112" i="4"/>
  <c r="C112" i="4"/>
  <c r="E111" i="4"/>
  <c r="C111" i="4"/>
  <c r="E110" i="4"/>
  <c r="C110" i="4"/>
  <c r="E109" i="4"/>
  <c r="C109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5" i="4"/>
  <c r="C95" i="4"/>
  <c r="E94" i="4"/>
  <c r="C94" i="4"/>
  <c r="E93" i="4"/>
  <c r="C93" i="4"/>
  <c r="E92" i="4"/>
  <c r="C92" i="4"/>
  <c r="E91" i="4"/>
  <c r="C91" i="4"/>
  <c r="E89" i="4"/>
  <c r="C89" i="4"/>
  <c r="E88" i="4"/>
  <c r="C88" i="4"/>
  <c r="E87" i="4"/>
  <c r="C87" i="4"/>
  <c r="E86" i="4"/>
  <c r="C86" i="4"/>
  <c r="E85" i="4"/>
  <c r="C85" i="4"/>
  <c r="E83" i="4"/>
  <c r="C83" i="4"/>
  <c r="E82" i="4"/>
  <c r="C82" i="4"/>
  <c r="E81" i="4"/>
  <c r="C81" i="4"/>
  <c r="E80" i="4"/>
  <c r="C80" i="4"/>
  <c r="E79" i="4"/>
  <c r="C79" i="4"/>
  <c r="E77" i="4"/>
  <c r="C77" i="4"/>
  <c r="E76" i="4"/>
  <c r="C76" i="4"/>
  <c r="E75" i="4"/>
  <c r="C75" i="4"/>
  <c r="E74" i="4"/>
  <c r="C74" i="4"/>
  <c r="E73" i="4"/>
  <c r="C73" i="4"/>
  <c r="E71" i="4"/>
  <c r="C71" i="4"/>
  <c r="E70" i="4"/>
  <c r="C70" i="4"/>
  <c r="E69" i="4"/>
  <c r="C69" i="4"/>
  <c r="E68" i="4"/>
  <c r="C68" i="4"/>
  <c r="E67" i="4"/>
  <c r="C67" i="4"/>
  <c r="E65" i="4"/>
  <c r="C65" i="4"/>
  <c r="E64" i="4"/>
  <c r="C64" i="4"/>
  <c r="E63" i="4"/>
  <c r="C63" i="4"/>
  <c r="E62" i="4"/>
  <c r="C62" i="4"/>
  <c r="E61" i="4"/>
  <c r="C61" i="4"/>
  <c r="E59" i="4"/>
  <c r="C59" i="4"/>
  <c r="E58" i="4"/>
  <c r="C58" i="4"/>
  <c r="E57" i="4"/>
  <c r="C57" i="4"/>
  <c r="E56" i="4"/>
  <c r="C56" i="4"/>
  <c r="E55" i="4"/>
  <c r="C55" i="4"/>
  <c r="E53" i="4"/>
  <c r="C53" i="4"/>
  <c r="E52" i="4"/>
  <c r="C52" i="4"/>
  <c r="E51" i="4"/>
  <c r="C51" i="4"/>
  <c r="E50" i="4"/>
  <c r="C50" i="4"/>
  <c r="E49" i="4"/>
  <c r="C49" i="4"/>
  <c r="E47" i="4"/>
  <c r="C47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85" i="3"/>
  <c r="C85" i="3"/>
  <c r="E83" i="3"/>
  <c r="C83" i="3"/>
  <c r="E82" i="3"/>
  <c r="C82" i="3"/>
  <c r="E81" i="3"/>
  <c r="C81" i="3"/>
  <c r="E80" i="3"/>
  <c r="C80" i="3"/>
  <c r="E79" i="3"/>
  <c r="C79" i="3"/>
  <c r="E78" i="3"/>
  <c r="C78" i="3"/>
  <c r="E77" i="3"/>
  <c r="C77" i="3"/>
  <c r="E76" i="3"/>
  <c r="C76" i="3"/>
  <c r="E75" i="3"/>
  <c r="C75" i="3"/>
  <c r="E74" i="3"/>
  <c r="C74" i="3"/>
  <c r="E73" i="3"/>
  <c r="C73" i="3"/>
  <c r="E72" i="3"/>
  <c r="C72" i="3"/>
  <c r="E71" i="3"/>
  <c r="C71" i="3"/>
  <c r="E70" i="3"/>
  <c r="C70" i="3"/>
  <c r="E69" i="3"/>
  <c r="C69" i="3"/>
  <c r="E68" i="3"/>
  <c r="C68" i="3"/>
  <c r="E67" i="3"/>
  <c r="C67" i="3"/>
  <c r="E65" i="3"/>
  <c r="C65" i="3"/>
  <c r="E64" i="3"/>
  <c r="C64" i="3"/>
  <c r="E63" i="3"/>
  <c r="C63" i="3"/>
  <c r="E62" i="3"/>
  <c r="C62" i="3"/>
  <c r="E61" i="3"/>
  <c r="C61" i="3"/>
  <c r="E59" i="3"/>
  <c r="C59" i="3"/>
  <c r="E58" i="3"/>
  <c r="C58" i="3"/>
  <c r="E57" i="3"/>
  <c r="C57" i="3"/>
  <c r="E56" i="3"/>
  <c r="C56" i="3"/>
  <c r="E55" i="3"/>
  <c r="C55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1" i="3"/>
  <c r="C41" i="3"/>
  <c r="E40" i="3"/>
  <c r="C40" i="3"/>
  <c r="E39" i="3"/>
  <c r="C39" i="3"/>
  <c r="E38" i="3"/>
  <c r="C38" i="3"/>
  <c r="E37" i="3"/>
  <c r="C37" i="3"/>
  <c r="E35" i="3"/>
  <c r="C35" i="3"/>
  <c r="E34" i="3"/>
  <c r="C34" i="3"/>
  <c r="E33" i="3"/>
  <c r="C33" i="3"/>
  <c r="E32" i="3"/>
  <c r="C32" i="3"/>
  <c r="E31" i="3"/>
  <c r="C31" i="3"/>
  <c r="E30" i="3"/>
  <c r="C30" i="3"/>
  <c r="E28" i="3"/>
  <c r="C28" i="3"/>
  <c r="E27" i="3"/>
  <c r="C27" i="3"/>
  <c r="E26" i="3"/>
  <c r="C26" i="3"/>
  <c r="E25" i="3"/>
  <c r="C25" i="3"/>
  <c r="E23" i="3"/>
  <c r="C23" i="3"/>
  <c r="E22" i="3"/>
  <c r="C22" i="3"/>
  <c r="E21" i="3"/>
  <c r="C21" i="3"/>
  <c r="E20" i="3"/>
  <c r="C20" i="3"/>
  <c r="E19" i="3"/>
  <c r="C19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C43" i="9" l="1"/>
  <c r="H53" i="9"/>
  <c r="D43" i="9"/>
  <c r="I53" i="9"/>
  <c r="B44" i="9"/>
  <c r="G54" i="9"/>
  <c r="C44" i="9"/>
  <c r="H54" i="9"/>
  <c r="D44" i="9"/>
  <c r="I54" i="9"/>
  <c r="B45" i="9"/>
  <c r="G55" i="9"/>
  <c r="C45" i="9"/>
  <c r="H55" i="9"/>
  <c r="D45" i="9"/>
  <c r="I55" i="9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<sst xmlns="http://schemas.openxmlformats.org/spreadsheetml/2006/main" count="1365" uniqueCount="381">
  <si>
    <t>xml_names_people6</t>
  </si>
  <si>
    <t>xml_names_people10</t>
  </si>
  <si>
    <t>half true</t>
  </si>
  <si>
    <t>N</t>
  </si>
  <si>
    <t>Po</t>
  </si>
  <si>
    <t>Pe</t>
  </si>
  <si>
    <t>Kappa</t>
  </si>
  <si>
    <t>xml_names_people14</t>
  </si>
  <si>
    <t>xml_names_people20</t>
  </si>
  <si>
    <t>natural_people6</t>
  </si>
  <si>
    <t>natural_people10</t>
  </si>
  <si>
    <t>natural_people14</t>
  </si>
  <si>
    <t>natural_people20</t>
  </si>
  <si>
    <t>OVERALL</t>
  </si>
  <si>
    <t>natural</t>
  </si>
  <si>
    <t>xml_names</t>
  </si>
  <si>
    <t>prompt</t>
  </si>
  <si>
    <t>answer</t>
  </si>
  <si>
    <t>validity</t>
  </si>
  <si>
    <t>note</t>
  </si>
  <si>
    <t>validity_ds</t>
  </si>
  <si>
    <t>What is Saša Škrtić's first name?</t>
  </si>
  <si>
    <t>Saša</t>
  </si>
  <si>
    <t>What is Saša Škrtić's last name?</t>
  </si>
  <si>
    <t>Škrtić</t>
  </si>
  <si>
    <t>What is Saša Škrtić's age?</t>
  </si>
  <si>
    <t>Saša Škrtić's age</t>
  </si>
  <si>
    <t>What is Saša Škrtić's gender?</t>
  </si>
  <si>
    <t>Saša Škrtić's gender</t>
  </si>
  <si>
    <t>List all Saša Škrtić's friends.</t>
  </si>
  <si>
    <t>Duje Ravlić</t>
  </si>
  <si>
    <t>How many friends does Saša Škrtić have?</t>
  </si>
  <si>
    <t>1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</si>
  <si>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</si>
  <si>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</si>
  <si>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</si>
  <si>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</si>
  <si>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</si>
  <si>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</si>
  <si>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</si>
  <si>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MALE</t>
  </si>
  <si>
    <t>List all Duje Ravlić's friends.</t>
  </si>
  <si>
    <t>Saša Škrtić</t>
  </si>
  <si>
    <t>How many friends does Duje Ravlić have?</t>
  </si>
  <si>
    <t>What is Eduard Tutić's first name?</t>
  </si>
  <si>
    <t>Eduard</t>
  </si>
  <si>
    <t>What is Eduard Tutić's last name?</t>
  </si>
  <si>
    <t>Tutić</t>
  </si>
  <si>
    <t>What is Eduard Tutić's age?</t>
  </si>
  <si>
    <t>Eduard Tutić is 43</t>
  </si>
  <si>
    <t>What is Eduard Tutić's gender?</t>
  </si>
  <si>
    <t>Eduard Tutić's gender is MA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</si>
  <si>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</si>
  <si>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</si>
  <si>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</si>
  <si>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</si>
  <si>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</si>
  <si>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</si>
  <si>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</si>
  <si>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</si>
  <si>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</si>
  <si>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</si>
  <si>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Draženović's gender</t>
  </si>
  <si>
    <t>List all Jagoda Draženović's friends.</t>
  </si>
  <si>
    <t>Monika Rimac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</si>
  <si>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</si>
  <si>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</si>
  <si>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</si>
  <si>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</si>
  <si>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</si>
  <si>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</si>
  <si>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</si>
  <si>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Monika Rimac's age is 20</t>
  </si>
  <si>
    <t>What is Monika Rimac's gender?</t>
  </si>
  <si>
    <t>Monika Rimac's gender is FEMALE.</t>
  </si>
  <si>
    <t>List all Monika Rimac's friends.</t>
  </si>
  <si>
    <t>Jagoda Draženović</t>
  </si>
  <si>
    <t>How many friends does Monika Rimac have?</t>
  </si>
  <si>
    <t>Monika Rimac has 1 friend.</t>
  </si>
  <si>
    <t>What is Mia Popić's first name?</t>
  </si>
  <si>
    <t>Mia</t>
  </si>
  <si>
    <t>What is Mia Popić's last name?</t>
  </si>
  <si>
    <t>Popić</t>
  </si>
  <si>
    <t>What is Mia Popić's age?</t>
  </si>
  <si>
    <t>Mia Popić is 27 years old</t>
  </si>
  <si>
    <t>What is Mia Popić's gender?</t>
  </si>
  <si>
    <t>Mia Popić's gender is FEMALE.</t>
  </si>
  <si>
    <t>List all Mia Popić's friends.</t>
  </si>
  <si>
    <t>Eduard Tutić</t>
  </si>
  <si>
    <t>How many friends does Mia Popić have?</t>
  </si>
  <si>
    <t>Saša Škrtić is</t>
  </si>
  <si>
    <t>Duje Ravlić, Zoran Goreta</t>
  </si>
  <si>
    <t>Saša Škrtić has</t>
  </si>
  <si>
    <t>18</t>
  </si>
  <si>
    <t>Duje Ravlić's gender is MALE</t>
  </si>
  <si>
    <t>Saša Škrtić, I</t>
  </si>
  <si>
    <t>Duje Ravlić has 3 friends.</t>
  </si>
  <si>
    <t>21</t>
  </si>
  <si>
    <t>Zoran Goreta, Ivo Čel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</si>
  <si>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</si>
  <si>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</si>
  <si>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</si>
  <si>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</si>
  <si>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</si>
  <si>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</si>
  <si>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</si>
  <si>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</si>
  <si>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Zoran Goreta's gender is MALE.</t>
  </si>
  <si>
    <t>List all Zoran Goreta's friends.</t>
  </si>
  <si>
    <t>Saša Škrtić, Edu</t>
  </si>
  <si>
    <t>How many friends does Zoran Goreta have?</t>
  </si>
  <si>
    <t>Zoran Goreta has 2 friends.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</si>
  <si>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</si>
  <si>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</si>
  <si>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</si>
  <si>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</si>
  <si>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</si>
  <si>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</si>
  <si>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</si>
  <si>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Ivo Čelina's gender is MA</t>
  </si>
  <si>
    <t>List all Ivo Čelina's friends.</t>
  </si>
  <si>
    <t>Duje Ravlić, Eduard Tuti</t>
  </si>
  <si>
    <t>How many friends does Ivo Čelina have?</t>
  </si>
  <si>
    <t>Ivo Čelina has 3 friends</t>
  </si>
  <si>
    <t>Monika Rimac is 10 years old</t>
  </si>
  <si>
    <t>Monika Rimac has 2 friends.</t>
  </si>
  <si>
    <t>Mia Popić is 18 years old</t>
  </si>
  <si>
    <t>Mirjam Devčić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</si>
  <si>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</si>
  <si>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</si>
  <si>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</si>
  <si>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</si>
  <si>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</si>
  <si>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</si>
  <si>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</si>
  <si>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</si>
  <si>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</si>
  <si>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How many friends does Nada Sudar have?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</si>
  <si>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</si>
  <si>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</si>
  <si>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</si>
  <si>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</si>
  <si>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</si>
  <si>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 is 41 years</t>
  </si>
  <si>
    <t>What is Mirjam Devčić's gender?</t>
  </si>
  <si>
    <t>Mirjam Devčić's gender is FEMALE</t>
  </si>
  <si>
    <t>List all Mirjam Devčić's friends.</t>
  </si>
  <si>
    <t>Mirjam Devčić's friends are Duje</t>
  </si>
  <si>
    <t>How many friends does Mirjam Devčić have?</t>
  </si>
  <si>
    <t>Mirjam Devčić has 2 friends.</t>
  </si>
  <si>
    <t>Zoran Goreta, Nada Sudar</t>
  </si>
  <si>
    <t>38</t>
  </si>
  <si>
    <t>Antonija Salinović</t>
  </si>
  <si>
    <t>Eduard Tutić is 64</t>
  </si>
  <si>
    <t>Zoran Goreta, Monika Rimac,</t>
  </si>
  <si>
    <t>Eduard Tutić has 6 friends</t>
  </si>
  <si>
    <t>Zoran Goreta's age is 12</t>
  </si>
  <si>
    <t>Eduard Tutić, Saša</t>
  </si>
  <si>
    <t>Zoran Goreta has 4 friends.</t>
  </si>
  <si>
    <t>Ivo Čelina's age is</t>
  </si>
  <si>
    <t>Ivo Čelina's friends: []</t>
  </si>
  <si>
    <t>Ivo Čelina has 0 friends</t>
  </si>
  <si>
    <t>What is Gordan Lucić's first name?</t>
  </si>
  <si>
    <t>Gordan</t>
  </si>
  <si>
    <t>What is Gordan Lucić's last name?</t>
  </si>
  <si>
    <t>Lucić</t>
  </si>
  <si>
    <t>What is Gordan Lucić's age?</t>
  </si>
  <si>
    <t>28</t>
  </si>
  <si>
    <t>What is Gordan Lucić's gender?</t>
  </si>
  <si>
    <t>Gordan Lucić's gender is MALE.</t>
  </si>
  <si>
    <t>List all Gordan Lucić's friends.</t>
  </si>
  <si>
    <t>Ljubomir Jurišić,</t>
  </si>
  <si>
    <t>How many friends does Gordan Lucić have?</t>
  </si>
  <si>
    <t>Gordan Lucić has 3 friends.</t>
  </si>
  <si>
    <t>What is Ljubomir Jurišić's first name?</t>
  </si>
  <si>
    <t>Ljubomir</t>
  </si>
  <si>
    <t>What is Ljubomir Jurišić's last name?</t>
  </si>
  <si>
    <t>Jurišić</t>
  </si>
  <si>
    <t>What is Ljubomir Jurišić's age?</t>
  </si>
  <si>
    <t>What is Ljubomir Jurišić's gender?</t>
  </si>
  <si>
    <t>Ljubomir Jurišić's</t>
  </si>
  <si>
    <t>List all Ljubomir Jurišić's friends.</t>
  </si>
  <si>
    <t>Gordan Lucić, Jagoda Dražen</t>
  </si>
  <si>
    <t>How many friends does Ljubomir Jurišić have?</t>
  </si>
  <si>
    <t>Ljubomir Jurišić has</t>
  </si>
  <si>
    <t>Jagoda's friends are:
- Lj</t>
  </si>
  <si>
    <t>Monika Rimac is 16 years old</t>
  </si>
  <si>
    <t>Monika's friends are Zoran Goreta and</t>
  </si>
  <si>
    <t>22</t>
  </si>
  <si>
    <t>Zoran Goreta, Jagoda Dražen</t>
  </si>
  <si>
    <t>Mia Popić has 6 friends.</t>
  </si>
  <si>
    <t>25</t>
  </si>
  <si>
    <t>Jagoda Draženović, G</t>
  </si>
  <si>
    <t>Nada Sudar has 7 friends.</t>
  </si>
  <si>
    <t>Mirjam Devčić is 69 years</t>
  </si>
  <si>
    <t>Mirjam Devčić's friends are:
-</t>
  </si>
  <si>
    <t>Mirjam Devčić has 4 friends.</t>
  </si>
  <si>
    <t>What is Lea Grubić's first name?</t>
  </si>
  <si>
    <t>Lea</t>
  </si>
  <si>
    <t>What is Lea Grubić's last name?</t>
  </si>
  <si>
    <t>Grubić</t>
  </si>
  <si>
    <t>What is Lea Grubić's age?</t>
  </si>
  <si>
    <t>Lea Grubić's age is 5</t>
  </si>
  <si>
    <t>What is Lea Grubić's gender?</t>
  </si>
  <si>
    <t>Lea Grubić's gender is FEMALE</t>
  </si>
  <si>
    <t>List all Lea Grubić's friends.</t>
  </si>
  <si>
    <t>Mirjam Devčić, Mia Popić,</t>
  </si>
  <si>
    <t>How many friends does Lea Grubić have?</t>
  </si>
  <si>
    <t>Lea Grubić has 3 friends.</t>
  </si>
  <si>
    <t>What is Antonija Salinović's first name?</t>
  </si>
  <si>
    <t>Antonija</t>
  </si>
  <si>
    <t>What is Antonija Salinović's last name?</t>
  </si>
  <si>
    <t>Salinović</t>
  </si>
  <si>
    <t>What is Antonija Salinović's age?</t>
  </si>
  <si>
    <t>What is Antonija Salinović's gender?</t>
  </si>
  <si>
    <t>FEMALE</t>
  </si>
  <si>
    <t>List all Antonija Salinović's friends.</t>
  </si>
  <si>
    <t>How many friends does Antonija Salinović have?</t>
  </si>
  <si>
    <t>Antonija Salinović has 5</t>
  </si>
  <si>
    <t>Zoran Goreta, Nikola Prelošnj</t>
  </si>
  <si>
    <t>Eduard Tutić, Gordan Luc</t>
  </si>
  <si>
    <t>Duje Ravlić has 8 friends.</t>
  </si>
  <si>
    <t>17</t>
  </si>
  <si>
    <t>Eduard Tutić has 10</t>
  </si>
  <si>
    <t>66</t>
  </si>
  <si>
    <t>Zoran Goreta has 5 friends.</t>
  </si>
  <si>
    <t>65</t>
  </si>
  <si>
    <t>Ivo Čelina has 6 friends</t>
  </si>
  <si>
    <t>27</t>
  </si>
  <si>
    <t>Gordan Lucić has 8 friends.</t>
  </si>
  <si>
    <t>Ivo Čelina, Jagoda Dra</t>
  </si>
  <si>
    <t>What is Vladimir Svalina's first name?</t>
  </si>
  <si>
    <t>Vladimir</t>
  </si>
  <si>
    <t>What is Vladimir Svalina's last name?</t>
  </si>
  <si>
    <t>Svalina</t>
  </si>
  <si>
    <t>What is Vladimir Svalina's age?</t>
  </si>
  <si>
    <t>6</t>
  </si>
  <si>
    <t>What is Vladimir Svalina's gender?</t>
  </si>
  <si>
    <t>Male</t>
  </si>
  <si>
    <t>List all Vladimir Svalina's friends.</t>
  </si>
  <si>
    <t>How many friends does Vladimir Svalina have?</t>
  </si>
  <si>
    <t>Vladimir Svalina has 7 friends</t>
  </si>
  <si>
    <t>What is Tomislav Šoštarić's first name?</t>
  </si>
  <si>
    <t>Tomislav</t>
  </si>
  <si>
    <t>What is Tomislav Šoštarić's last name?</t>
  </si>
  <si>
    <t>Šoštarić</t>
  </si>
  <si>
    <t>What is Tomislav Šoštarić's age?</t>
  </si>
  <si>
    <t>31</t>
  </si>
  <si>
    <t>What is Tomislav Šoštarić's gender?</t>
  </si>
  <si>
    <t>List all Tomislav Šoštarić's friends.</t>
  </si>
  <si>
    <t>Eduard Tutić, Duje Rav</t>
  </si>
  <si>
    <t>How many friends does Tomislav Šoštarić have?</t>
  </si>
  <si>
    <t>Tomislav Šoštarić has</t>
  </si>
  <si>
    <t>What is Nikola Prelošnjak's first name?</t>
  </si>
  <si>
    <t>Nikola</t>
  </si>
  <si>
    <t>What is Nikola Prelošnjak's last name?</t>
  </si>
  <si>
    <t>Prelošnjak</t>
  </si>
  <si>
    <t>What is Nikola Prelošnjak's age?</t>
  </si>
  <si>
    <t>Nikola Prelošnjak is</t>
  </si>
  <si>
    <t>What is Nikola Prelošnjak's gender?</t>
  </si>
  <si>
    <t>Nikola Prelošnjak's gender</t>
  </si>
  <si>
    <t>List all Nikola Prelošnjak's friends.</t>
  </si>
  <si>
    <t>Saša Škrtić, Du</t>
  </si>
  <si>
    <t>How many friends does Nikola Prelošnjak have?</t>
  </si>
  <si>
    <t>Nikola Prelošnjak has</t>
  </si>
  <si>
    <t>Eduard Tutić, Ljub</t>
  </si>
  <si>
    <t>Monika Rimac is 37 years old</t>
  </si>
  <si>
    <t>Saša Škrtić, L</t>
  </si>
  <si>
    <t>Monika Rimac has 5 friends.</t>
  </si>
  <si>
    <t>9</t>
  </si>
  <si>
    <t>Jagoda Draženović, L</t>
  </si>
  <si>
    <t>56</t>
  </si>
  <si>
    <t>Monika Rimac, Mia Popić, Vladimir</t>
  </si>
  <si>
    <t>Nada Sudar has 8 friends.</t>
  </si>
  <si>
    <t>Mirjam Devčić is 37 years</t>
  </si>
  <si>
    <t>Mirjam's friends are:
- Monika Rim</t>
  </si>
  <si>
    <t>Mirjam Devčić has 6 friends.</t>
  </si>
  <si>
    <t>Lea Grubić's age is 3</t>
  </si>
  <si>
    <t>Lea Grubić has 9 friends.</t>
  </si>
  <si>
    <t>Gordan Lucić, Saša Š</t>
  </si>
  <si>
    <t>Antonija Salinović has 2</t>
  </si>
  <si>
    <t>What is Cvijeta Svetličić's first name?</t>
  </si>
  <si>
    <t>Cvijeta</t>
  </si>
  <si>
    <t>What is Cvijeta Svetličić's last name?</t>
  </si>
  <si>
    <t>Svetličić</t>
  </si>
  <si>
    <t>What is Cvijeta Svetličić's age?</t>
  </si>
  <si>
    <t>What is Cvijeta Svetličić's gender?</t>
  </si>
  <si>
    <t>List all Cvijeta Svetličić's friends.</t>
  </si>
  <si>
    <t>Saša Škrtić, Z</t>
  </si>
  <si>
    <t>How many friends does Cvijeta Svetličić have?</t>
  </si>
  <si>
    <t>Cvijeta Svetličić has</t>
  </si>
  <si>
    <t>What is Irena Jurilj's first name?</t>
  </si>
  <si>
    <t>Irena</t>
  </si>
  <si>
    <t>What is Irena Jurilj's last name?</t>
  </si>
  <si>
    <t>Jurilj</t>
  </si>
  <si>
    <t>What is Irena Jurilj's age?</t>
  </si>
  <si>
    <t>Irena Jurilj's age is 2</t>
  </si>
  <si>
    <t>What is Irena Jurilj's gender?</t>
  </si>
  <si>
    <t>Irena Jurilj's gender is FEMALE</t>
  </si>
  <si>
    <t>List all Irena Jurilj's friends.</t>
  </si>
  <si>
    <t>Jagoda Draženović, I</t>
  </si>
  <si>
    <t>How many friends does Irena Jurilj have?</t>
  </si>
  <si>
    <t>Irena Jurilj has 3 friends.</t>
  </si>
  <si>
    <t>What is Stela Mišković's first name?</t>
  </si>
  <si>
    <t>Stela</t>
  </si>
  <si>
    <t>What is Stela Mišković's last name?</t>
  </si>
  <si>
    <t>Mišković</t>
  </si>
  <si>
    <t>What is Stela Mišković's age?</t>
  </si>
  <si>
    <t>54</t>
  </si>
  <si>
    <t>What is Stela Mišković's gender?</t>
  </si>
  <si>
    <t>Stela Mišković's gender is</t>
  </si>
  <si>
    <t>List all Stela Mišković's friends.</t>
  </si>
  <si>
    <t>Lea Grubić, Gordan Lucić</t>
  </si>
  <si>
    <t>How many friends does Stela Mišković have?</t>
  </si>
  <si>
    <t>Stela Mišković has 2</t>
  </si>
  <si>
    <t>Male.</t>
  </si>
  <si>
    <t>Two.</t>
  </si>
  <si>
    <t>Duje Ravlić is 35 years</t>
  </si>
  <si>
    <t>Female.</t>
  </si>
  <si>
    <t>Monika Rimac is 20 years old</t>
  </si>
  <si>
    <t>5</t>
  </si>
  <si>
    <t>18 years old.</t>
  </si>
  <si>
    <t>Three.</t>
  </si>
  <si>
    <t>Eduard Tutić is 21</t>
  </si>
  <si>
    <t>Four.</t>
  </si>
  <si>
    <t>39 years old.</t>
  </si>
  <si>
    <t>Ivo Čelina is 24</t>
  </si>
  <si>
    <t>Ivo Čelina is friends with:</t>
  </si>
  <si>
    <t>Female</t>
  </si>
  <si>
    <t>Jagoda Draženović and Sa</t>
  </si>
  <si>
    <t>Rimac.</t>
  </si>
  <si>
    <t>Monika Rimac and Saša Š</t>
  </si>
  <si>
    <t>Nada Sudar is 19 years old</t>
  </si>
  <si>
    <t>Nada Sudar is female.</t>
  </si>
  <si>
    <t>41 years old.</t>
  </si>
  <si>
    <t>Duje Ravlić, Mia Popić</t>
  </si>
  <si>
    <t>Duje Ravlić is 38 years</t>
  </si>
  <si>
    <t>Eduard Tutić is friends with:</t>
  </si>
  <si>
    <t>12 years old.</t>
  </si>
  <si>
    <t>Zoran Goreta is friends with:
- Edu</t>
  </si>
  <si>
    <t>Ivo Čelina is 27</t>
  </si>
  <si>
    <t>We don't have any information about Ivo �</t>
  </si>
  <si>
    <t>We don't have that information.</t>
  </si>
  <si>
    <t>Gordan Lucić is 28 years old</t>
  </si>
  <si>
    <t>Gordan Lucić's friends are:
1.</t>
  </si>
  <si>
    <t>38 years old.</t>
  </si>
  <si>
    <t>Ljubomir Jurišić is</t>
  </si>
  <si>
    <t>Jagoda Draženović is friends</t>
  </si>
  <si>
    <t>Monika Rimac and Zoran Goreta are</t>
  </si>
  <si>
    <t>22 years old.</t>
  </si>
  <si>
    <t>25 years old.</t>
  </si>
  <si>
    <t>Nada Sudar's friends are:
1.</t>
  </si>
  <si>
    <t>8</t>
  </si>
  <si>
    <t>69 years old.</t>
  </si>
  <si>
    <t>Mirjam Devčić and Mia Popić,</t>
  </si>
  <si>
    <t>Lea Grubić is 51 years</t>
  </si>
  <si>
    <t>Lea Grubić's friends are:
1</t>
  </si>
  <si>
    <t>21 years old.</t>
  </si>
  <si>
    <t>44</t>
  </si>
  <si>
    <t>Saša Škrtić's friends</t>
  </si>
  <si>
    <t>Duje Ravlić's friends are:
-</t>
  </si>
  <si>
    <t>17 years old.</t>
  </si>
  <si>
    <t>10</t>
  </si>
  <si>
    <t>Zoran Goreta is friends with:
- Sa</t>
  </si>
  <si>
    <t>65 years old.</t>
  </si>
  <si>
    <t>27 years old.</t>
  </si>
  <si>
    <t>6 years old.</t>
  </si>
  <si>
    <t>Vladimir Svalina's friends are:</t>
  </si>
  <si>
    <t>31 years old.</t>
  </si>
  <si>
    <t>Tomislav Šoštarić's</t>
  </si>
  <si>
    <t>Five.</t>
  </si>
  <si>
    <t>Jagoda Draženović's friends</t>
  </si>
  <si>
    <t>37 years old.</t>
  </si>
  <si>
    <t>Monika Rimac is friends with:
- Sa</t>
  </si>
  <si>
    <t>9 years old.</t>
  </si>
  <si>
    <t>56 years old.</t>
  </si>
  <si>
    <t>Ivo Čelina, Monika Rim</t>
  </si>
  <si>
    <t>Lea Grubić is 31 years</t>
  </si>
  <si>
    <t>Gordan Lucić, Duje Ravlić</t>
  </si>
  <si>
    <t>20</t>
  </si>
  <si>
    <t>54 years 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</si>
</sst>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66CA8-6E59-49A3-A93A-4CF23AECB4D8}">
  <dimension ref="A1:I55"/>
  <sheetViews>
    <sheetView tabSelected="1" topLeftCell="A42" workbookViewId="0">
      <selection activeCell="A52" sqref="A52:I55"/>
    </sheetView>
  </sheetViews>
  <sheetFormatPr defaultRowHeight="15"/>
  <cols>
    <col min="1" max="1" width="20.57031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20.5703125" bestFit="1" customWidth="1"/>
    <col min="7" max="7" width="12.5703125" bestFit="1" customWidth="1"/>
    <col min="8" max="8" width="6.28515625" bestFit="1" customWidth="1"/>
    <col min="9" max="9" width="8.5703125" bestFit="1" customWidth="1"/>
  </cols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"!$C$2:$C$121"),TRUE, INDIRECT(A1 &amp; "!$E$2:$E$121"),TRUE)</f>
        <v>30</v>
      </c>
      <c r="C3">
        <f ca="1">COUNTIFS(INDIRECT(A1 &amp; "!$C$2:$C$121"),TRUE, INDIRECT(A1 &amp; "!$E$2:$E$121"),FALSE)</f>
        <v>0</v>
      </c>
      <c r="D3">
        <f ca="1">COUNTIFS(INDIRECT(A1 &amp; "!$C$2:$C$121"),TRUE, INDIRECT(A1 &amp; "!$E$2:$E$121"),"half true")</f>
        <v>0</v>
      </c>
      <c r="F3" t="b">
        <v>1</v>
      </c>
      <c r="G3">
        <f ca="1">COUNTIFS(INDIRECT(F1 &amp; "!$C$2:$C$121"),TRUE, INDIRECT(F1 &amp; "!$E$2:$E$121"),TRUE)</f>
        <v>47</v>
      </c>
      <c r="H3">
        <f ca="1">COUNTIFS(INDIRECT(F1 &amp; "!$C$2:$C$121"),TRUE, INDIRECT(F1 &amp; "!$E$2:$E$121"),FALSE)</f>
        <v>0</v>
      </c>
      <c r="I3">
        <f ca="1">COUNTIFS(INDIRECT(F1 &amp; "!$C$2:$C$121"),TRUE, INDIRECT(F1 &amp; "!$E$2:$E$121"),"half true")</f>
        <v>0</v>
      </c>
    </row>
    <row r="4" spans="1:9">
      <c r="A4" t="b">
        <v>0</v>
      </c>
      <c r="B4">
        <f ca="1">COUNTIFS(INDIRECT(A1 &amp; "!$C$2:$C$121"),FALSE, INDIRECT(A1 &amp; "!$E$2:$E$121"),TRUE)</f>
        <v>0</v>
      </c>
      <c r="C4">
        <f ca="1">COUNTIFS(INDIRECT(A1 &amp; "!$C$2:$C$121"),FALSE, INDIRECT(A1 &amp; "!$E$2:$E$121"),FALSE)</f>
        <v>5</v>
      </c>
      <c r="D4">
        <f ca="1">COUNTIFS(INDIRECT(A1 &amp; "!$C$2:$C$121"),FALSE, INDIRECT(A1 &amp; "!$E$2:$E$121"),"half true")</f>
        <v>0</v>
      </c>
      <c r="F4" t="b">
        <v>0</v>
      </c>
      <c r="G4">
        <f ca="1">COUNTIFS(INDIRECT(F1 &amp; "!$C$2:$C$121"),FALSE, INDIRECT(F1 &amp; "!$E$2:$E$121"),TRUE)</f>
        <v>0</v>
      </c>
      <c r="H4">
        <f ca="1">COUNTIFS(INDIRECT(F1 &amp; "!$C$2:$C$121"),FALSE, INDIRECT(F1 &amp; "!$E$2:$E$121"),FALSE)</f>
        <v>6</v>
      </c>
      <c r="I4">
        <f ca="1">COUNTIFS(INDIRECT(F1 &amp; "!$C$2:$C$121"),FALSE, INDIRECT(F1 &amp; "!$E$2:$E$121"),"half true")</f>
        <v>0</v>
      </c>
    </row>
    <row r="5" spans="1:9">
      <c r="A5" t="s">
        <v>2</v>
      </c>
      <c r="B5">
        <f ca="1">COUNTIFS(INDIRECT(A1 &amp; "!$C$2:$C$121"),"half true", INDIRECT(A1 &amp; "!$E$2:$E$121"),TRUE)</f>
        <v>0</v>
      </c>
      <c r="C5">
        <f ca="1">COUNTIFS(INDIRECT(A1 &amp; "!$C$2:$C$121"),"half true", INDIRECT(A1 &amp; "!$E$2:$E$121"),FALSE)</f>
        <v>0</v>
      </c>
      <c r="D5">
        <f ca="1">COUNTIFS(INDIRECT(A1 &amp; "!$C$2:$C$121"),"half true", INDIRECT(A1 &amp; "!$E$2:$E$121"),"half true")</f>
        <v>1</v>
      </c>
      <c r="F5" t="s">
        <v>2</v>
      </c>
      <c r="G5">
        <f ca="1">COUNTIFS(INDIRECT(F1 &amp; "!$C$2:$C$121"),"half true", INDIRECT(F1 &amp; "!$E$2:$E$121"),TRUE)</f>
        <v>0</v>
      </c>
      <c r="H5">
        <f ca="1">COUNTIFS(INDIRECT(F1 &amp; "!$C$2:$C$121"),"half true", INDIRECT(F1 &amp; "!$E$2:$E$121"),FALSE)</f>
        <v>7</v>
      </c>
      <c r="I5">
        <f ca="1">COUNTIFS(INDIRECT(F1 &amp; "!$C$2:$C$121"),"half true", INDIRECT(F1 &amp; "!$E$2:$E$121"),"half true")</f>
        <v>0</v>
      </c>
    </row>
    <row r="6" spans="1:9">
      <c r="A6" t="s">
        <v>3</v>
      </c>
      <c r="B6">
        <f ca="1">SUM(B3:D5)</f>
        <v>36</v>
      </c>
      <c r="F6" t="s">
        <v>3</v>
      </c>
      <c r="G6">
        <f ca="1">SUM(G3:I5)</f>
        <v>60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0.8833333333333333</v>
      </c>
    </row>
    <row r="8" spans="1:9">
      <c r="A8" t="s">
        <v>5</v>
      </c>
      <c r="B8">
        <f ca="1">((SUM(B3:D3)*SUM(B3:B5))+(SUM(B4:D4)*SUM(C3:C5))+(SUM(B5:D5)*SUM(D3:D5)))/(B6^2)</f>
        <v>0.71450617283950613</v>
      </c>
      <c r="F8" t="s">
        <v>5</v>
      </c>
      <c r="G8">
        <f ca="1">((SUM(G3:I3)*SUM(G3:G5))+(SUM(G4:I4)*SUM(H3:H5))+(SUM(G5:I5)*SUM(I3:I5)))/(G6^2)</f>
        <v>0.63527777777777783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0.68012185833967997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"!$C$2:$C$121"),TRUE, INDIRECT(A11 &amp; "!$E$2:$E$121"),TRUE)</f>
        <v>63</v>
      </c>
      <c r="C13">
        <f ca="1">COUNTIFS(INDIRECT(A11 &amp; "!$C$2:$C$121"),TRUE, INDIRECT(A11 &amp; "!$E$2:$E$121"),FALSE)</f>
        <v>0</v>
      </c>
      <c r="D13">
        <f ca="1">COUNTIFS(INDIRECT(A11 &amp; "!$C$2:$C$121"),TRUE, INDIRECT(A11 &amp; "!$E$2:$E$121"),"half true")</f>
        <v>0</v>
      </c>
      <c r="F13" t="b">
        <v>1</v>
      </c>
      <c r="G13">
        <f ca="1">COUNTIFS(INDIRECT(F11 &amp; "!$C$2:$C$121"),TRUE, INDIRECT(F11 &amp; "!$E$2:$E$121"),TRUE)</f>
        <v>85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"!$C$2:$C$121"),FALSE, INDIRECT(A11 &amp; "!$E$2:$E$121"),TRUE)</f>
        <v>0</v>
      </c>
      <c r="C14">
        <f ca="1">COUNTIFS(INDIRECT(A11 &amp; "!$C$2:$C$121"),FALSE, INDIRECT(A11 &amp; "!$E$2:$E$121"),FALSE)</f>
        <v>11</v>
      </c>
      <c r="D14">
        <f ca="1">COUNTIFS(INDIRECT(A11 &amp; "!$C$2:$C$121"),FALSE, INDIRECT(A11 &amp; "!$E$2:$E$121"),"half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15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"!$C$2:$C$121"),"half true", INDIRECT(A11 &amp; "!$E$2:$E$121"),TRUE)</f>
        <v>0</v>
      </c>
      <c r="C15">
        <f ca="1">COUNTIFS(INDIRECT(A11 &amp; "!$C$2:$C$121"),"half true", INDIRECT(A11 &amp; "!$E$2:$E$121"),FALSE)</f>
        <v>8</v>
      </c>
      <c r="D15">
        <f ca="1">COUNTIFS(INDIRECT(A11 &amp; "!$C$2:$C$121"),"half true", INDIRECT(A11 &amp; "!$E$2:$E$121"),"half true")</f>
        <v>2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18</v>
      </c>
      <c r="I15">
        <f ca="1">COUNTIFS(INDIRECT(F11 &amp; "!$C$2:$C$121"),"half true", INDIRECT(F11 &amp; "!$E$2:$E$121"),"half true")</f>
        <v>2</v>
      </c>
    </row>
    <row r="16" spans="1:9">
      <c r="A16" t="s">
        <v>3</v>
      </c>
      <c r="B16">
        <f ca="1">SUM(B13:D15)</f>
        <v>84</v>
      </c>
      <c r="F16" t="s">
        <v>3</v>
      </c>
      <c r="G16">
        <f ca="1">SUM(G13:I15)</f>
        <v>120</v>
      </c>
    </row>
    <row r="17" spans="1:9">
      <c r="A17" t="s">
        <v>4</v>
      </c>
      <c r="B17">
        <f ca="1">(B13+C14+D15)/B16</f>
        <v>0.90476190476190477</v>
      </c>
      <c r="F17" t="s">
        <v>4</v>
      </c>
      <c r="G17">
        <f ca="1">(G13+H14+I15)/G16</f>
        <v>0.85</v>
      </c>
    </row>
    <row r="18" spans="1:9">
      <c r="A18" t="s">
        <v>5</v>
      </c>
      <c r="B18">
        <f ca="1">((SUM(B13:D13)*SUM(B13:B15))+(SUM(B14:D14)*SUM(C13:C15))+(SUM(B15:D15)*SUM(D13:D15)))/(B16^2)</f>
        <v>0.59495464852607705</v>
      </c>
      <c r="F18" t="s">
        <v>5</v>
      </c>
      <c r="G18">
        <f ca="1">((SUM(G13:I13)*SUM(G13:G15))+(SUM(G14:I14)*SUM(H13:H15))+(SUM(G15:I15)*SUM(I13:I15)))/(G16^2)</f>
        <v>0.53888888888888886</v>
      </c>
    </row>
    <row r="19" spans="1:9">
      <c r="A19" t="s">
        <v>6</v>
      </c>
      <c r="B19">
        <f ca="1">(B17-B18)/(1-B18)</f>
        <v>0.76487053883834855</v>
      </c>
      <c r="F19" t="s">
        <v>6</v>
      </c>
      <c r="G19">
        <f ca="1">(G17-G18)/(1-G18)</f>
        <v>0.67469879518072284</v>
      </c>
    </row>
    <row r="21" spans="1:9">
      <c r="A21" t="s">
        <v>9</v>
      </c>
      <c r="F21" t="s">
        <v>10</v>
      </c>
    </row>
    <row r="22" spans="1:9">
      <c r="B22" t="b">
        <v>1</v>
      </c>
      <c r="C22" t="b">
        <v>0</v>
      </c>
      <c r="D22" t="s">
        <v>2</v>
      </c>
      <c r="G22" t="b">
        <v>1</v>
      </c>
      <c r="H22" t="b">
        <v>0</v>
      </c>
      <c r="I22" t="s">
        <v>2</v>
      </c>
    </row>
    <row r="23" spans="1:9">
      <c r="A23" t="b">
        <v>1</v>
      </c>
      <c r="B23">
        <f ca="1">COUNTIFS(INDIRECT(A21 &amp; "!$C$2:$C$121"),TRUE, INDIRECT(A21 &amp; "!$E$2:$E$121"),TRUE)</f>
        <v>28</v>
      </c>
      <c r="C23">
        <f ca="1">COUNTIFS(INDIRECT(A21 &amp; "!$C$2:$C$121"),TRUE, INDIRECT(A21 &amp; "!$E$2:$E$121"),FALSE)</f>
        <v>0</v>
      </c>
      <c r="D23">
        <f ca="1">COUNTIFS(INDIRECT(A21 &amp; "!$C$2:$C$121"),TRUE, INDIRECT(A21 &amp; "!$E$2:$E$121"),"half true")</f>
        <v>0</v>
      </c>
      <c r="F23" t="b">
        <v>1</v>
      </c>
      <c r="G23">
        <f ca="1">COUNTIFS(INDIRECT(F21 &amp; "!$C$2:$C$121"),TRUE, INDIRECT(F21 &amp; "!$E$2:$E$121"),TRUE)</f>
        <v>49</v>
      </c>
      <c r="H23">
        <f ca="1">COUNTIFS(INDIRECT(F21 &amp; "!$C$2:$C$121"),TRUE, INDIRECT(F21 &amp; "!$E$2:$E$121"),FALSE)</f>
        <v>0</v>
      </c>
      <c r="I23">
        <f ca="1">COUNTIFS(INDIRECT(F21 &amp; "!$C$2:$C$121"),TRUE, INDIRECT(F21 &amp; "!$E$2:$E$121"),"half true")</f>
        <v>0</v>
      </c>
    </row>
    <row r="24" spans="1:9">
      <c r="A24" t="b">
        <v>0</v>
      </c>
      <c r="B24">
        <f ca="1">COUNTIFS(INDIRECT(A21 &amp; "!$C$2:$C$121"),FALSE, INDIRECT(A21 &amp; "!$E$2:$E$121"),TRUE)</f>
        <v>0</v>
      </c>
      <c r="C24">
        <f ca="1">COUNTIFS(INDIRECT(A21 &amp; "!$C$2:$C$121"),FALSE, INDIRECT(A21 &amp; "!$E$2:$E$121"),FALSE)</f>
        <v>8</v>
      </c>
      <c r="D24">
        <f ca="1">COUNTIFS(INDIRECT(A21 &amp; "!$C$2:$C$121"),FALSE, INDIRECT(A21 &amp; "!$E$2:$E$121"),"half true")</f>
        <v>0</v>
      </c>
      <c r="F24" t="b">
        <v>0</v>
      </c>
      <c r="G24">
        <f ca="1">COUNTIFS(INDIRECT(F21 &amp; "!$C$2:$C$121"),FALSE, INDIRECT(F21 &amp; "!$E$2:$E$121"),TRUE)</f>
        <v>0</v>
      </c>
      <c r="H24">
        <f ca="1">COUNTIFS(INDIRECT(F21 &amp; "!$C$2:$C$121"),FALSE, INDIRECT(F21 &amp; "!$E$2:$E$121"),FALSE)</f>
        <v>6</v>
      </c>
      <c r="I24">
        <f ca="1">COUNTIFS(INDIRECT(F21 &amp; "!$C$2:$C$121"),FALSE, INDIRECT(F21 &amp; "!$E$2:$E$121"),"half true")</f>
        <v>0</v>
      </c>
    </row>
    <row r="25" spans="1:9">
      <c r="A25" t="s">
        <v>2</v>
      </c>
      <c r="B25">
        <f ca="1">COUNTIFS(INDIRECT(A21 &amp; "!$C$2:$C$121"),"half true", INDIRECT(A21 &amp; "!$E$2:$E$121"),TRUE)</f>
        <v>0</v>
      </c>
      <c r="C25">
        <f ca="1">COUNTIFS(INDIRECT(A21 &amp; "!$C$2:$C$121"),"half true", INDIRECT(A21 &amp; "!$E$2:$E$121"),FALSE)</f>
        <v>0</v>
      </c>
      <c r="D25">
        <f ca="1">COUNTIFS(INDIRECT(A21 &amp; "!$C$2:$C$121"),"half true", INDIRECT(A21 &amp; "!$E$2:$E$121"),"half true")</f>
        <v>0</v>
      </c>
      <c r="F25" t="s">
        <v>2</v>
      </c>
      <c r="G25">
        <f ca="1">COUNTIFS(INDIRECT(F21 &amp; "!$C$2:$C$121"),"half true", INDIRECT(F21 &amp; "!$E$2:$E$121"),TRUE)</f>
        <v>0</v>
      </c>
      <c r="H25">
        <f ca="1">COUNTIFS(INDIRECT(F21 &amp; "!$C$2:$C$121"),"half true", INDIRECT(F21 &amp; "!$E$2:$E$121"),FALSE)</f>
        <v>5</v>
      </c>
      <c r="I25">
        <f ca="1">COUNTIFS(INDIRECT(F21 &amp; "!$C$2:$C$121"),"half true", INDIRECT(F21 &amp; "!$E$2:$E$121"),"half true")</f>
        <v>0</v>
      </c>
    </row>
    <row r="26" spans="1:9">
      <c r="A26" t="s">
        <v>3</v>
      </c>
      <c r="B26">
        <f ca="1">SUM(B23:D25)</f>
        <v>36</v>
      </c>
      <c r="F26" t="s">
        <v>3</v>
      </c>
      <c r="G26">
        <f ca="1">SUM(G23:I25)</f>
        <v>60</v>
      </c>
    </row>
    <row r="27" spans="1:9">
      <c r="A27" t="s">
        <v>4</v>
      </c>
      <c r="B27">
        <f ca="1">(B23+C24+D25)/B26</f>
        <v>1</v>
      </c>
      <c r="F27" t="s">
        <v>4</v>
      </c>
      <c r="G27">
        <f ca="1">(G23+H24+I25)/G26</f>
        <v>0.91666666666666663</v>
      </c>
    </row>
    <row r="28" spans="1:9">
      <c r="A28" t="s">
        <v>5</v>
      </c>
      <c r="B28">
        <f ca="1">((SUM(B23:D23)*SUM(B23:B25))+(SUM(B24:D24)*SUM(C23:C25))+(SUM(B25:D25)*SUM(D23:D25)))/(B26^2)</f>
        <v>0.65432098765432101</v>
      </c>
      <c r="F28" t="s">
        <v>5</v>
      </c>
      <c r="G28">
        <f ca="1">((SUM(G23:I23)*SUM(G23:G25))+(SUM(G24:I24)*SUM(H23:H25))+(SUM(G25:I25)*SUM(I23:I25)))/(G26^2)</f>
        <v>0.68527777777777776</v>
      </c>
    </row>
    <row r="29" spans="1:9">
      <c r="A29" t="s">
        <v>6</v>
      </c>
      <c r="B29">
        <f ca="1">(B27-B28)/(1-B28)</f>
        <v>1</v>
      </c>
      <c r="F29" t="s">
        <v>6</v>
      </c>
      <c r="G29">
        <f ca="1">(G27-G28)/(1-G28)</f>
        <v>0.73521624007060893</v>
      </c>
    </row>
    <row r="31" spans="1:9">
      <c r="A31" t="s">
        <v>11</v>
      </c>
      <c r="F31" t="s">
        <v>12</v>
      </c>
    </row>
    <row r="32" spans="1:9">
      <c r="B32" t="b">
        <v>1</v>
      </c>
      <c r="C32" t="b">
        <v>0</v>
      </c>
      <c r="D32" t="s">
        <v>2</v>
      </c>
      <c r="G32" t="b">
        <v>1</v>
      </c>
      <c r="H32" t="b">
        <v>0</v>
      </c>
      <c r="I32" t="s">
        <v>2</v>
      </c>
    </row>
    <row r="33" spans="1:9">
      <c r="A33" t="b">
        <v>1</v>
      </c>
      <c r="B33">
        <f ca="1">COUNTIFS(INDIRECT(A31 &amp; "!$C$2:$C$121"),TRUE, INDIRECT(A31 &amp; "!$E$2:$E$121"),TRUE)</f>
        <v>65</v>
      </c>
      <c r="C33">
        <f ca="1">COUNTIFS(INDIRECT(A31 &amp; "!$C$2:$C$121"),TRUE, INDIRECT(A31 &amp; "!$E$2:$E$121"),FALSE)</f>
        <v>0</v>
      </c>
      <c r="D33">
        <f ca="1">COUNTIFS(INDIRECT(A31 &amp; "!$C$2:$C$121"),TRUE, INDIRECT(A31 &amp; "!$E$2:$E$121"),"half true")</f>
        <v>0</v>
      </c>
      <c r="F33" t="b">
        <v>1</v>
      </c>
      <c r="G33">
        <f ca="1">COUNTIFS(INDIRECT(F31 &amp; "!$C$2:$C$121"),TRUE, INDIRECT(F31 &amp; "!$E$2:$E$121"),TRUE)</f>
        <v>93</v>
      </c>
      <c r="H33">
        <f ca="1">COUNTIFS(INDIRECT(F31 &amp; "!$C$2:$C$121"),TRUE, INDIRECT(F31 &amp; "!$E$2:$E$121"),FALSE)</f>
        <v>0</v>
      </c>
      <c r="I33">
        <f ca="1">COUNTIFS(INDIRECT(F31 &amp; "!$C$2:$C$121"),TRUE, INDIRECT(F31 &amp; "!$E$2:$E$121"),"half true")</f>
        <v>0</v>
      </c>
    </row>
    <row r="34" spans="1:9">
      <c r="A34" t="b">
        <v>0</v>
      </c>
      <c r="B34">
        <f ca="1">COUNTIFS(INDIRECT(A31 &amp; "!$C$2:$C$121"),FALSE, INDIRECT(A31 &amp; "!$E$2:$E$121"),TRUE)</f>
        <v>0</v>
      </c>
      <c r="C34">
        <f ca="1">COUNTIFS(INDIRECT(A31 &amp; "!$C$2:$C$121"),FALSE, INDIRECT(A31 &amp; "!$E$2:$E$121"),FALSE)</f>
        <v>19</v>
      </c>
      <c r="D34">
        <f ca="1">COUNTIFS(INDIRECT(A31 &amp; "!$C$2:$C$121"),FALSE, INDIRECT(A31 &amp; "!$E$2:$E$121"),"half true")</f>
        <v>0</v>
      </c>
      <c r="F34" t="b">
        <v>0</v>
      </c>
      <c r="G34">
        <f ca="1">COUNTIFS(INDIRECT(F31 &amp; "!$C$2:$C$121"),FALSE, INDIRECT(F31 &amp; "!$E$2:$E$121"),TRUE)</f>
        <v>0</v>
      </c>
      <c r="H34">
        <f ca="1">COUNTIFS(INDIRECT(F31 &amp; "!$C$2:$C$121"),FALSE, INDIRECT(F31 &amp; "!$E$2:$E$121"),FALSE)</f>
        <v>19</v>
      </c>
      <c r="I34">
        <f ca="1">COUNTIFS(INDIRECT(F31 &amp; "!$C$2:$C$121"),FALSE, INDIRECT(F31 &amp; "!$E$2:$E$121"),"half true")</f>
        <v>0</v>
      </c>
    </row>
    <row r="35" spans="1:9">
      <c r="A35" t="s">
        <v>2</v>
      </c>
      <c r="B35">
        <f ca="1">COUNTIFS(INDIRECT(A31 &amp; "!$C$2:$C$121"),"half true", INDIRECT(A31 &amp; "!$E$2:$E$121"),TRUE)</f>
        <v>0</v>
      </c>
      <c r="C35">
        <f ca="1">COUNTIFS(INDIRECT(A31 &amp; "!$C$2:$C$121"),"half true", INDIRECT(A31 &amp; "!$E$2:$E$121"),FALSE)</f>
        <v>0</v>
      </c>
      <c r="D35">
        <f ca="1">COUNTIFS(INDIRECT(A31 &amp; "!$C$2:$C$121"),"half true", INDIRECT(A31 &amp; "!$E$2:$E$121"),"half true")</f>
        <v>0</v>
      </c>
      <c r="F35" t="s">
        <v>2</v>
      </c>
      <c r="G35">
        <f ca="1">COUNTIFS(INDIRECT(F31 &amp; "!$C$2:$C$121"),"half true", INDIRECT(F31 &amp; "!$E$2:$E$121"),TRUE)</f>
        <v>0</v>
      </c>
      <c r="H35">
        <f ca="1">COUNTIFS(INDIRECT(F31 &amp; "!$C$2:$C$121"),"half true", INDIRECT(F31 &amp; "!$E$2:$E$121"),FALSE)</f>
        <v>8</v>
      </c>
      <c r="I35">
        <f ca="1">COUNTIFS(INDIRECT(F31 &amp; "!$C$2:$C$121"),"half true", INDIRECT(F31 &amp; "!$E$2:$E$121"),"half true")</f>
        <v>0</v>
      </c>
    </row>
    <row r="36" spans="1:9">
      <c r="A36" t="s">
        <v>3</v>
      </c>
      <c r="B36">
        <f ca="1">SUM(B33:D35)</f>
        <v>84</v>
      </c>
      <c r="F36" t="s">
        <v>3</v>
      </c>
      <c r="G36">
        <f ca="1">SUM(G33:I35)</f>
        <v>120</v>
      </c>
    </row>
    <row r="37" spans="1:9">
      <c r="A37" t="s">
        <v>4</v>
      </c>
      <c r="B37">
        <f ca="1">(B33+C34+D35)/B36</f>
        <v>1</v>
      </c>
      <c r="F37" t="s">
        <v>4</v>
      </c>
      <c r="G37">
        <f ca="1">(G33+H34+I35)/G36</f>
        <v>0.93333333333333335</v>
      </c>
    </row>
    <row r="38" spans="1:9">
      <c r="A38" t="s">
        <v>5</v>
      </c>
      <c r="B38">
        <f ca="1">((SUM(B33:D33)*SUM(B33:B35))+(SUM(B34:D34)*SUM(C33:C35))+(SUM(B35:D35)*SUM(D33:D35)))/(B36^2)</f>
        <v>0.64994331065759636</v>
      </c>
      <c r="F38" t="s">
        <v>5</v>
      </c>
      <c r="G38">
        <f ca="1">((SUM(G33:I33)*SUM(G33:G35))+(SUM(G34:I34)*SUM(H33:H35))+(SUM(G35:I35)*SUM(I33:I35)))/(G36^2)</f>
        <v>0.63624999999999998</v>
      </c>
    </row>
    <row r="39" spans="1:9">
      <c r="A39" t="s">
        <v>6</v>
      </c>
      <c r="B39">
        <f ca="1">(B37-B38)/(1-B38)</f>
        <v>1</v>
      </c>
      <c r="F39" t="s">
        <v>6</v>
      </c>
      <c r="G39">
        <f ca="1">(G37-G38)/(1-G38)</f>
        <v>0.81672394043528074</v>
      </c>
    </row>
    <row r="41" spans="1:9">
      <c r="A41" t="s">
        <v>13</v>
      </c>
    </row>
    <row r="42" spans="1:9">
      <c r="B42" t="b">
        <v>1</v>
      </c>
      <c r="C42" t="b">
        <v>0</v>
      </c>
      <c r="D42" t="s">
        <v>2</v>
      </c>
    </row>
    <row r="43" spans="1:9">
      <c r="A43" t="b">
        <v>1</v>
      </c>
      <c r="B43">
        <f ca="1">B3+G3+B13+G13+B23+G23+B33+G33</f>
        <v>460</v>
      </c>
      <c r="C43">
        <f t="shared" ref="C43:D45" ca="1" si="0">C3+H3+C13+H13+C23+H23+C33+H33</f>
        <v>0</v>
      </c>
      <c r="D43">
        <f t="shared" ca="1" si="0"/>
        <v>0</v>
      </c>
    </row>
    <row r="44" spans="1:9">
      <c r="A44" t="b">
        <v>0</v>
      </c>
      <c r="B44">
        <f t="shared" ref="B44:B45" ca="1" si="1">B4+G4+B14+G14+B24+G24+B34+G34</f>
        <v>0</v>
      </c>
      <c r="C44">
        <f t="shared" ca="1" si="0"/>
        <v>89</v>
      </c>
      <c r="D44">
        <f t="shared" ca="1" si="0"/>
        <v>0</v>
      </c>
    </row>
    <row r="45" spans="1:9">
      <c r="A45" t="s">
        <v>2</v>
      </c>
      <c r="B45">
        <f t="shared" ca="1" si="1"/>
        <v>0</v>
      </c>
      <c r="C45">
        <f t="shared" ca="1" si="0"/>
        <v>46</v>
      </c>
      <c r="D45">
        <f t="shared" ca="1" si="0"/>
        <v>5</v>
      </c>
    </row>
    <row r="46" spans="1:9">
      <c r="A46" t="s">
        <v>3</v>
      </c>
      <c r="B46">
        <f ca="1">SUM(B43:D45)</f>
        <v>600</v>
      </c>
    </row>
    <row r="47" spans="1:9">
      <c r="A47" t="s">
        <v>4</v>
      </c>
      <c r="B47">
        <f ca="1">(B43+C44+D45)/B46</f>
        <v>0.92333333333333334</v>
      </c>
    </row>
    <row r="48" spans="1:9">
      <c r="A48" t="s">
        <v>5</v>
      </c>
      <c r="B48">
        <f ca="1">((SUM(B43:D43)*SUM(B43:B45))+(SUM(B44:D44)*SUM(C43:C45))+(SUM(B45:D45)*SUM(D43:D45)))/(B46^2)</f>
        <v>0.62186111111111109</v>
      </c>
    </row>
    <row r="49" spans="1:9">
      <c r="A49" t="s">
        <v>6</v>
      </c>
      <c r="B49">
        <f ca="1">(B47-B48)/(1-B48)</f>
        <v>0.79725262616616477</v>
      </c>
    </row>
    <row r="51" spans="1:9">
      <c r="A51" t="s">
        <v>14</v>
      </c>
      <c r="F51" t="s">
        <v>15</v>
      </c>
    </row>
    <row r="52" spans="1:9">
      <c r="B52" t="b">
        <v>1</v>
      </c>
      <c r="C52" t="b">
        <v>0</v>
      </c>
      <c r="D52" t="s">
        <v>2</v>
      </c>
      <c r="G52" t="b">
        <v>1</v>
      </c>
      <c r="H52" t="b">
        <v>0</v>
      </c>
      <c r="I52" t="s">
        <v>2</v>
      </c>
    </row>
    <row r="53" spans="1:9">
      <c r="A53" t="b">
        <v>1</v>
      </c>
      <c r="B53">
        <f ca="1">B23+G23+B33+G33</f>
        <v>235</v>
      </c>
      <c r="C53">
        <f t="shared" ref="C53:D55" ca="1" si="2">C23+H23+C33+H33</f>
        <v>0</v>
      </c>
      <c r="D53">
        <f t="shared" ca="1" si="2"/>
        <v>0</v>
      </c>
      <c r="F53" t="b">
        <v>1</v>
      </c>
      <c r="G53">
        <f ca="1">B3+G3+B13+G13</f>
        <v>225</v>
      </c>
      <c r="H53">
        <f t="shared" ref="H53:I55" ca="1" si="3">C3+H3+C13+H13</f>
        <v>0</v>
      </c>
      <c r="I53">
        <f t="shared" ca="1" si="3"/>
        <v>0</v>
      </c>
    </row>
    <row r="54" spans="1:9">
      <c r="A54" t="b">
        <v>0</v>
      </c>
      <c r="B54">
        <f t="shared" ref="B54:B55" ca="1" si="4">B24+G24+B34+G34</f>
        <v>0</v>
      </c>
      <c r="C54">
        <f t="shared" ca="1" si="2"/>
        <v>52</v>
      </c>
      <c r="D54">
        <f t="shared" ca="1" si="2"/>
        <v>0</v>
      </c>
      <c r="F54" t="b">
        <v>0</v>
      </c>
      <c r="G54">
        <f t="shared" ref="G54:G55" ca="1" si="5">B4+G4+B14+G14</f>
        <v>0</v>
      </c>
      <c r="H54">
        <f t="shared" ca="1" si="3"/>
        <v>37</v>
      </c>
      <c r="I54">
        <f t="shared" ca="1" si="3"/>
        <v>0</v>
      </c>
    </row>
    <row r="55" spans="1:9">
      <c r="A55" t="s">
        <v>2</v>
      </c>
      <c r="B55">
        <f t="shared" ca="1" si="4"/>
        <v>0</v>
      </c>
      <c r="C55">
        <f t="shared" ca="1" si="2"/>
        <v>13</v>
      </c>
      <c r="D55">
        <f t="shared" ca="1" si="2"/>
        <v>0</v>
      </c>
      <c r="F55" t="s">
        <v>2</v>
      </c>
      <c r="G55">
        <f t="shared" ca="1" si="5"/>
        <v>0</v>
      </c>
      <c r="H55">
        <f t="shared" ca="1" si="3"/>
        <v>33</v>
      </c>
      <c r="I55">
        <f t="shared" ca="1" si="3"/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zoomScale="80" zoomScaleNormal="80" workbookViewId="0">
      <selection activeCell="B6" sqref="B6"/>
    </sheetView>
  </sheetViews>
  <sheetFormatPr defaultColWidth="8.5703125" defaultRowHeight="15"/>
  <cols>
    <col min="1" max="1" width="45.140625" customWidth="1"/>
    <col min="2" max="2" width="36.855468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26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32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38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32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49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s">
        <v>2</v>
      </c>
    </row>
    <row r="18" spans="1:5">
      <c r="A18" t="s">
        <v>52</v>
      </c>
      <c r="B18" t="s">
        <v>53</v>
      </c>
      <c r="C18" t="b">
        <f>TRUE()</f>
        <v>1</v>
      </c>
      <c r="E18" t="b">
        <f>TRUE()</f>
        <v>1</v>
      </c>
    </row>
    <row r="19" spans="1:5">
      <c r="A19" t="s">
        <v>54</v>
      </c>
      <c r="B19" t="s">
        <v>32</v>
      </c>
      <c r="C19" t="b">
        <f>TRUE()</f>
        <v>1</v>
      </c>
      <c r="E19" t="b">
        <f>TRUE()</f>
        <v>1</v>
      </c>
    </row>
    <row r="20" spans="1:5">
      <c r="A20" t="s">
        <v>55</v>
      </c>
      <c r="B20" t="s">
        <v>56</v>
      </c>
      <c r="C20" t="b">
        <f>TRUE()</f>
        <v>1</v>
      </c>
      <c r="E20" t="b">
        <f>TRUE()</f>
        <v>1</v>
      </c>
    </row>
    <row r="21" spans="1:5">
      <c r="A21" t="s">
        <v>57</v>
      </c>
      <c r="B21" t="s">
        <v>58</v>
      </c>
      <c r="C21" t="b">
        <f>TRUE()</f>
        <v>1</v>
      </c>
      <c r="E21" t="b">
        <f>TRUE()</f>
        <v>1</v>
      </c>
    </row>
    <row r="22" spans="1:5">
      <c r="A22" t="s">
        <v>59</v>
      </c>
      <c r="B22" t="s">
        <v>60</v>
      </c>
      <c r="C22" t="b">
        <f>FALSE()</f>
        <v>0</v>
      </c>
      <c r="E22" t="b">
        <f>FALSE()</f>
        <v>0</v>
      </c>
    </row>
    <row r="23" spans="1:5">
      <c r="A23" t="s">
        <v>61</v>
      </c>
      <c r="B23" t="s">
        <v>62</v>
      </c>
      <c r="C23" t="b">
        <f>FALSE()</f>
        <v>0</v>
      </c>
      <c r="E23" t="b">
        <f>FALSE()</f>
        <v>0</v>
      </c>
    </row>
    <row r="24" spans="1:5">
      <c r="A24" t="s">
        <v>63</v>
      </c>
      <c r="B24" t="s">
        <v>64</v>
      </c>
      <c r="C24" t="b">
        <f>TRUE()</f>
        <v>1</v>
      </c>
      <c r="E24" t="b">
        <f>TRUE()</f>
        <v>1</v>
      </c>
    </row>
    <row r="25" spans="1:5">
      <c r="A25" t="s">
        <v>65</v>
      </c>
      <c r="B25" t="s">
        <v>66</v>
      </c>
      <c r="C25" t="b">
        <f>FALSE()</f>
        <v>0</v>
      </c>
      <c r="E25" t="b">
        <f>FALSE()</f>
        <v>0</v>
      </c>
    </row>
    <row r="26" spans="1:5">
      <c r="A26" t="s">
        <v>67</v>
      </c>
      <c r="B26" t="s">
        <v>68</v>
      </c>
      <c r="C26" t="b">
        <f>TRUE()</f>
        <v>1</v>
      </c>
      <c r="E26" t="b">
        <f>TRUE()</f>
        <v>1</v>
      </c>
    </row>
    <row r="27" spans="1:5">
      <c r="A27" t="s">
        <v>69</v>
      </c>
      <c r="B27" t="s">
        <v>70</v>
      </c>
      <c r="C27" t="b">
        <f>TRUE()</f>
        <v>1</v>
      </c>
      <c r="E27" t="b">
        <f>TRUE()</f>
        <v>1</v>
      </c>
    </row>
    <row r="28" spans="1:5">
      <c r="A28" t="s">
        <v>71</v>
      </c>
      <c r="B28" t="s">
        <v>72</v>
      </c>
      <c r="C28" t="b">
        <f>TRUE()</f>
        <v>1</v>
      </c>
      <c r="E28" t="b">
        <f>TRUE()</f>
        <v>1</v>
      </c>
    </row>
    <row r="29" spans="1:5">
      <c r="A29" t="s">
        <v>73</v>
      </c>
      <c r="B29" t="s">
        <v>74</v>
      </c>
      <c r="C29" t="b">
        <f>TRUE()</f>
        <v>1</v>
      </c>
      <c r="E29" t="b">
        <f>TRUE()</f>
        <v>1</v>
      </c>
    </row>
    <row r="30" spans="1:5">
      <c r="A30" t="s">
        <v>75</v>
      </c>
      <c r="B30" t="s">
        <v>76</v>
      </c>
      <c r="C30" t="b">
        <f>TRUE()</f>
        <v>1</v>
      </c>
      <c r="E30" t="b">
        <f>TRUE()</f>
        <v>1</v>
      </c>
    </row>
    <row r="31" spans="1:5">
      <c r="A31" t="s">
        <v>77</v>
      </c>
      <c r="B31" t="s">
        <v>78</v>
      </c>
      <c r="C31" t="b">
        <f>TRUE()</f>
        <v>1</v>
      </c>
      <c r="E31" t="b">
        <f>TRUE()</f>
        <v>1</v>
      </c>
    </row>
    <row r="32" spans="1:5">
      <c r="A32" t="s">
        <v>79</v>
      </c>
      <c r="B32" t="s">
        <v>80</v>
      </c>
      <c r="C32" t="b">
        <f>TRUE()</f>
        <v>1</v>
      </c>
      <c r="E32" t="b">
        <f>TRUE()</f>
        <v>1</v>
      </c>
    </row>
    <row r="33" spans="1:5">
      <c r="A33" t="s">
        <v>81</v>
      </c>
      <c r="B33" t="s">
        <v>82</v>
      </c>
      <c r="C33" t="b">
        <f>TRUE()</f>
        <v>1</v>
      </c>
      <c r="E33" t="b">
        <f>TRUE()</f>
        <v>1</v>
      </c>
    </row>
    <row r="34" spans="1:5">
      <c r="A34" t="s">
        <v>83</v>
      </c>
      <c r="B34" t="s">
        <v>84</v>
      </c>
      <c r="C34" t="b">
        <f>TRUE()</f>
        <v>1</v>
      </c>
      <c r="E34" t="b">
        <f>TRUE()</f>
        <v>1</v>
      </c>
    </row>
    <row r="35" spans="1:5">
      <c r="A35" t="s">
        <v>85</v>
      </c>
      <c r="B35" t="s">
        <v>86</v>
      </c>
      <c r="C35" t="b">
        <f>TRUE()</f>
        <v>1</v>
      </c>
      <c r="E35" t="b">
        <f>TRUE()</f>
        <v>1</v>
      </c>
    </row>
    <row r="36" spans="1:5">
      <c r="A36" t="s">
        <v>87</v>
      </c>
      <c r="B36" t="s">
        <v>88</v>
      </c>
      <c r="C36" t="b">
        <f>TRUE()</f>
        <v>1</v>
      </c>
      <c r="E36" t="b">
        <f>TRUE()</f>
        <v>1</v>
      </c>
    </row>
    <row r="37" spans="1:5">
      <c r="A37" t="s">
        <v>89</v>
      </c>
      <c r="B37" t="s">
        <v>32</v>
      </c>
      <c r="C37" t="b">
        <f>TRUE()</f>
        <v>1</v>
      </c>
      <c r="E37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topLeftCell="A43" zoomScale="80" zoomScaleNormal="80" workbookViewId="0">
      <selection activeCell="B47" sqref="B47"/>
    </sheetView>
  </sheetViews>
  <sheetFormatPr defaultColWidth="8.5703125" defaultRowHeight="15"/>
  <cols>
    <col min="1" max="1" width="45" customWidth="1"/>
    <col min="2" max="2" width="31.5703125" customWidth="1"/>
    <col min="5" max="5" width="12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90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91</v>
      </c>
      <c r="C6" t="s">
        <v>2</v>
      </c>
      <c r="E6" t="b">
        <v>0</v>
      </c>
    </row>
    <row r="7" spans="1:5">
      <c r="A7" t="s">
        <v>31</v>
      </c>
      <c r="B7" t="s">
        <v>92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94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95</v>
      </c>
      <c r="C12" t="s">
        <v>2</v>
      </c>
      <c r="E12" t="b">
        <v>0</v>
      </c>
    </row>
    <row r="13" spans="1:5">
      <c r="A13" t="s">
        <v>43</v>
      </c>
      <c r="B13" t="s">
        <v>96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97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b">
        <v>0</v>
      </c>
    </row>
    <row r="18" spans="1:5">
      <c r="A18" t="s">
        <v>52</v>
      </c>
      <c r="B18" t="s">
        <v>98</v>
      </c>
      <c r="C18" t="s">
        <v>2</v>
      </c>
      <c r="E18" t="b">
        <v>0</v>
      </c>
    </row>
    <row r="19" spans="1:5">
      <c r="A19" t="s">
        <v>54</v>
      </c>
      <c r="B19" t="s">
        <v>99</v>
      </c>
      <c r="C19" t="b">
        <f>TRUE()</f>
        <v>1</v>
      </c>
      <c r="E19" t="b">
        <f>TRUE()</f>
        <v>1</v>
      </c>
    </row>
    <row r="20" spans="1:5">
      <c r="A20" t="s">
        <v>100</v>
      </c>
      <c r="B20" t="s">
        <v>101</v>
      </c>
      <c r="C20" t="b">
        <f>TRUE()</f>
        <v>1</v>
      </c>
      <c r="E20" t="b">
        <f>TRUE()</f>
        <v>1</v>
      </c>
    </row>
    <row r="21" spans="1:5">
      <c r="A21" t="s">
        <v>102</v>
      </c>
      <c r="B21" t="s">
        <v>103</v>
      </c>
      <c r="C21" t="b">
        <f>TRUE()</f>
        <v>1</v>
      </c>
      <c r="E21" t="b">
        <f>TRUE()</f>
        <v>1</v>
      </c>
    </row>
    <row r="22" spans="1:5">
      <c r="A22" t="s">
        <v>104</v>
      </c>
      <c r="B22" t="s">
        <v>105</v>
      </c>
      <c r="C22" t="b">
        <f>TRUE()</f>
        <v>1</v>
      </c>
      <c r="E22" t="b">
        <f>TRUE()</f>
        <v>1</v>
      </c>
    </row>
    <row r="23" spans="1:5">
      <c r="A23" t="s">
        <v>106</v>
      </c>
      <c r="B23" t="s">
        <v>107</v>
      </c>
      <c r="C23" t="b">
        <f>TRUE()</f>
        <v>1</v>
      </c>
      <c r="E23" t="b">
        <f>TRUE()</f>
        <v>1</v>
      </c>
    </row>
    <row r="24" spans="1:5">
      <c r="A24" t="s">
        <v>108</v>
      </c>
      <c r="B24" t="s">
        <v>109</v>
      </c>
      <c r="C24" t="b">
        <f>TRUE()</f>
        <v>1</v>
      </c>
      <c r="E24" t="b">
        <f>TRUE()</f>
        <v>1</v>
      </c>
    </row>
    <row r="25" spans="1:5">
      <c r="A25" t="s">
        <v>110</v>
      </c>
      <c r="B25" t="s">
        <v>111</v>
      </c>
      <c r="C25" t="b">
        <f>TRUE()</f>
        <v>1</v>
      </c>
      <c r="E25" t="b">
        <f>TRUE()</f>
        <v>1</v>
      </c>
    </row>
    <row r="26" spans="1:5">
      <c r="A26" t="s">
        <v>112</v>
      </c>
      <c r="B26" t="s">
        <v>113</v>
      </c>
      <c r="C26" t="b">
        <f>TRUE()</f>
        <v>1</v>
      </c>
      <c r="E26" t="b">
        <f>TRUE()</f>
        <v>1</v>
      </c>
    </row>
    <row r="27" spans="1:5">
      <c r="A27" t="s">
        <v>114</v>
      </c>
      <c r="B27" t="s">
        <v>115</v>
      </c>
      <c r="C27" t="b">
        <f>TRUE()</f>
        <v>1</v>
      </c>
      <c r="E27" t="b">
        <f>TRUE()</f>
        <v>1</v>
      </c>
    </row>
    <row r="28" spans="1:5">
      <c r="A28" t="s">
        <v>116</v>
      </c>
      <c r="B28" t="s">
        <v>117</v>
      </c>
      <c r="C28" t="b">
        <f>TRUE()</f>
        <v>1</v>
      </c>
      <c r="E28" t="b">
        <f>TRUE()</f>
        <v>1</v>
      </c>
    </row>
    <row r="29" spans="1:5">
      <c r="A29" t="s">
        <v>118</v>
      </c>
      <c r="B29" t="s">
        <v>119</v>
      </c>
      <c r="C29" t="s">
        <v>2</v>
      </c>
      <c r="E29" t="b">
        <v>0</v>
      </c>
    </row>
    <row r="30" spans="1:5">
      <c r="A30" t="s">
        <v>120</v>
      </c>
      <c r="B30" t="s">
        <v>121</v>
      </c>
      <c r="C30" t="s">
        <v>2</v>
      </c>
      <c r="E30" t="b">
        <v>0</v>
      </c>
    </row>
    <row r="31" spans="1:5">
      <c r="A31" t="s">
        <v>122</v>
      </c>
      <c r="B31" t="s">
        <v>123</v>
      </c>
      <c r="C31" t="b">
        <f>TRUE()</f>
        <v>1</v>
      </c>
      <c r="E31" t="b">
        <f>TRUE()</f>
        <v>1</v>
      </c>
    </row>
    <row r="32" spans="1:5">
      <c r="A32" t="s">
        <v>55</v>
      </c>
      <c r="B32" t="s">
        <v>56</v>
      </c>
      <c r="C32" t="b">
        <f>TRUE()</f>
        <v>1</v>
      </c>
      <c r="E32" t="b">
        <f>TRUE()</f>
        <v>1</v>
      </c>
    </row>
    <row r="33" spans="1:5">
      <c r="A33" t="s">
        <v>57</v>
      </c>
      <c r="B33" t="s">
        <v>58</v>
      </c>
      <c r="C33" t="b">
        <f>TRUE()</f>
        <v>1</v>
      </c>
      <c r="E33" t="b">
        <f>TRUE()</f>
        <v>1</v>
      </c>
    </row>
    <row r="34" spans="1:5">
      <c r="A34" t="s">
        <v>59</v>
      </c>
      <c r="B34" t="s">
        <v>60</v>
      </c>
      <c r="C34" t="b">
        <f>FALSE()</f>
        <v>0</v>
      </c>
      <c r="E34" t="b">
        <f>FALSE()</f>
        <v>0</v>
      </c>
    </row>
    <row r="35" spans="1:5">
      <c r="A35" t="s">
        <v>61</v>
      </c>
      <c r="B35" t="s">
        <v>62</v>
      </c>
      <c r="C35" t="b">
        <f>FALSE()</f>
        <v>0</v>
      </c>
      <c r="E35" t="b">
        <f>FALSE()</f>
        <v>0</v>
      </c>
    </row>
    <row r="36" spans="1:5">
      <c r="A36" t="s">
        <v>63</v>
      </c>
      <c r="B36" t="s">
        <v>95</v>
      </c>
      <c r="C36" t="b">
        <f>TRUE()</f>
        <v>1</v>
      </c>
      <c r="E36" t="b">
        <f>TRUE()</f>
        <v>1</v>
      </c>
    </row>
    <row r="37" spans="1:5">
      <c r="A37" t="s">
        <v>65</v>
      </c>
      <c r="B37" t="s">
        <v>66</v>
      </c>
      <c r="C37" t="b">
        <f>FALSE()</f>
        <v>0</v>
      </c>
      <c r="E37" t="b">
        <f>FALSE()</f>
        <v>0</v>
      </c>
    </row>
    <row r="38" spans="1:5">
      <c r="A38" t="s">
        <v>67</v>
      </c>
      <c r="B38" t="s">
        <v>68</v>
      </c>
      <c r="C38" t="b">
        <f>TRUE()</f>
        <v>1</v>
      </c>
      <c r="E38" t="b">
        <f>TRUE()</f>
        <v>1</v>
      </c>
    </row>
    <row r="39" spans="1:5">
      <c r="A39" t="s">
        <v>69</v>
      </c>
      <c r="B39" t="s">
        <v>70</v>
      </c>
      <c r="C39" t="b">
        <f>TRUE()</f>
        <v>1</v>
      </c>
      <c r="E39" t="b">
        <f>TRUE()</f>
        <v>1</v>
      </c>
    </row>
    <row r="40" spans="1:5">
      <c r="A40" t="s">
        <v>71</v>
      </c>
      <c r="B40" t="s">
        <v>124</v>
      </c>
      <c r="C40" t="b">
        <f>TRUE()</f>
        <v>1</v>
      </c>
      <c r="E40" t="b">
        <f>TRUE()</f>
        <v>1</v>
      </c>
    </row>
    <row r="41" spans="1:5">
      <c r="A41" t="s">
        <v>73</v>
      </c>
      <c r="B41" t="s">
        <v>74</v>
      </c>
      <c r="C41" t="b">
        <f>TRUE()</f>
        <v>1</v>
      </c>
      <c r="E41" t="b">
        <f>TRUE()</f>
        <v>1</v>
      </c>
    </row>
    <row r="42" spans="1:5">
      <c r="A42" t="s">
        <v>75</v>
      </c>
      <c r="B42" t="s">
        <v>109</v>
      </c>
      <c r="C42" t="b">
        <f>TRUE()</f>
        <v>1</v>
      </c>
      <c r="E42" t="b">
        <f>TRUE()</f>
        <v>1</v>
      </c>
    </row>
    <row r="43" spans="1:5">
      <c r="A43" t="s">
        <v>77</v>
      </c>
      <c r="B43" t="s">
        <v>125</v>
      </c>
      <c r="C43" t="b">
        <f>TRUE()</f>
        <v>1</v>
      </c>
      <c r="E43" t="b">
        <f>TRUE()</f>
        <v>1</v>
      </c>
    </row>
    <row r="44" spans="1:5">
      <c r="A44" t="s">
        <v>79</v>
      </c>
      <c r="B44" t="s">
        <v>80</v>
      </c>
      <c r="C44" t="b">
        <f>TRUE()</f>
        <v>1</v>
      </c>
      <c r="E44" t="b">
        <f>TRUE()</f>
        <v>1</v>
      </c>
    </row>
    <row r="45" spans="1:5">
      <c r="A45" t="s">
        <v>81</v>
      </c>
      <c r="B45" t="s">
        <v>82</v>
      </c>
      <c r="C45" t="b">
        <f>TRUE()</f>
        <v>1</v>
      </c>
      <c r="E45" t="b">
        <f>TRUE()</f>
        <v>1</v>
      </c>
    </row>
    <row r="46" spans="1:5">
      <c r="A46" t="s">
        <v>83</v>
      </c>
      <c r="B46" t="s">
        <v>126</v>
      </c>
      <c r="C46" t="b">
        <f>TRUE()</f>
        <v>1</v>
      </c>
      <c r="E46" t="b">
        <f>TRUE()</f>
        <v>1</v>
      </c>
    </row>
    <row r="47" spans="1:5">
      <c r="A47" t="s">
        <v>85</v>
      </c>
      <c r="B47" t="s">
        <v>86</v>
      </c>
      <c r="C47" t="b">
        <f>TRUE()</f>
        <v>1</v>
      </c>
      <c r="E47" t="b">
        <f>TRUE()</f>
        <v>1</v>
      </c>
    </row>
    <row r="48" spans="1:5">
      <c r="A48" t="s">
        <v>87</v>
      </c>
      <c r="B48" t="s">
        <v>127</v>
      </c>
      <c r="C48" t="b">
        <f>TRUE()</f>
        <v>1</v>
      </c>
      <c r="E48" t="b">
        <f>TRUE()</f>
        <v>1</v>
      </c>
    </row>
    <row r="49" spans="1:5">
      <c r="A49" t="s">
        <v>89</v>
      </c>
      <c r="B49" t="s">
        <v>32</v>
      </c>
      <c r="C49" t="b">
        <f>TRUE()</f>
        <v>1</v>
      </c>
      <c r="E49" t="b">
        <f>TRUE()</f>
        <v>1</v>
      </c>
    </row>
    <row r="50" spans="1:5">
      <c r="A50" t="s">
        <v>128</v>
      </c>
      <c r="B50" t="s">
        <v>129</v>
      </c>
      <c r="C50" t="b">
        <f>TRUE()</f>
        <v>1</v>
      </c>
      <c r="E50" t="b">
        <f>TRUE()</f>
        <v>1</v>
      </c>
    </row>
    <row r="51" spans="1:5">
      <c r="A51" t="s">
        <v>130</v>
      </c>
      <c r="B51" t="s">
        <v>131</v>
      </c>
      <c r="C51" t="b">
        <f>TRUE()</f>
        <v>1</v>
      </c>
      <c r="E51" t="b">
        <f>TRUE()</f>
        <v>1</v>
      </c>
    </row>
    <row r="52" spans="1:5">
      <c r="A52" t="s">
        <v>132</v>
      </c>
      <c r="B52" t="s">
        <v>133</v>
      </c>
      <c r="C52" t="b">
        <f>TRUE()</f>
        <v>1</v>
      </c>
      <c r="E52" t="b">
        <f>TRUE()</f>
        <v>1</v>
      </c>
    </row>
    <row r="53" spans="1:5">
      <c r="A53" t="s">
        <v>134</v>
      </c>
      <c r="B53" t="s">
        <v>135</v>
      </c>
      <c r="C53" t="b">
        <f>TRUE()</f>
        <v>1</v>
      </c>
      <c r="E53" t="b">
        <f>TRUE()</f>
        <v>1</v>
      </c>
    </row>
    <row r="54" spans="1:5">
      <c r="A54" t="s">
        <v>136</v>
      </c>
      <c r="B54" t="s">
        <v>88</v>
      </c>
      <c r="C54" t="b">
        <f>TRUE()</f>
        <v>1</v>
      </c>
      <c r="E54" t="b">
        <f>TRUE()</f>
        <v>1</v>
      </c>
    </row>
    <row r="55" spans="1:5">
      <c r="A55" t="s">
        <v>137</v>
      </c>
      <c r="B55" t="s">
        <v>32</v>
      </c>
      <c r="C55" t="b">
        <f>TRUE()</f>
        <v>1</v>
      </c>
      <c r="E55" t="b">
        <f>TRUE()</f>
        <v>1</v>
      </c>
    </row>
    <row r="56" spans="1:5">
      <c r="A56" t="s">
        <v>138</v>
      </c>
      <c r="B56" t="s">
        <v>139</v>
      </c>
      <c r="C56" t="b">
        <f>TRUE()</f>
        <v>1</v>
      </c>
      <c r="E56" t="b">
        <f>TRUE()</f>
        <v>1</v>
      </c>
    </row>
    <row r="57" spans="1:5">
      <c r="A57" t="s">
        <v>140</v>
      </c>
      <c r="B57" t="s">
        <v>141</v>
      </c>
      <c r="C57" t="b">
        <f>TRUE()</f>
        <v>1</v>
      </c>
      <c r="E57" t="b">
        <f>TRUE()</f>
        <v>1</v>
      </c>
    </row>
    <row r="58" spans="1:5">
      <c r="A58" t="s">
        <v>142</v>
      </c>
      <c r="B58" t="s">
        <v>143</v>
      </c>
      <c r="C58" t="b">
        <f>TRUE()</f>
        <v>1</v>
      </c>
      <c r="E58" t="b">
        <f>TRUE()</f>
        <v>1</v>
      </c>
    </row>
    <row r="59" spans="1:5">
      <c r="A59" t="s">
        <v>144</v>
      </c>
      <c r="B59" t="s">
        <v>145</v>
      </c>
      <c r="C59" t="b">
        <f>TRUE()</f>
        <v>1</v>
      </c>
      <c r="E59" t="b">
        <f>TRUE()</f>
        <v>1</v>
      </c>
    </row>
    <row r="60" spans="1:5">
      <c r="A60" t="s">
        <v>146</v>
      </c>
      <c r="B60" t="s">
        <v>147</v>
      </c>
      <c r="C60" t="s">
        <v>2</v>
      </c>
      <c r="E60" t="b">
        <v>0</v>
      </c>
    </row>
    <row r="61" spans="1:5">
      <c r="A61" t="s">
        <v>148</v>
      </c>
      <c r="B61" t="s">
        <v>149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5"/>
  <sheetViews>
    <sheetView zoomScale="80" zoomScaleNormal="80" workbookViewId="0">
      <selection activeCell="E85" sqref="E85"/>
    </sheetView>
  </sheetViews>
  <sheetFormatPr defaultColWidth="8.5703125" defaultRowHeight="15"/>
  <cols>
    <col min="1" max="1" width="44" style="2" customWidth="1"/>
    <col min="2" max="2" width="36" style="2" customWidth="1"/>
    <col min="3" max="4" width="8.5703125" style="2"/>
    <col min="5" max="5" width="12.7109375" style="2" customWidth="1"/>
    <col min="6" max="16384" width="8.5703125" style="2"/>
  </cols>
  <sheetData>
    <row r="1" spans="1:5">
      <c r="A1" s="1" t="s">
        <v>16</v>
      </c>
      <c r="B1" s="1" t="s">
        <v>17</v>
      </c>
      <c r="C1" s="2" t="s">
        <v>18</v>
      </c>
      <c r="D1" s="2" t="s">
        <v>19</v>
      </c>
      <c r="E1" s="2" t="s">
        <v>20</v>
      </c>
    </row>
    <row r="2" spans="1:5">
      <c r="A2" s="2" t="s">
        <v>21</v>
      </c>
      <c r="B2" s="2" t="s">
        <v>22</v>
      </c>
      <c r="C2" s="2" t="b">
        <f>TRUE()</f>
        <v>1</v>
      </c>
      <c r="E2" s="2" t="b">
        <f>TRUE()</f>
        <v>1</v>
      </c>
    </row>
    <row r="3" spans="1:5">
      <c r="A3" s="2" t="s">
        <v>23</v>
      </c>
      <c r="B3" s="2" t="s">
        <v>24</v>
      </c>
      <c r="C3" s="2" t="b">
        <f>TRUE()</f>
        <v>1</v>
      </c>
      <c r="E3" s="2" t="b">
        <f>TRUE()</f>
        <v>1</v>
      </c>
    </row>
    <row r="4" spans="1:5">
      <c r="A4" s="2" t="s">
        <v>25</v>
      </c>
      <c r="B4" s="2" t="s">
        <v>90</v>
      </c>
      <c r="C4" s="2" t="b">
        <f>FALSE()</f>
        <v>0</v>
      </c>
      <c r="E4" s="2" t="b">
        <f>FALSE()</f>
        <v>0</v>
      </c>
    </row>
    <row r="5" spans="1:5">
      <c r="A5" s="2" t="s">
        <v>27</v>
      </c>
      <c r="B5" s="2" t="s">
        <v>28</v>
      </c>
      <c r="C5" s="2" t="b">
        <f>FALSE()</f>
        <v>0</v>
      </c>
      <c r="E5" s="2" t="b">
        <f>FALSE()</f>
        <v>0</v>
      </c>
    </row>
    <row r="6" spans="1:5">
      <c r="A6" s="2" t="s">
        <v>29</v>
      </c>
      <c r="B6" s="2" t="s">
        <v>150</v>
      </c>
      <c r="C6" s="2" t="b">
        <f>TRUE()</f>
        <v>1</v>
      </c>
      <c r="E6" s="2" t="b">
        <f>TRUE()</f>
        <v>1</v>
      </c>
    </row>
    <row r="7" spans="1:5">
      <c r="A7" s="2" t="s">
        <v>31</v>
      </c>
      <c r="B7" s="2" t="s">
        <v>92</v>
      </c>
      <c r="C7" s="2" t="b">
        <f>FALSE()</f>
        <v>0</v>
      </c>
      <c r="E7" s="2" t="b">
        <f>FALSE()</f>
        <v>0</v>
      </c>
    </row>
    <row r="8" spans="1:5">
      <c r="A8" s="2" t="s">
        <v>33</v>
      </c>
      <c r="B8" s="2" t="s">
        <v>34</v>
      </c>
      <c r="C8" s="2" t="b">
        <f>TRUE()</f>
        <v>1</v>
      </c>
      <c r="E8" s="2" t="b">
        <f>TRUE()</f>
        <v>1</v>
      </c>
    </row>
    <row r="9" spans="1:5">
      <c r="A9" s="2" t="s">
        <v>35</v>
      </c>
      <c r="B9" s="2" t="s">
        <v>36</v>
      </c>
      <c r="C9" s="2" t="b">
        <f>TRUE()</f>
        <v>1</v>
      </c>
      <c r="E9" s="2" t="b">
        <f>TRUE()</f>
        <v>1</v>
      </c>
    </row>
    <row r="10" spans="1:5">
      <c r="A10" s="2" t="s">
        <v>37</v>
      </c>
      <c r="B10" s="2" t="s">
        <v>151</v>
      </c>
      <c r="C10" s="2" t="b">
        <f>TRUE()</f>
        <v>1</v>
      </c>
      <c r="E10" s="2" t="b">
        <f>TRUE()</f>
        <v>1</v>
      </c>
    </row>
    <row r="11" spans="1:5">
      <c r="A11" s="2" t="s">
        <v>39</v>
      </c>
      <c r="B11" s="2" t="s">
        <v>94</v>
      </c>
      <c r="C11" s="2" t="b">
        <f>TRUE()</f>
        <v>1</v>
      </c>
      <c r="E11" s="2" t="b">
        <f>TRUE()</f>
        <v>1</v>
      </c>
    </row>
    <row r="12" spans="1:5">
      <c r="A12" s="2" t="s">
        <v>41</v>
      </c>
      <c r="B12" s="2" t="s">
        <v>152</v>
      </c>
      <c r="C12" s="2" t="b">
        <f>TRUE()</f>
        <v>1</v>
      </c>
      <c r="E12" s="2" t="b">
        <f>TRUE()</f>
        <v>1</v>
      </c>
    </row>
    <row r="13" spans="1:5">
      <c r="A13" s="2" t="s">
        <v>43</v>
      </c>
      <c r="B13" s="2" t="s">
        <v>32</v>
      </c>
      <c r="C13" s="2" t="b">
        <f>TRUE()</f>
        <v>1</v>
      </c>
      <c r="E13" s="2" t="b">
        <f>TRUE()</f>
        <v>1</v>
      </c>
    </row>
    <row r="14" spans="1:5">
      <c r="A14" s="2" t="s">
        <v>44</v>
      </c>
      <c r="B14" s="2" t="s">
        <v>45</v>
      </c>
      <c r="C14" s="2" t="b">
        <f>TRUE()</f>
        <v>1</v>
      </c>
      <c r="E14" s="2" t="b">
        <f>TRUE()</f>
        <v>1</v>
      </c>
    </row>
    <row r="15" spans="1:5">
      <c r="A15" s="2" t="s">
        <v>46</v>
      </c>
      <c r="B15" s="2" t="s">
        <v>47</v>
      </c>
      <c r="C15" s="2" t="b">
        <f>TRUE()</f>
        <v>1</v>
      </c>
      <c r="E15" s="2" t="b">
        <f>TRUE()</f>
        <v>1</v>
      </c>
    </row>
    <row r="16" spans="1:5">
      <c r="A16" s="2" t="s">
        <v>48</v>
      </c>
      <c r="B16" s="2" t="s">
        <v>153</v>
      </c>
      <c r="C16" s="2" t="b">
        <f>TRUE()</f>
        <v>1</v>
      </c>
      <c r="E16" s="2" t="b">
        <f>TRUE()</f>
        <v>1</v>
      </c>
    </row>
    <row r="17" spans="1:5">
      <c r="A17" s="2" t="s">
        <v>50</v>
      </c>
      <c r="B17" s="2" t="s">
        <v>51</v>
      </c>
      <c r="C17" s="2" t="s">
        <v>2</v>
      </c>
      <c r="E17" s="2" t="s">
        <v>2</v>
      </c>
    </row>
    <row r="18" spans="1:5">
      <c r="A18" s="2" t="s">
        <v>52</v>
      </c>
      <c r="B18" s="2" t="s">
        <v>154</v>
      </c>
      <c r="C18" s="2" t="s">
        <v>2</v>
      </c>
      <c r="E18" s="2" t="b">
        <v>0</v>
      </c>
    </row>
    <row r="19" spans="1:5">
      <c r="A19" s="2" t="s">
        <v>54</v>
      </c>
      <c r="B19" s="2" t="s">
        <v>155</v>
      </c>
      <c r="C19" s="2" t="b">
        <f>TRUE()</f>
        <v>1</v>
      </c>
      <c r="E19" s="2" t="b">
        <f>TRUE()</f>
        <v>1</v>
      </c>
    </row>
    <row r="20" spans="1:5">
      <c r="A20" s="2" t="s">
        <v>100</v>
      </c>
      <c r="B20" s="2" t="s">
        <v>101</v>
      </c>
      <c r="C20" s="2" t="b">
        <f>TRUE()</f>
        <v>1</v>
      </c>
      <c r="E20" s="2" t="b">
        <f>TRUE()</f>
        <v>1</v>
      </c>
    </row>
    <row r="21" spans="1:5">
      <c r="A21" s="2" t="s">
        <v>102</v>
      </c>
      <c r="B21" s="2" t="s">
        <v>103</v>
      </c>
      <c r="C21" s="2" t="b">
        <f>TRUE()</f>
        <v>1</v>
      </c>
      <c r="E21" s="2" t="b">
        <f>TRUE()</f>
        <v>1</v>
      </c>
    </row>
    <row r="22" spans="1:5">
      <c r="A22" s="2" t="s">
        <v>104</v>
      </c>
      <c r="B22" s="2" t="s">
        <v>156</v>
      </c>
      <c r="C22" s="2" t="b">
        <f>TRUE()</f>
        <v>1</v>
      </c>
      <c r="E22" s="2" t="b">
        <f>TRUE()</f>
        <v>1</v>
      </c>
    </row>
    <row r="23" spans="1:5">
      <c r="A23" s="2" t="s">
        <v>106</v>
      </c>
      <c r="B23" s="2" t="s">
        <v>107</v>
      </c>
      <c r="C23" s="2" t="b">
        <f>TRUE()</f>
        <v>1</v>
      </c>
      <c r="E23" s="2" t="b">
        <f>TRUE()</f>
        <v>1</v>
      </c>
    </row>
    <row r="24" spans="1:5">
      <c r="A24" s="2" t="s">
        <v>108</v>
      </c>
      <c r="B24" s="2" t="s">
        <v>157</v>
      </c>
      <c r="C24" s="2" t="s">
        <v>2</v>
      </c>
      <c r="E24" s="2" t="b">
        <v>0</v>
      </c>
    </row>
    <row r="25" spans="1:5">
      <c r="A25" s="2" t="s">
        <v>110</v>
      </c>
      <c r="B25" s="2" t="s">
        <v>158</v>
      </c>
      <c r="C25" s="2" t="b">
        <f>TRUE()</f>
        <v>1</v>
      </c>
      <c r="E25" s="2" t="b">
        <f>TRUE()</f>
        <v>1</v>
      </c>
    </row>
    <row r="26" spans="1:5">
      <c r="A26" s="2" t="s">
        <v>112</v>
      </c>
      <c r="B26" s="2" t="s">
        <v>113</v>
      </c>
      <c r="C26" s="2" t="b">
        <f>TRUE()</f>
        <v>1</v>
      </c>
      <c r="E26" s="2" t="b">
        <f>TRUE()</f>
        <v>1</v>
      </c>
    </row>
    <row r="27" spans="1:5">
      <c r="A27" s="2" t="s">
        <v>114</v>
      </c>
      <c r="B27" s="2" t="s">
        <v>115</v>
      </c>
      <c r="C27" s="2" t="b">
        <f>TRUE()</f>
        <v>1</v>
      </c>
      <c r="E27" s="2" t="b">
        <f>TRUE()</f>
        <v>1</v>
      </c>
    </row>
    <row r="28" spans="1:5">
      <c r="A28" s="2" t="s">
        <v>116</v>
      </c>
      <c r="B28" s="2" t="s">
        <v>159</v>
      </c>
      <c r="C28" s="2" t="b">
        <f>FALSE()</f>
        <v>0</v>
      </c>
      <c r="E28" s="2" t="b">
        <f>FALSE()</f>
        <v>0</v>
      </c>
    </row>
    <row r="29" spans="1:5">
      <c r="A29" s="2" t="s">
        <v>118</v>
      </c>
      <c r="B29" s="2" t="s">
        <v>119</v>
      </c>
      <c r="C29" s="2" t="s">
        <v>2</v>
      </c>
      <c r="E29" s="2" t="s">
        <v>2</v>
      </c>
    </row>
    <row r="30" spans="1:5">
      <c r="A30" s="2" t="s">
        <v>120</v>
      </c>
      <c r="B30" s="2" t="s">
        <v>160</v>
      </c>
      <c r="C30" s="2" t="b">
        <f>TRUE()</f>
        <v>1</v>
      </c>
      <c r="E30" s="2" t="b">
        <f>TRUE()</f>
        <v>1</v>
      </c>
    </row>
    <row r="31" spans="1:5">
      <c r="A31" s="2" t="s">
        <v>122</v>
      </c>
      <c r="B31" s="2" t="s">
        <v>161</v>
      </c>
      <c r="C31" s="2" t="b">
        <f>TRUE()</f>
        <v>1</v>
      </c>
      <c r="E31" s="2" t="b">
        <f>TRUE()</f>
        <v>1</v>
      </c>
    </row>
    <row r="32" spans="1:5">
      <c r="A32" s="2" t="s">
        <v>162</v>
      </c>
      <c r="B32" s="2" t="s">
        <v>163</v>
      </c>
      <c r="C32" s="2" t="b">
        <f>TRUE()</f>
        <v>1</v>
      </c>
      <c r="E32" s="2" t="b">
        <f>TRUE()</f>
        <v>1</v>
      </c>
    </row>
    <row r="33" spans="1:5">
      <c r="A33" s="2" t="s">
        <v>164</v>
      </c>
      <c r="B33" s="2" t="s">
        <v>165</v>
      </c>
      <c r="C33" s="2" t="b">
        <f>TRUE()</f>
        <v>1</v>
      </c>
      <c r="E33" s="2" t="b">
        <f>TRUE()</f>
        <v>1</v>
      </c>
    </row>
    <row r="34" spans="1:5">
      <c r="A34" s="2" t="s">
        <v>166</v>
      </c>
      <c r="B34" s="2" t="s">
        <v>167</v>
      </c>
      <c r="C34" s="2" t="b">
        <f>TRUE()</f>
        <v>1</v>
      </c>
      <c r="E34" s="2" t="b">
        <f>TRUE()</f>
        <v>1</v>
      </c>
    </row>
    <row r="35" spans="1:5">
      <c r="A35" s="2" t="s">
        <v>168</v>
      </c>
      <c r="B35" s="2" t="s">
        <v>169</v>
      </c>
      <c r="C35" s="2" t="b">
        <f>TRUE()</f>
        <v>1</v>
      </c>
      <c r="E35" s="2" t="b">
        <f>TRUE()</f>
        <v>1</v>
      </c>
    </row>
    <row r="36" spans="1:5">
      <c r="A36" s="2" t="s">
        <v>170</v>
      </c>
      <c r="B36" s="2" t="s">
        <v>171</v>
      </c>
      <c r="C36" s="2" t="s">
        <v>2</v>
      </c>
      <c r="E36" s="2" t="b">
        <v>0</v>
      </c>
    </row>
    <row r="37" spans="1:5">
      <c r="A37" s="2" t="s">
        <v>172</v>
      </c>
      <c r="B37" s="2" t="s">
        <v>173</v>
      </c>
      <c r="C37" s="2" t="b">
        <f>TRUE()</f>
        <v>1</v>
      </c>
      <c r="E37" s="2" t="b">
        <f>TRUE()</f>
        <v>1</v>
      </c>
    </row>
    <row r="38" spans="1:5">
      <c r="A38" s="2" t="s">
        <v>174</v>
      </c>
      <c r="B38" s="2" t="s">
        <v>175</v>
      </c>
      <c r="C38" s="2" t="b">
        <f>TRUE()</f>
        <v>1</v>
      </c>
      <c r="E38" s="2" t="b">
        <f>TRUE()</f>
        <v>1</v>
      </c>
    </row>
    <row r="39" spans="1:5">
      <c r="A39" s="2" t="s">
        <v>176</v>
      </c>
      <c r="B39" s="2" t="s">
        <v>177</v>
      </c>
      <c r="C39" s="2" t="b">
        <f>TRUE()</f>
        <v>1</v>
      </c>
      <c r="E39" s="2" t="b">
        <f>TRUE()</f>
        <v>1</v>
      </c>
    </row>
    <row r="40" spans="1:5">
      <c r="A40" s="2" t="s">
        <v>178</v>
      </c>
      <c r="B40" s="2" t="s">
        <v>151</v>
      </c>
      <c r="C40" s="2" t="b">
        <f>TRUE()</f>
        <v>1</v>
      </c>
      <c r="E40" s="2" t="b">
        <f>TRUE()</f>
        <v>1</v>
      </c>
    </row>
    <row r="41" spans="1:5">
      <c r="A41" s="2" t="s">
        <v>179</v>
      </c>
      <c r="B41" s="2" t="s">
        <v>180</v>
      </c>
      <c r="C41" s="2" t="b">
        <f>FALSE()</f>
        <v>0</v>
      </c>
      <c r="E41" s="2" t="b">
        <f>FALSE()</f>
        <v>0</v>
      </c>
    </row>
    <row r="42" spans="1:5">
      <c r="A42" s="2" t="s">
        <v>181</v>
      </c>
      <c r="B42" s="2" t="s">
        <v>182</v>
      </c>
      <c r="C42" s="2" t="s">
        <v>2</v>
      </c>
      <c r="E42" s="2" t="b">
        <v>0</v>
      </c>
    </row>
    <row r="43" spans="1:5">
      <c r="A43" s="2" t="s">
        <v>183</v>
      </c>
      <c r="B43" s="2" t="s">
        <v>184</v>
      </c>
      <c r="C43" s="2" t="b">
        <f>FALSE()</f>
        <v>0</v>
      </c>
      <c r="E43" s="2" t="b">
        <f>FALSE()</f>
        <v>0</v>
      </c>
    </row>
    <row r="44" spans="1:5">
      <c r="A44" s="2" t="s">
        <v>55</v>
      </c>
      <c r="B44" s="2" t="s">
        <v>56</v>
      </c>
      <c r="C44" s="2" t="b">
        <f>TRUE()</f>
        <v>1</v>
      </c>
      <c r="E44" s="2" t="b">
        <f>TRUE()</f>
        <v>1</v>
      </c>
    </row>
    <row r="45" spans="1:5">
      <c r="A45" s="2" t="s">
        <v>57</v>
      </c>
      <c r="B45" s="2" t="s">
        <v>58</v>
      </c>
      <c r="C45" s="2" t="b">
        <f>TRUE()</f>
        <v>1</v>
      </c>
      <c r="E45" s="2" t="b">
        <f>TRUE()</f>
        <v>1</v>
      </c>
    </row>
    <row r="46" spans="1:5">
      <c r="A46" s="2" t="s">
        <v>59</v>
      </c>
      <c r="B46" s="2" t="s">
        <v>60</v>
      </c>
      <c r="C46" s="2" t="b">
        <f>FALSE()</f>
        <v>0</v>
      </c>
      <c r="E46" s="2" t="b">
        <f>FALSE()</f>
        <v>0</v>
      </c>
    </row>
    <row r="47" spans="1:5">
      <c r="A47" s="2" t="s">
        <v>61</v>
      </c>
      <c r="B47" s="2" t="s">
        <v>62</v>
      </c>
      <c r="C47" s="2" t="b">
        <f>FALSE()</f>
        <v>0</v>
      </c>
      <c r="E47" s="2" t="b">
        <f>FALSE()</f>
        <v>0</v>
      </c>
    </row>
    <row r="48" spans="1:5" ht="33.6">
      <c r="A48" s="2" t="s">
        <v>63</v>
      </c>
      <c r="B48" s="3" t="s">
        <v>185</v>
      </c>
      <c r="C48" s="2" t="b">
        <f>TRUE()</f>
        <v>1</v>
      </c>
      <c r="E48" s="2" t="b">
        <f>TRUE()</f>
        <v>1</v>
      </c>
    </row>
    <row r="49" spans="1:5">
      <c r="A49" s="2" t="s">
        <v>65</v>
      </c>
      <c r="B49" s="2" t="s">
        <v>66</v>
      </c>
      <c r="C49" s="2" t="b">
        <f>FALSE()</f>
        <v>0</v>
      </c>
      <c r="E49" s="2" t="b">
        <f>FALSE()</f>
        <v>0</v>
      </c>
    </row>
    <row r="50" spans="1:5">
      <c r="A50" s="2" t="s">
        <v>67</v>
      </c>
      <c r="B50" s="2" t="s">
        <v>68</v>
      </c>
      <c r="C50" s="2" t="b">
        <f>TRUE()</f>
        <v>1</v>
      </c>
      <c r="E50" s="2" t="b">
        <f>TRUE()</f>
        <v>1</v>
      </c>
    </row>
    <row r="51" spans="1:5">
      <c r="A51" s="2" t="s">
        <v>69</v>
      </c>
      <c r="B51" s="2" t="s">
        <v>70</v>
      </c>
      <c r="C51" s="2" t="b">
        <f>TRUE()</f>
        <v>1</v>
      </c>
      <c r="E51" s="2" t="b">
        <f>TRUE()</f>
        <v>1</v>
      </c>
    </row>
    <row r="52" spans="1:5">
      <c r="A52" s="2" t="s">
        <v>71</v>
      </c>
      <c r="B52" s="2" t="s">
        <v>186</v>
      </c>
      <c r="C52" s="2" t="b">
        <f>TRUE()</f>
        <v>1</v>
      </c>
      <c r="E52" s="2" t="b">
        <f>TRUE()</f>
        <v>1</v>
      </c>
    </row>
    <row r="53" spans="1:5">
      <c r="A53" s="2" t="s">
        <v>73</v>
      </c>
      <c r="B53" s="2" t="s">
        <v>74</v>
      </c>
      <c r="C53" s="2" t="b">
        <f>TRUE()</f>
        <v>1</v>
      </c>
      <c r="E53" s="2" t="b">
        <f>TRUE()</f>
        <v>1</v>
      </c>
    </row>
    <row r="54" spans="1:5">
      <c r="A54" s="2" t="s">
        <v>75</v>
      </c>
      <c r="B54" s="2" t="s">
        <v>187</v>
      </c>
      <c r="C54" s="2" t="s">
        <v>2</v>
      </c>
      <c r="E54" s="2" t="b">
        <v>0</v>
      </c>
    </row>
    <row r="55" spans="1:5">
      <c r="A55" s="2" t="s">
        <v>77</v>
      </c>
      <c r="B55" s="2" t="s">
        <v>125</v>
      </c>
      <c r="C55" s="2" t="b">
        <f>TRUE()</f>
        <v>1</v>
      </c>
      <c r="E55" s="2" t="b">
        <f>TRUE()</f>
        <v>1</v>
      </c>
    </row>
    <row r="56" spans="1:5">
      <c r="A56" s="2" t="s">
        <v>79</v>
      </c>
      <c r="B56" s="2" t="s">
        <v>80</v>
      </c>
      <c r="C56" s="2" t="b">
        <f>TRUE()</f>
        <v>1</v>
      </c>
      <c r="E56" s="2" t="b">
        <f>TRUE()</f>
        <v>1</v>
      </c>
    </row>
    <row r="57" spans="1:5">
      <c r="A57" s="2" t="s">
        <v>81</v>
      </c>
      <c r="B57" s="2" t="s">
        <v>82</v>
      </c>
      <c r="C57" s="2" t="b">
        <f>TRUE()</f>
        <v>1</v>
      </c>
      <c r="E57" s="2" t="b">
        <f>TRUE()</f>
        <v>1</v>
      </c>
    </row>
    <row r="58" spans="1:5">
      <c r="A58" s="2" t="s">
        <v>83</v>
      </c>
      <c r="B58" s="2" t="s">
        <v>188</v>
      </c>
      <c r="C58" s="2" t="b">
        <f>TRUE()</f>
        <v>1</v>
      </c>
      <c r="E58" s="2" t="b">
        <f>TRUE()</f>
        <v>1</v>
      </c>
    </row>
    <row r="59" spans="1:5">
      <c r="A59" s="2" t="s">
        <v>85</v>
      </c>
      <c r="B59" s="2" t="s">
        <v>86</v>
      </c>
      <c r="C59" s="2" t="b">
        <f>TRUE()</f>
        <v>1</v>
      </c>
      <c r="E59" s="2" t="b">
        <f>TRUE()</f>
        <v>1</v>
      </c>
    </row>
    <row r="60" spans="1:5">
      <c r="A60" s="2" t="s">
        <v>87</v>
      </c>
      <c r="B60" s="2" t="s">
        <v>189</v>
      </c>
      <c r="C60" s="2" t="s">
        <v>2</v>
      </c>
      <c r="E60" s="2" t="b">
        <v>0</v>
      </c>
    </row>
    <row r="61" spans="1:5">
      <c r="A61" s="2" t="s">
        <v>89</v>
      </c>
      <c r="B61" s="2" t="s">
        <v>190</v>
      </c>
      <c r="C61" s="2" t="b">
        <f>TRUE()</f>
        <v>1</v>
      </c>
      <c r="E61" s="2" t="b">
        <f>TRUE()</f>
        <v>1</v>
      </c>
    </row>
    <row r="62" spans="1:5">
      <c r="A62" s="2" t="s">
        <v>128</v>
      </c>
      <c r="B62" s="2" t="s">
        <v>129</v>
      </c>
      <c r="C62" s="2" t="b">
        <f>TRUE()</f>
        <v>1</v>
      </c>
      <c r="E62" s="2" t="b">
        <f>TRUE()</f>
        <v>1</v>
      </c>
    </row>
    <row r="63" spans="1:5">
      <c r="A63" s="2" t="s">
        <v>130</v>
      </c>
      <c r="B63" s="2" t="s">
        <v>131</v>
      </c>
      <c r="C63" s="2" t="b">
        <f>TRUE()</f>
        <v>1</v>
      </c>
      <c r="E63" s="2" t="b">
        <f>TRUE()</f>
        <v>1</v>
      </c>
    </row>
    <row r="64" spans="1:5">
      <c r="A64" s="2" t="s">
        <v>132</v>
      </c>
      <c r="B64" s="2" t="s">
        <v>191</v>
      </c>
      <c r="C64" s="2" t="b">
        <f>TRUE()</f>
        <v>1</v>
      </c>
      <c r="E64" s="2" t="b">
        <f>TRUE()</f>
        <v>1</v>
      </c>
    </row>
    <row r="65" spans="1:5">
      <c r="A65" s="2" t="s">
        <v>134</v>
      </c>
      <c r="B65" s="2" t="s">
        <v>135</v>
      </c>
      <c r="C65" s="2" t="b">
        <f>TRUE()</f>
        <v>1</v>
      </c>
      <c r="E65" s="2" t="b">
        <f>TRUE()</f>
        <v>1</v>
      </c>
    </row>
    <row r="66" spans="1:5">
      <c r="A66" s="2" t="s">
        <v>136</v>
      </c>
      <c r="B66" s="2" t="s">
        <v>192</v>
      </c>
      <c r="C66" s="2" t="s">
        <v>2</v>
      </c>
      <c r="E66" s="2" t="b">
        <v>0</v>
      </c>
    </row>
    <row r="67" spans="1:5">
      <c r="A67" s="2" t="s">
        <v>137</v>
      </c>
      <c r="B67" s="2" t="s">
        <v>193</v>
      </c>
      <c r="C67" s="2" t="b">
        <f>TRUE()</f>
        <v>1</v>
      </c>
      <c r="E67" s="2" t="b">
        <f>TRUE()</f>
        <v>1</v>
      </c>
    </row>
    <row r="68" spans="1:5">
      <c r="A68" s="2" t="s">
        <v>138</v>
      </c>
      <c r="B68" s="2" t="s">
        <v>139</v>
      </c>
      <c r="C68" s="2" t="b">
        <f>TRUE()</f>
        <v>1</v>
      </c>
      <c r="E68" s="2" t="b">
        <f>TRUE()</f>
        <v>1</v>
      </c>
    </row>
    <row r="69" spans="1:5">
      <c r="A69" s="2" t="s">
        <v>140</v>
      </c>
      <c r="B69" s="2" t="s">
        <v>141</v>
      </c>
      <c r="C69" s="2" t="b">
        <f>TRUE()</f>
        <v>1</v>
      </c>
      <c r="E69" s="2" t="b">
        <f>TRUE()</f>
        <v>1</v>
      </c>
    </row>
    <row r="70" spans="1:5">
      <c r="A70" s="2" t="s">
        <v>142</v>
      </c>
      <c r="B70" s="2" t="s">
        <v>194</v>
      </c>
      <c r="C70" s="2" t="b">
        <f>TRUE()</f>
        <v>1</v>
      </c>
      <c r="E70" s="2" t="b">
        <f>TRUE()</f>
        <v>1</v>
      </c>
    </row>
    <row r="71" spans="1:5">
      <c r="A71" s="2" t="s">
        <v>144</v>
      </c>
      <c r="B71" s="2" t="s">
        <v>145</v>
      </c>
      <c r="C71" s="2" t="b">
        <f>TRUE()</f>
        <v>1</v>
      </c>
      <c r="E71" s="2" t="b">
        <f>TRUE()</f>
        <v>1</v>
      </c>
    </row>
    <row r="72" spans="1:5" ht="33.6">
      <c r="A72" s="2" t="s">
        <v>146</v>
      </c>
      <c r="B72" s="3" t="s">
        <v>195</v>
      </c>
      <c r="C72" s="2" t="b">
        <f>FALSE()</f>
        <v>0</v>
      </c>
      <c r="E72" s="2" t="b">
        <f>FALSE()</f>
        <v>0</v>
      </c>
    </row>
    <row r="73" spans="1:5">
      <c r="A73" s="2" t="s">
        <v>148</v>
      </c>
      <c r="B73" s="2" t="s">
        <v>196</v>
      </c>
      <c r="C73" s="2" t="b">
        <f>TRUE()</f>
        <v>1</v>
      </c>
      <c r="E73" s="2" t="b">
        <f>TRUE()</f>
        <v>1</v>
      </c>
    </row>
    <row r="74" spans="1:5">
      <c r="A74" s="2" t="s">
        <v>197</v>
      </c>
      <c r="B74" s="2" t="s">
        <v>198</v>
      </c>
      <c r="C74" s="2" t="b">
        <f>TRUE()</f>
        <v>1</v>
      </c>
      <c r="E74" s="2" t="b">
        <f>TRUE()</f>
        <v>1</v>
      </c>
    </row>
    <row r="75" spans="1:5">
      <c r="A75" s="2" t="s">
        <v>199</v>
      </c>
      <c r="B75" s="2" t="s">
        <v>200</v>
      </c>
      <c r="C75" s="2" t="b">
        <f>TRUE()</f>
        <v>1</v>
      </c>
      <c r="E75" s="2" t="b">
        <f>TRUE()</f>
        <v>1</v>
      </c>
    </row>
    <row r="76" spans="1:5">
      <c r="A76" s="2" t="s">
        <v>201</v>
      </c>
      <c r="B76" s="2" t="s">
        <v>202</v>
      </c>
      <c r="C76" s="2" t="b">
        <f>FALSE()</f>
        <v>0</v>
      </c>
      <c r="E76" s="2" t="b">
        <f>FALSE()</f>
        <v>0</v>
      </c>
    </row>
    <row r="77" spans="1:5">
      <c r="A77" s="2" t="s">
        <v>203</v>
      </c>
      <c r="B77" s="2" t="s">
        <v>204</v>
      </c>
      <c r="C77" s="2" t="b">
        <f>TRUE()</f>
        <v>1</v>
      </c>
      <c r="E77" s="2" t="b">
        <f>TRUE()</f>
        <v>1</v>
      </c>
    </row>
    <row r="78" spans="1:5">
      <c r="A78" s="2" t="s">
        <v>205</v>
      </c>
      <c r="B78" s="2" t="s">
        <v>206</v>
      </c>
      <c r="C78" s="2" t="b">
        <f>TRUE()</f>
        <v>1</v>
      </c>
      <c r="E78" s="2" t="b">
        <f>TRUE()</f>
        <v>1</v>
      </c>
    </row>
    <row r="79" spans="1:5">
      <c r="A79" s="2" t="s">
        <v>207</v>
      </c>
      <c r="B79" s="2" t="s">
        <v>208</v>
      </c>
      <c r="C79" s="2" t="b">
        <f>TRUE()</f>
        <v>1</v>
      </c>
      <c r="E79" s="2" t="b">
        <f>TRUE()</f>
        <v>1</v>
      </c>
    </row>
    <row r="80" spans="1:5">
      <c r="A80" s="2" t="s">
        <v>209</v>
      </c>
      <c r="B80" s="2" t="s">
        <v>210</v>
      </c>
      <c r="C80" s="2" t="b">
        <f>TRUE()</f>
        <v>1</v>
      </c>
      <c r="E80" s="2" t="b">
        <f>TRUE()</f>
        <v>1</v>
      </c>
    </row>
    <row r="81" spans="1:5">
      <c r="A81" s="2" t="s">
        <v>211</v>
      </c>
      <c r="B81" s="2" t="s">
        <v>212</v>
      </c>
      <c r="C81" s="2" t="b">
        <f>TRUE()</f>
        <v>1</v>
      </c>
      <c r="E81" s="2" t="b">
        <f>TRUE()</f>
        <v>1</v>
      </c>
    </row>
    <row r="82" spans="1:5">
      <c r="A82" s="2" t="s">
        <v>213</v>
      </c>
      <c r="B82" s="2" t="s">
        <v>97</v>
      </c>
      <c r="C82" s="2" t="b">
        <f>TRUE()</f>
        <v>1</v>
      </c>
      <c r="E82" s="2" t="b">
        <f>TRUE()</f>
        <v>1</v>
      </c>
    </row>
    <row r="83" spans="1:5">
      <c r="A83" s="2" t="s">
        <v>214</v>
      </c>
      <c r="B83" s="2" t="s">
        <v>215</v>
      </c>
      <c r="C83" s="2" t="b">
        <f>TRUE()</f>
        <v>1</v>
      </c>
      <c r="E83" s="2" t="b">
        <f>TRUE()</f>
        <v>1</v>
      </c>
    </row>
    <row r="84" spans="1:5">
      <c r="A84" s="2" t="s">
        <v>216</v>
      </c>
      <c r="B84" s="2" t="s">
        <v>171</v>
      </c>
      <c r="C84" s="2" t="s">
        <v>2</v>
      </c>
      <c r="E84" s="2" t="b">
        <v>0</v>
      </c>
    </row>
    <row r="85" spans="1:5">
      <c r="A85" s="2" t="s">
        <v>217</v>
      </c>
      <c r="B85" s="2" t="s">
        <v>218</v>
      </c>
      <c r="C85" s="2" t="b">
        <f>TRUE()</f>
        <v>1</v>
      </c>
      <c r="E85" s="2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1"/>
  <sheetViews>
    <sheetView zoomScale="80" zoomScaleNormal="80" workbookViewId="0">
      <selection activeCell="E115" sqref="E115"/>
    </sheetView>
  </sheetViews>
  <sheetFormatPr defaultColWidth="8.5703125" defaultRowHeight="15"/>
  <cols>
    <col min="1" max="1" width="44.7109375" customWidth="1"/>
    <col min="2" max="2" width="32.28515625" customWidth="1"/>
    <col min="5" max="5" width="10.57031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90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28</v>
      </c>
      <c r="C5" t="b">
        <f>FALSE()</f>
        <v>0</v>
      </c>
      <c r="E5" t="b">
        <f>FALSE()</f>
        <v>0</v>
      </c>
    </row>
    <row r="6" spans="1:5">
      <c r="A6" t="s">
        <v>29</v>
      </c>
      <c r="B6" t="s">
        <v>219</v>
      </c>
      <c r="C6" t="s">
        <v>2</v>
      </c>
      <c r="E6" t="b">
        <v>0</v>
      </c>
    </row>
    <row r="7" spans="1:5">
      <c r="A7" t="s">
        <v>31</v>
      </c>
      <c r="B7" t="s">
        <v>92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93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40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220</v>
      </c>
      <c r="C12" t="s">
        <v>2</v>
      </c>
      <c r="E12" t="b">
        <v>0</v>
      </c>
    </row>
    <row r="13" spans="1:5">
      <c r="A13" t="s">
        <v>43</v>
      </c>
      <c r="B13" t="s">
        <v>221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222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51</v>
      </c>
      <c r="C17" t="s">
        <v>2</v>
      </c>
      <c r="E17" t="s">
        <v>2</v>
      </c>
    </row>
    <row r="18" spans="1:5">
      <c r="A18" t="s">
        <v>52</v>
      </c>
      <c r="B18" t="s">
        <v>91</v>
      </c>
      <c r="C18" t="s">
        <v>2</v>
      </c>
      <c r="E18" t="b">
        <v>0</v>
      </c>
    </row>
    <row r="19" spans="1:5">
      <c r="A19" t="s">
        <v>54</v>
      </c>
      <c r="B19" t="s">
        <v>223</v>
      </c>
      <c r="C19" t="b">
        <f>TRUE()</f>
        <v>1</v>
      </c>
      <c r="E19" t="b">
        <f>TRUE()</f>
        <v>1</v>
      </c>
    </row>
    <row r="20" spans="1:5">
      <c r="A20" t="s">
        <v>100</v>
      </c>
      <c r="B20" t="s">
        <v>101</v>
      </c>
      <c r="C20" t="b">
        <f>TRUE()</f>
        <v>1</v>
      </c>
      <c r="E20" t="b">
        <f>TRUE()</f>
        <v>1</v>
      </c>
    </row>
    <row r="21" spans="1:5">
      <c r="A21" t="s">
        <v>102</v>
      </c>
      <c r="B21" t="s">
        <v>103</v>
      </c>
      <c r="C21" t="b">
        <f>TRUE()</f>
        <v>1</v>
      </c>
      <c r="E21" t="b">
        <f>TRUE()</f>
        <v>1</v>
      </c>
    </row>
    <row r="22" spans="1:5">
      <c r="A22" t="s">
        <v>104</v>
      </c>
      <c r="B22" t="s">
        <v>224</v>
      </c>
      <c r="C22" t="b">
        <f>TRUE()</f>
        <v>1</v>
      </c>
      <c r="E22" t="b">
        <f>TRUE()</f>
        <v>1</v>
      </c>
    </row>
    <row r="23" spans="1:5">
      <c r="A23" t="s">
        <v>106</v>
      </c>
      <c r="B23" t="s">
        <v>107</v>
      </c>
      <c r="C23" t="b">
        <f>TRUE()</f>
        <v>1</v>
      </c>
      <c r="E23" t="b">
        <f>TRUE()</f>
        <v>1</v>
      </c>
    </row>
    <row r="24" spans="1:5">
      <c r="A24" t="s">
        <v>108</v>
      </c>
      <c r="B24" t="s">
        <v>109</v>
      </c>
      <c r="C24" t="s">
        <v>2</v>
      </c>
      <c r="E24" t="b">
        <v>0</v>
      </c>
    </row>
    <row r="25" spans="1:5">
      <c r="A25" t="s">
        <v>110</v>
      </c>
      <c r="B25" t="s">
        <v>225</v>
      </c>
      <c r="C25" t="b">
        <f>TRUE()</f>
        <v>1</v>
      </c>
      <c r="E25" t="b">
        <f>TRUE()</f>
        <v>1</v>
      </c>
    </row>
    <row r="26" spans="1:5">
      <c r="A26" t="s">
        <v>112</v>
      </c>
      <c r="B26" t="s">
        <v>113</v>
      </c>
      <c r="C26" t="b">
        <f>TRUE()</f>
        <v>1</v>
      </c>
      <c r="E26" t="b">
        <f>TRUE()</f>
        <v>1</v>
      </c>
    </row>
    <row r="27" spans="1:5">
      <c r="A27" t="s">
        <v>114</v>
      </c>
      <c r="B27" t="s">
        <v>115</v>
      </c>
      <c r="C27" t="b">
        <f>TRUE()</f>
        <v>1</v>
      </c>
      <c r="E27" t="b">
        <f>TRUE()</f>
        <v>1</v>
      </c>
    </row>
    <row r="28" spans="1:5">
      <c r="A28" t="s">
        <v>116</v>
      </c>
      <c r="B28" t="s">
        <v>226</v>
      </c>
      <c r="C28" t="b">
        <f>TRUE()</f>
        <v>1</v>
      </c>
      <c r="E28" t="b">
        <f>TRUE()</f>
        <v>1</v>
      </c>
    </row>
    <row r="29" spans="1:5">
      <c r="A29" t="s">
        <v>118</v>
      </c>
      <c r="B29" t="s">
        <v>119</v>
      </c>
      <c r="C29" t="s">
        <v>2</v>
      </c>
      <c r="E29" t="s">
        <v>2</v>
      </c>
    </row>
    <row r="30" spans="1:5">
      <c r="A30" t="s">
        <v>120</v>
      </c>
      <c r="B30" t="s">
        <v>171</v>
      </c>
      <c r="C30" t="s">
        <v>2</v>
      </c>
      <c r="E30" t="b">
        <v>0</v>
      </c>
    </row>
    <row r="31" spans="1:5">
      <c r="A31" t="s">
        <v>122</v>
      </c>
      <c r="B31" t="s">
        <v>227</v>
      </c>
      <c r="C31" t="b">
        <f>TRUE()</f>
        <v>1</v>
      </c>
      <c r="E31" t="b">
        <f>TRUE()</f>
        <v>1</v>
      </c>
    </row>
    <row r="32" spans="1:5">
      <c r="A32" t="s">
        <v>162</v>
      </c>
      <c r="B32" t="s">
        <v>163</v>
      </c>
      <c r="C32" t="b">
        <f>TRUE()</f>
        <v>1</v>
      </c>
      <c r="E32" t="b">
        <f>TRUE()</f>
        <v>1</v>
      </c>
    </row>
    <row r="33" spans="1:5">
      <c r="A33" t="s">
        <v>164</v>
      </c>
      <c r="B33" t="s">
        <v>165</v>
      </c>
      <c r="C33" t="b">
        <f>TRUE()</f>
        <v>1</v>
      </c>
      <c r="E33" t="b">
        <f>TRUE()</f>
        <v>1</v>
      </c>
    </row>
    <row r="34" spans="1:5">
      <c r="A34" t="s">
        <v>166</v>
      </c>
      <c r="B34" t="s">
        <v>228</v>
      </c>
      <c r="C34" t="b">
        <f>TRUE()</f>
        <v>1</v>
      </c>
      <c r="E34" t="b">
        <f>TRUE()</f>
        <v>1</v>
      </c>
    </row>
    <row r="35" spans="1:5">
      <c r="A35" t="s">
        <v>168</v>
      </c>
      <c r="B35" t="s">
        <v>169</v>
      </c>
      <c r="C35" t="b">
        <f>TRUE()</f>
        <v>1</v>
      </c>
      <c r="E35" t="b">
        <f>TRUE()</f>
        <v>1</v>
      </c>
    </row>
    <row r="36" spans="1:5">
      <c r="A36" t="s">
        <v>170</v>
      </c>
      <c r="B36" t="s">
        <v>121</v>
      </c>
      <c r="C36" t="s">
        <v>2</v>
      </c>
      <c r="E36" t="b">
        <v>0</v>
      </c>
    </row>
    <row r="37" spans="1:5">
      <c r="A37" t="s">
        <v>172</v>
      </c>
      <c r="B37" t="s">
        <v>229</v>
      </c>
      <c r="C37" t="b">
        <f>TRUE()</f>
        <v>1</v>
      </c>
      <c r="E37" t="b">
        <f>TRUE()</f>
        <v>1</v>
      </c>
    </row>
    <row r="38" spans="1:5">
      <c r="A38" t="s">
        <v>174</v>
      </c>
      <c r="B38" t="s">
        <v>175</v>
      </c>
      <c r="C38" t="b">
        <f>TRUE()</f>
        <v>1</v>
      </c>
      <c r="E38" t="b">
        <f>TRUE()</f>
        <v>1</v>
      </c>
    </row>
    <row r="39" spans="1:5">
      <c r="A39" t="s">
        <v>176</v>
      </c>
      <c r="B39" t="s">
        <v>177</v>
      </c>
      <c r="C39" t="b">
        <f>TRUE()</f>
        <v>1</v>
      </c>
      <c r="E39" t="b">
        <f>TRUE()</f>
        <v>1</v>
      </c>
    </row>
    <row r="40" spans="1:5">
      <c r="A40" t="s">
        <v>178</v>
      </c>
      <c r="B40" t="s">
        <v>228</v>
      </c>
      <c r="C40" t="b">
        <f>TRUE()</f>
        <v>1</v>
      </c>
      <c r="E40" t="b">
        <f>TRUE()</f>
        <v>1</v>
      </c>
    </row>
    <row r="41" spans="1:5">
      <c r="A41" t="s">
        <v>179</v>
      </c>
      <c r="B41" t="s">
        <v>180</v>
      </c>
      <c r="C41" t="b">
        <f>FALSE()</f>
        <v>0</v>
      </c>
      <c r="E41" t="b">
        <f>FALSE()</f>
        <v>0</v>
      </c>
    </row>
    <row r="42" spans="1:5">
      <c r="A42" t="s">
        <v>181</v>
      </c>
      <c r="B42" t="s">
        <v>230</v>
      </c>
      <c r="C42" t="s">
        <v>2</v>
      </c>
      <c r="E42" t="b">
        <v>0</v>
      </c>
    </row>
    <row r="43" spans="1:5">
      <c r="A43" t="s">
        <v>183</v>
      </c>
      <c r="B43" t="s">
        <v>184</v>
      </c>
      <c r="C43" t="b">
        <f>FALSE()</f>
        <v>0</v>
      </c>
      <c r="E43" t="b">
        <f>FALSE()</f>
        <v>0</v>
      </c>
    </row>
    <row r="44" spans="1:5">
      <c r="A44" t="s">
        <v>231</v>
      </c>
      <c r="B44" t="s">
        <v>232</v>
      </c>
      <c r="C44" t="b">
        <f>TRUE()</f>
        <v>1</v>
      </c>
      <c r="E44" t="b">
        <f>TRUE()</f>
        <v>1</v>
      </c>
    </row>
    <row r="45" spans="1:5">
      <c r="A45" t="s">
        <v>233</v>
      </c>
      <c r="B45" t="s">
        <v>234</v>
      </c>
      <c r="C45" t="b">
        <f>TRUE()</f>
        <v>1</v>
      </c>
      <c r="E45" t="b">
        <f>TRUE()</f>
        <v>1</v>
      </c>
    </row>
    <row r="46" spans="1:5">
      <c r="A46" t="s">
        <v>235</v>
      </c>
      <c r="B46" t="s">
        <v>236</v>
      </c>
      <c r="C46" t="b">
        <f>TRUE()</f>
        <v>1</v>
      </c>
      <c r="E46" t="b">
        <f>TRUE()</f>
        <v>1</v>
      </c>
    </row>
    <row r="47" spans="1:5">
      <c r="A47" t="s">
        <v>237</v>
      </c>
      <c r="B47" t="s">
        <v>238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91</v>
      </c>
      <c r="C48" t="s">
        <v>2</v>
      </c>
      <c r="E48" t="b">
        <v>0</v>
      </c>
    </row>
    <row r="49" spans="1:5">
      <c r="A49" t="s">
        <v>240</v>
      </c>
      <c r="B49" t="s">
        <v>241</v>
      </c>
      <c r="C49" t="b">
        <f>TRUE()</f>
        <v>1</v>
      </c>
      <c r="E49" t="b">
        <f>TRUE()</f>
        <v>1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247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40</v>
      </c>
      <c r="C53" t="b">
        <f>TRUE()</f>
        <v>1</v>
      </c>
      <c r="E53" t="b">
        <f>TRUE()</f>
        <v>1</v>
      </c>
    </row>
    <row r="54" spans="1:5">
      <c r="A54" t="s">
        <v>249</v>
      </c>
      <c r="B54" t="s">
        <v>250</v>
      </c>
      <c r="C54" t="s">
        <v>2</v>
      </c>
      <c r="E54" t="b">
        <v>0</v>
      </c>
    </row>
    <row r="55" spans="1:5">
      <c r="A55" t="s">
        <v>251</v>
      </c>
      <c r="B55" t="s">
        <v>252</v>
      </c>
      <c r="C55" t="b">
        <f>FALSE()</f>
        <v>0</v>
      </c>
      <c r="E55" t="b">
        <f>FALSE()</f>
        <v>0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258</v>
      </c>
      <c r="C58" t="b">
        <f>FALSE()</f>
        <v>0</v>
      </c>
      <c r="E58" t="b">
        <f>FALSE()</f>
        <v>0</v>
      </c>
    </row>
    <row r="59" spans="1:5">
      <c r="A59" t="s">
        <v>259</v>
      </c>
      <c r="B59" t="s">
        <v>260</v>
      </c>
      <c r="C59" t="b">
        <f>FALSE()</f>
        <v>0</v>
      </c>
      <c r="E59" t="b">
        <f>FALSE()</f>
        <v>0</v>
      </c>
    </row>
    <row r="60" spans="1:5">
      <c r="A60" t="s">
        <v>261</v>
      </c>
      <c r="B60" t="s">
        <v>262</v>
      </c>
      <c r="C60" t="s">
        <v>2</v>
      </c>
      <c r="E60" t="b">
        <v>0</v>
      </c>
    </row>
    <row r="61" spans="1:5">
      <c r="A61" t="s">
        <v>263</v>
      </c>
      <c r="B61" t="s">
        <v>264</v>
      </c>
      <c r="C61" t="b">
        <f>FALSE()</f>
        <v>0</v>
      </c>
      <c r="E61" t="b">
        <f>FALSE()</f>
        <v>0</v>
      </c>
    </row>
    <row r="62" spans="1:5">
      <c r="A62" t="s">
        <v>55</v>
      </c>
      <c r="B62" t="s">
        <v>56</v>
      </c>
      <c r="C62" t="b">
        <f>TRUE()</f>
        <v>1</v>
      </c>
      <c r="E62" t="b">
        <f>TRUE()</f>
        <v>1</v>
      </c>
    </row>
    <row r="63" spans="1:5">
      <c r="A63" t="s">
        <v>57</v>
      </c>
      <c r="B63" t="s">
        <v>58</v>
      </c>
      <c r="C63" t="b">
        <f>TRUE()</f>
        <v>1</v>
      </c>
      <c r="E63" t="b">
        <f>TRUE()</f>
        <v>1</v>
      </c>
    </row>
    <row r="64" spans="1:5">
      <c r="A64" t="s">
        <v>59</v>
      </c>
      <c r="B64" t="s">
        <v>60</v>
      </c>
      <c r="C64" t="b">
        <f>FALSE()</f>
        <v>0</v>
      </c>
      <c r="E64" t="b">
        <f>FALSE()</f>
        <v>0</v>
      </c>
    </row>
    <row r="65" spans="1:5">
      <c r="A65" t="s">
        <v>61</v>
      </c>
      <c r="B65" t="s">
        <v>215</v>
      </c>
      <c r="C65" t="b">
        <f>TRUE()</f>
        <v>1</v>
      </c>
      <c r="E65" t="b">
        <f>TRUE()</f>
        <v>1</v>
      </c>
    </row>
    <row r="66" spans="1:5">
      <c r="A66" t="s">
        <v>63</v>
      </c>
      <c r="B66" t="s">
        <v>265</v>
      </c>
      <c r="C66" t="s">
        <v>2</v>
      </c>
      <c r="E66" t="b">
        <v>0</v>
      </c>
    </row>
    <row r="67" spans="1:5">
      <c r="A67" t="s">
        <v>65</v>
      </c>
      <c r="B67" t="s">
        <v>66</v>
      </c>
      <c r="C67" t="b">
        <f>FALSE()</f>
        <v>0</v>
      </c>
      <c r="E67" t="b">
        <f>FALSE()</f>
        <v>0</v>
      </c>
    </row>
    <row r="68" spans="1:5">
      <c r="A68" t="s">
        <v>67</v>
      </c>
      <c r="B68" t="s">
        <v>68</v>
      </c>
      <c r="C68" t="b">
        <f>TRUE()</f>
        <v>1</v>
      </c>
      <c r="E68" t="b">
        <f>TRUE()</f>
        <v>1</v>
      </c>
    </row>
    <row r="69" spans="1:5">
      <c r="A69" t="s">
        <v>69</v>
      </c>
      <c r="B69" t="s">
        <v>70</v>
      </c>
      <c r="C69" t="b">
        <f>TRUE()</f>
        <v>1</v>
      </c>
      <c r="E69" t="b">
        <f>TRUE()</f>
        <v>1</v>
      </c>
    </row>
    <row r="70" spans="1:5">
      <c r="A70" t="s">
        <v>71</v>
      </c>
      <c r="B70" t="s">
        <v>266</v>
      </c>
      <c r="C70" t="b">
        <f>TRUE()</f>
        <v>1</v>
      </c>
      <c r="E70" t="b">
        <f>TRUE()</f>
        <v>1</v>
      </c>
    </row>
    <row r="71" spans="1:5">
      <c r="A71" t="s">
        <v>73</v>
      </c>
      <c r="B71" t="s">
        <v>74</v>
      </c>
      <c r="C71" t="b">
        <f>TRUE()</f>
        <v>1</v>
      </c>
      <c r="E71" t="b">
        <f>TRUE()</f>
        <v>1</v>
      </c>
    </row>
    <row r="72" spans="1:5">
      <c r="A72" t="s">
        <v>75</v>
      </c>
      <c r="B72" t="s">
        <v>267</v>
      </c>
      <c r="C72" t="s">
        <v>2</v>
      </c>
      <c r="E72" t="b">
        <v>0</v>
      </c>
    </row>
    <row r="73" spans="1:5">
      <c r="A73" t="s">
        <v>77</v>
      </c>
      <c r="B73" t="s">
        <v>268</v>
      </c>
      <c r="C73" t="b">
        <f>TRUE()</f>
        <v>1</v>
      </c>
      <c r="E73" t="b">
        <f>TRUE()</f>
        <v>1</v>
      </c>
    </row>
    <row r="74" spans="1:5">
      <c r="A74" t="s">
        <v>79</v>
      </c>
      <c r="B74" t="s">
        <v>80</v>
      </c>
      <c r="C74" t="b">
        <f>TRUE()</f>
        <v>1</v>
      </c>
      <c r="E74" t="b">
        <f>TRUE()</f>
        <v>1</v>
      </c>
    </row>
    <row r="75" spans="1:5">
      <c r="A75" t="s">
        <v>81</v>
      </c>
      <c r="B75" t="s">
        <v>82</v>
      </c>
      <c r="C75" t="b">
        <f>TRUE()</f>
        <v>1</v>
      </c>
      <c r="E75" t="b">
        <f>TRUE()</f>
        <v>1</v>
      </c>
    </row>
    <row r="76" spans="1:5">
      <c r="A76" t="s">
        <v>83</v>
      </c>
      <c r="B76" t="s">
        <v>269</v>
      </c>
      <c r="C76" t="b">
        <f>TRUE()</f>
        <v>1</v>
      </c>
      <c r="E76" t="b">
        <f>TRUE()</f>
        <v>1</v>
      </c>
    </row>
    <row r="77" spans="1:5">
      <c r="A77" t="s">
        <v>85</v>
      </c>
      <c r="B77" t="s">
        <v>86</v>
      </c>
      <c r="C77" t="b">
        <f>TRUE()</f>
        <v>1</v>
      </c>
      <c r="E77" t="b">
        <f>TRUE()</f>
        <v>1</v>
      </c>
    </row>
    <row r="78" spans="1:5">
      <c r="A78" t="s">
        <v>87</v>
      </c>
      <c r="B78" t="s">
        <v>270</v>
      </c>
      <c r="C78" t="s">
        <v>2</v>
      </c>
      <c r="E78" t="b">
        <v>0</v>
      </c>
    </row>
    <row r="79" spans="1:5">
      <c r="A79" t="s">
        <v>89</v>
      </c>
      <c r="B79" t="s">
        <v>190</v>
      </c>
      <c r="C79" t="b">
        <f>TRUE()</f>
        <v>1</v>
      </c>
      <c r="E79" t="b">
        <f>TRUE()</f>
        <v>1</v>
      </c>
    </row>
    <row r="80" spans="1:5">
      <c r="A80" t="s">
        <v>128</v>
      </c>
      <c r="B80" t="s">
        <v>129</v>
      </c>
      <c r="C80" t="b">
        <f>TRUE()</f>
        <v>1</v>
      </c>
      <c r="E80" t="b">
        <f>TRUE()</f>
        <v>1</v>
      </c>
    </row>
    <row r="81" spans="1:5">
      <c r="A81" t="s">
        <v>130</v>
      </c>
      <c r="B81" t="s">
        <v>131</v>
      </c>
      <c r="C81" t="b">
        <f>TRUE()</f>
        <v>1</v>
      </c>
      <c r="E81" t="b">
        <f>TRUE()</f>
        <v>1</v>
      </c>
    </row>
    <row r="82" spans="1:5">
      <c r="A82" t="s">
        <v>132</v>
      </c>
      <c r="B82" t="s">
        <v>271</v>
      </c>
      <c r="C82" t="b">
        <f>TRUE()</f>
        <v>1</v>
      </c>
      <c r="E82" t="b">
        <f>TRUE()</f>
        <v>1</v>
      </c>
    </row>
    <row r="83" spans="1:5">
      <c r="A83" t="s">
        <v>134</v>
      </c>
      <c r="B83" t="s">
        <v>215</v>
      </c>
      <c r="C83" t="b">
        <f>TRUE()</f>
        <v>1</v>
      </c>
      <c r="E83" t="b">
        <f>TRUE()</f>
        <v>1</v>
      </c>
    </row>
    <row r="84" spans="1:5">
      <c r="A84" t="s">
        <v>136</v>
      </c>
      <c r="B84" t="s">
        <v>272</v>
      </c>
      <c r="C84" t="s">
        <v>2</v>
      </c>
      <c r="E84" t="b">
        <v>0</v>
      </c>
    </row>
    <row r="85" spans="1:5">
      <c r="A85" t="s">
        <v>137</v>
      </c>
      <c r="B85" t="s">
        <v>273</v>
      </c>
      <c r="C85" t="b">
        <f>TRUE()</f>
        <v>1</v>
      </c>
      <c r="E85" t="b">
        <f>TRUE()</f>
        <v>1</v>
      </c>
    </row>
    <row r="86" spans="1:5">
      <c r="A86" t="s">
        <v>138</v>
      </c>
      <c r="B86" t="s">
        <v>139</v>
      </c>
      <c r="C86" t="b">
        <f>TRUE()</f>
        <v>1</v>
      </c>
      <c r="E86" t="b">
        <f>TRUE()</f>
        <v>1</v>
      </c>
    </row>
    <row r="87" spans="1:5">
      <c r="A87" t="s">
        <v>140</v>
      </c>
      <c r="B87" t="s">
        <v>141</v>
      </c>
      <c r="C87" t="b">
        <f>TRUE()</f>
        <v>1</v>
      </c>
      <c r="E87" t="b">
        <f>TRUE()</f>
        <v>1</v>
      </c>
    </row>
    <row r="88" spans="1:5">
      <c r="A88" t="s">
        <v>142</v>
      </c>
      <c r="B88" t="s">
        <v>274</v>
      </c>
      <c r="C88" t="b">
        <f>TRUE()</f>
        <v>1</v>
      </c>
      <c r="E88" t="b">
        <f>TRUE()</f>
        <v>1</v>
      </c>
    </row>
    <row r="89" spans="1:5">
      <c r="A89" t="s">
        <v>144</v>
      </c>
      <c r="B89" t="s">
        <v>145</v>
      </c>
      <c r="C89" t="b">
        <f>TRUE()</f>
        <v>1</v>
      </c>
      <c r="E89" t="b">
        <f>TRUE()</f>
        <v>1</v>
      </c>
    </row>
    <row r="90" spans="1:5" ht="33.6">
      <c r="A90" t="s">
        <v>146</v>
      </c>
      <c r="B90" s="4" t="s">
        <v>275</v>
      </c>
      <c r="C90" t="s">
        <v>2</v>
      </c>
      <c r="E90" t="b">
        <v>0</v>
      </c>
    </row>
    <row r="91" spans="1:5">
      <c r="A91" t="s">
        <v>148</v>
      </c>
      <c r="B91" t="s">
        <v>276</v>
      </c>
      <c r="C91" t="b">
        <f>TRUE()</f>
        <v>1</v>
      </c>
      <c r="E91" t="b">
        <f>TRUE()</f>
        <v>1</v>
      </c>
    </row>
    <row r="92" spans="1:5">
      <c r="A92" t="s">
        <v>197</v>
      </c>
      <c r="B92" t="s">
        <v>198</v>
      </c>
      <c r="C92" t="b">
        <f>TRUE()</f>
        <v>1</v>
      </c>
      <c r="E92" t="b">
        <f>TRUE()</f>
        <v>1</v>
      </c>
    </row>
    <row r="93" spans="1:5">
      <c r="A93" t="s">
        <v>199</v>
      </c>
      <c r="B93" t="s">
        <v>200</v>
      </c>
      <c r="C93" t="b">
        <f>TRUE()</f>
        <v>1</v>
      </c>
      <c r="E93" t="b">
        <f>TRUE()</f>
        <v>1</v>
      </c>
    </row>
    <row r="94" spans="1:5">
      <c r="A94" t="s">
        <v>201</v>
      </c>
      <c r="B94" t="s">
        <v>277</v>
      </c>
      <c r="C94" t="b">
        <f>FALSE()</f>
        <v>0</v>
      </c>
      <c r="E94" t="b">
        <f>FALSE()</f>
        <v>0</v>
      </c>
    </row>
    <row r="95" spans="1:5">
      <c r="A95" t="s">
        <v>203</v>
      </c>
      <c r="B95" t="s">
        <v>204</v>
      </c>
      <c r="C95" t="b">
        <f>TRUE()</f>
        <v>1</v>
      </c>
      <c r="E95" t="b">
        <f>TRUE()</f>
        <v>1</v>
      </c>
    </row>
    <row r="96" spans="1:5">
      <c r="A96" t="s">
        <v>205</v>
      </c>
      <c r="B96" t="s">
        <v>171</v>
      </c>
      <c r="C96" t="s">
        <v>2</v>
      </c>
      <c r="E96" t="b">
        <v>0</v>
      </c>
    </row>
    <row r="97" spans="1:5">
      <c r="A97" t="s">
        <v>207</v>
      </c>
      <c r="B97" t="s">
        <v>278</v>
      </c>
      <c r="C97" t="b">
        <f>TRUE()</f>
        <v>1</v>
      </c>
      <c r="E97" t="b">
        <f>TRUE()</f>
        <v>1</v>
      </c>
    </row>
    <row r="98" spans="1:5">
      <c r="A98" t="s">
        <v>209</v>
      </c>
      <c r="B98" t="s">
        <v>210</v>
      </c>
      <c r="C98" t="b">
        <f>TRUE()</f>
        <v>1</v>
      </c>
      <c r="E98" t="b">
        <f>TRUE()</f>
        <v>1</v>
      </c>
    </row>
    <row r="99" spans="1:5">
      <c r="A99" t="s">
        <v>211</v>
      </c>
      <c r="B99" t="s">
        <v>212</v>
      </c>
      <c r="C99" t="b">
        <f>TRUE()</f>
        <v>1</v>
      </c>
      <c r="E99" t="b">
        <f>TRUE()</f>
        <v>1</v>
      </c>
    </row>
    <row r="100" spans="1:5">
      <c r="A100" t="s">
        <v>213</v>
      </c>
      <c r="B100" t="s">
        <v>105</v>
      </c>
      <c r="C100" t="b">
        <f>TRUE()</f>
        <v>1</v>
      </c>
      <c r="E100" t="b">
        <f>TRUE()</f>
        <v>1</v>
      </c>
    </row>
    <row r="101" spans="1:5">
      <c r="A101" t="s">
        <v>214</v>
      </c>
      <c r="B101" t="s">
        <v>215</v>
      </c>
      <c r="C101" t="b">
        <f>TRUE()</f>
        <v>1</v>
      </c>
      <c r="E101" t="b">
        <f>TRUE()</f>
        <v>1</v>
      </c>
    </row>
    <row r="102" spans="1:5">
      <c r="A102" t="s">
        <v>216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217</v>
      </c>
      <c r="B103" t="s">
        <v>280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151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215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288</v>
      </c>
      <c r="C108" t="s">
        <v>2</v>
      </c>
      <c r="E108" t="b">
        <v>0</v>
      </c>
    </row>
    <row r="109" spans="1:5">
      <c r="A109" t="s">
        <v>289</v>
      </c>
      <c r="B109" t="s">
        <v>290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296</v>
      </c>
      <c r="C112" t="b">
        <f>FALSE()</f>
        <v>0</v>
      </c>
      <c r="E112" t="b">
        <f>FALSE()</f>
        <v>0</v>
      </c>
    </row>
    <row r="113" spans="1:5">
      <c r="A113" t="s">
        <v>297</v>
      </c>
      <c r="B113" t="s">
        <v>298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302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308</v>
      </c>
      <c r="C118" t="b">
        <f>TRUE()</f>
        <v>1</v>
      </c>
      <c r="E118" t="b">
        <f>TRUE()</f>
        <v>1</v>
      </c>
    </row>
    <row r="119" spans="1:5">
      <c r="A119" t="s">
        <v>309</v>
      </c>
      <c r="B119" t="s">
        <v>310</v>
      </c>
      <c r="C119" t="b">
        <f>FALSE()</f>
        <v>0</v>
      </c>
      <c r="E119" t="b">
        <f>FALSE()</f>
        <v>0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314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7"/>
  <sheetViews>
    <sheetView zoomScale="80" zoomScaleNormal="80" workbookViewId="0">
      <selection activeCell="E2" sqref="E2"/>
    </sheetView>
  </sheetViews>
  <sheetFormatPr defaultColWidth="8.5703125" defaultRowHeight="15"/>
  <cols>
    <col min="1" max="1" width="44.28515625" customWidth="1"/>
    <col min="2" max="2" width="28.7109375" customWidth="1"/>
    <col min="5" max="5" width="13.2851562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90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316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317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315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42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49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238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53</v>
      </c>
      <c r="C18" t="b">
        <f>TRUE()</f>
        <v>1</v>
      </c>
      <c r="E18" t="b">
        <f>TRUE()</f>
        <v>1</v>
      </c>
    </row>
    <row r="19" spans="1:5">
      <c r="A19" t="s">
        <v>54</v>
      </c>
      <c r="B19" t="s">
        <v>316</v>
      </c>
      <c r="C19" t="b">
        <f>FALSE()</f>
        <v>0</v>
      </c>
      <c r="E19" t="b">
        <f>FALSE()</f>
        <v>0</v>
      </c>
    </row>
    <row r="20" spans="1:5">
      <c r="A20" t="s">
        <v>55</v>
      </c>
      <c r="B20" t="s">
        <v>56</v>
      </c>
      <c r="C20" t="b">
        <f>TRUE()</f>
        <v>1</v>
      </c>
      <c r="E20" t="b">
        <f>TRUE()</f>
        <v>1</v>
      </c>
    </row>
    <row r="21" spans="1:5">
      <c r="A21" t="s">
        <v>57</v>
      </c>
      <c r="B21" t="s">
        <v>58</v>
      </c>
      <c r="C21" t="b">
        <f>TRUE()</f>
        <v>1</v>
      </c>
      <c r="E21" t="b">
        <f>TRUE()</f>
        <v>1</v>
      </c>
    </row>
    <row r="22" spans="1:5">
      <c r="A22" t="s">
        <v>59</v>
      </c>
      <c r="B22" t="s">
        <v>60</v>
      </c>
      <c r="C22" t="b">
        <f>FALSE()</f>
        <v>0</v>
      </c>
      <c r="E22" t="b">
        <f>FALSE()</f>
        <v>0</v>
      </c>
    </row>
    <row r="23" spans="1:5">
      <c r="A23" t="s">
        <v>61</v>
      </c>
      <c r="B23" t="s">
        <v>318</v>
      </c>
      <c r="C23" t="b">
        <f>TRUE()</f>
        <v>1</v>
      </c>
      <c r="E23" t="b">
        <f>TRUE()</f>
        <v>1</v>
      </c>
    </row>
    <row r="24" spans="1:5">
      <c r="A24" t="s">
        <v>63</v>
      </c>
      <c r="B24" t="s">
        <v>64</v>
      </c>
      <c r="C24" t="b">
        <f>TRUE()</f>
        <v>1</v>
      </c>
      <c r="E24" t="b">
        <f>TRUE()</f>
        <v>1</v>
      </c>
    </row>
    <row r="25" spans="1:5">
      <c r="A25" t="s">
        <v>65</v>
      </c>
      <c r="B25" t="s">
        <v>316</v>
      </c>
      <c r="C25" t="b">
        <f>FALSE()</f>
        <v>0</v>
      </c>
      <c r="E25" t="b">
        <f>FALSE()</f>
        <v>0</v>
      </c>
    </row>
    <row r="26" spans="1:5">
      <c r="A26" t="s">
        <v>67</v>
      </c>
      <c r="B26" t="s">
        <v>68</v>
      </c>
      <c r="C26" t="b">
        <f>TRUE()</f>
        <v>1</v>
      </c>
      <c r="E26" t="b">
        <f>TRUE()</f>
        <v>1</v>
      </c>
    </row>
    <row r="27" spans="1:5">
      <c r="A27" t="s">
        <v>69</v>
      </c>
      <c r="B27" t="s">
        <v>70</v>
      </c>
      <c r="C27" t="b">
        <f>TRUE()</f>
        <v>1</v>
      </c>
      <c r="E27" t="b">
        <f>TRUE()</f>
        <v>1</v>
      </c>
    </row>
    <row r="28" spans="1:5">
      <c r="A28" t="s">
        <v>71</v>
      </c>
      <c r="B28" t="s">
        <v>319</v>
      </c>
      <c r="C28" t="b">
        <f>TRUE()</f>
        <v>1</v>
      </c>
      <c r="E28" t="b">
        <f>TRUE()</f>
        <v>1</v>
      </c>
    </row>
    <row r="29" spans="1:5">
      <c r="A29" t="s">
        <v>73</v>
      </c>
      <c r="B29" t="s">
        <v>318</v>
      </c>
      <c r="C29" t="b">
        <f>TRUE()</f>
        <v>1</v>
      </c>
      <c r="E29" t="b">
        <f>TRUE()</f>
        <v>1</v>
      </c>
    </row>
    <row r="30" spans="1:5">
      <c r="A30" t="s">
        <v>75</v>
      </c>
      <c r="B30" t="s">
        <v>76</v>
      </c>
      <c r="C30" t="b">
        <f>TRUE()</f>
        <v>1</v>
      </c>
      <c r="E30" t="b">
        <f>TRUE()</f>
        <v>1</v>
      </c>
    </row>
    <row r="31" spans="1:5">
      <c r="A31" t="s">
        <v>77</v>
      </c>
      <c r="B31" t="s">
        <v>316</v>
      </c>
      <c r="C31" t="b">
        <f>FALSE()</f>
        <v>0</v>
      </c>
      <c r="E31" t="b">
        <f>FALSE()</f>
        <v>0</v>
      </c>
    </row>
    <row r="32" spans="1:5">
      <c r="A32" t="s">
        <v>79</v>
      </c>
      <c r="B32" t="s">
        <v>80</v>
      </c>
      <c r="C32" t="b">
        <f>TRUE()</f>
        <v>1</v>
      </c>
      <c r="E32" t="b">
        <f>TRUE()</f>
        <v>1</v>
      </c>
    </row>
    <row r="33" spans="1:5">
      <c r="A33" t="s">
        <v>81</v>
      </c>
      <c r="B33" t="s">
        <v>82</v>
      </c>
      <c r="C33" t="b">
        <f>TRUE()</f>
        <v>1</v>
      </c>
      <c r="E33" t="b">
        <f>TRUE()</f>
        <v>1</v>
      </c>
    </row>
    <row r="34" spans="1:5">
      <c r="A34" t="s">
        <v>83</v>
      </c>
      <c r="B34" t="s">
        <v>84</v>
      </c>
      <c r="C34" t="b">
        <f>TRUE()</f>
        <v>1</v>
      </c>
      <c r="E34" t="b">
        <f>TRUE()</f>
        <v>1</v>
      </c>
    </row>
    <row r="35" spans="1:5">
      <c r="A35" t="s">
        <v>85</v>
      </c>
      <c r="B35" t="s">
        <v>318</v>
      </c>
      <c r="C35" t="b">
        <f>TRUE()</f>
        <v>1</v>
      </c>
      <c r="E35" t="b">
        <f>TRUE()</f>
        <v>1</v>
      </c>
    </row>
    <row r="36" spans="1:5">
      <c r="A36" t="s">
        <v>87</v>
      </c>
      <c r="B36" t="s">
        <v>88</v>
      </c>
      <c r="C36" t="b">
        <f>TRUE()</f>
        <v>1</v>
      </c>
      <c r="E36" t="b">
        <f>TRUE()</f>
        <v>1</v>
      </c>
    </row>
    <row r="37" spans="1:5">
      <c r="A37" t="s">
        <v>89</v>
      </c>
      <c r="B37" t="s">
        <v>316</v>
      </c>
      <c r="C37" t="b">
        <f>FALSE()</f>
        <v>0</v>
      </c>
      <c r="E37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1"/>
  <sheetViews>
    <sheetView zoomScale="80" zoomScaleNormal="80" workbookViewId="0">
      <selection activeCell="E61" sqref="E61"/>
    </sheetView>
  </sheetViews>
  <sheetFormatPr defaultColWidth="8.5703125" defaultRowHeight="15"/>
  <cols>
    <col min="1" max="1" width="46.5703125" customWidth="1"/>
    <col min="2" max="2" width="28.5703125" customWidth="1"/>
    <col min="5" max="5" width="9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90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238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262</v>
      </c>
      <c r="C6" t="s">
        <v>2</v>
      </c>
      <c r="E6" t="b">
        <v>0</v>
      </c>
    </row>
    <row r="7" spans="1:5">
      <c r="A7" t="s">
        <v>31</v>
      </c>
      <c r="B7" t="s">
        <v>320</v>
      </c>
      <c r="C7" t="b">
        <f>FALSE()</f>
        <v>0</v>
      </c>
      <c r="E7" t="b">
        <f>FALSE()</f>
        <v>0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321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315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95</v>
      </c>
      <c r="C12" t="s">
        <v>2</v>
      </c>
      <c r="E12" t="b">
        <v>0</v>
      </c>
    </row>
    <row r="13" spans="1:5">
      <c r="A13" t="s">
        <v>43</v>
      </c>
      <c r="B13" t="s">
        <v>322</v>
      </c>
      <c r="C13" t="b">
        <f>TRUE()</f>
        <v>1</v>
      </c>
      <c r="E13" t="b">
        <f>TRUE()</f>
        <v>1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323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238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98</v>
      </c>
      <c r="C18" t="s">
        <v>2</v>
      </c>
      <c r="E18" t="b">
        <v>0</v>
      </c>
    </row>
    <row r="19" spans="1:5">
      <c r="A19" t="s">
        <v>54</v>
      </c>
      <c r="B19" t="s">
        <v>324</v>
      </c>
      <c r="C19" t="b">
        <f>TRUE()</f>
        <v>1</v>
      </c>
      <c r="E19" t="b">
        <f>TRUE()</f>
        <v>1</v>
      </c>
    </row>
    <row r="20" spans="1:5">
      <c r="A20" t="s">
        <v>100</v>
      </c>
      <c r="B20" t="s">
        <v>101</v>
      </c>
      <c r="C20" t="b">
        <f>TRUE()</f>
        <v>1</v>
      </c>
      <c r="E20" t="b">
        <f>TRUE()</f>
        <v>1</v>
      </c>
    </row>
    <row r="21" spans="1:5">
      <c r="A21" t="s">
        <v>102</v>
      </c>
      <c r="B21" t="s">
        <v>103</v>
      </c>
      <c r="C21" t="b">
        <f>TRUE()</f>
        <v>1</v>
      </c>
      <c r="E21" t="b">
        <f>TRUE()</f>
        <v>1</v>
      </c>
    </row>
    <row r="22" spans="1:5">
      <c r="A22" t="s">
        <v>104</v>
      </c>
      <c r="B22" t="s">
        <v>325</v>
      </c>
      <c r="C22" t="b">
        <f>TRUE()</f>
        <v>1</v>
      </c>
      <c r="E22" t="b">
        <f>TRUE()</f>
        <v>1</v>
      </c>
    </row>
    <row r="23" spans="1:5">
      <c r="A23" t="s">
        <v>106</v>
      </c>
      <c r="B23" t="s">
        <v>315</v>
      </c>
      <c r="C23" t="b">
        <f>TRUE()</f>
        <v>1</v>
      </c>
      <c r="E23" t="b">
        <f>TRUE()</f>
        <v>1</v>
      </c>
    </row>
    <row r="24" spans="1:5">
      <c r="A24" t="s">
        <v>108</v>
      </c>
      <c r="B24" t="s">
        <v>109</v>
      </c>
      <c r="C24" t="b">
        <f>TRUE()</f>
        <v>1</v>
      </c>
      <c r="E24" t="b">
        <f>TRUE()</f>
        <v>1</v>
      </c>
    </row>
    <row r="25" spans="1:5">
      <c r="A25" t="s">
        <v>110</v>
      </c>
      <c r="B25" t="s">
        <v>316</v>
      </c>
      <c r="C25" t="b">
        <f>TRUE()</f>
        <v>1</v>
      </c>
      <c r="E25" t="b">
        <f>TRUE()</f>
        <v>1</v>
      </c>
    </row>
    <row r="26" spans="1:5">
      <c r="A26" t="s">
        <v>112</v>
      </c>
      <c r="B26" t="s">
        <v>113</v>
      </c>
      <c r="C26" t="b">
        <f>TRUE()</f>
        <v>1</v>
      </c>
      <c r="E26" t="b">
        <f>TRUE()</f>
        <v>1</v>
      </c>
    </row>
    <row r="27" spans="1:5">
      <c r="A27" t="s">
        <v>114</v>
      </c>
      <c r="B27" t="s">
        <v>115</v>
      </c>
      <c r="C27" t="b">
        <f>TRUE()</f>
        <v>1</v>
      </c>
      <c r="E27" t="b">
        <f>TRUE()</f>
        <v>1</v>
      </c>
    </row>
    <row r="28" spans="1:5">
      <c r="A28" t="s">
        <v>116</v>
      </c>
      <c r="B28" t="s">
        <v>326</v>
      </c>
      <c r="C28" t="b">
        <f>TRUE()</f>
        <v>1</v>
      </c>
      <c r="E28" t="b">
        <f>TRUE()</f>
        <v>1</v>
      </c>
    </row>
    <row r="29" spans="1:5">
      <c r="A29" t="s">
        <v>118</v>
      </c>
      <c r="B29" t="s">
        <v>238</v>
      </c>
      <c r="C29" t="b">
        <f>TRUE()</f>
        <v>1</v>
      </c>
      <c r="E29" t="b">
        <f>TRUE()</f>
        <v>1</v>
      </c>
    </row>
    <row r="30" spans="1:5">
      <c r="A30" t="s">
        <v>120</v>
      </c>
      <c r="B30" t="s">
        <v>327</v>
      </c>
      <c r="C30" t="b">
        <f>FALSE()</f>
        <v>0</v>
      </c>
      <c r="E30" t="b">
        <f>FALSE()</f>
        <v>0</v>
      </c>
    </row>
    <row r="31" spans="1:5">
      <c r="A31" t="s">
        <v>122</v>
      </c>
      <c r="B31" t="s">
        <v>322</v>
      </c>
      <c r="C31" t="b">
        <f>TRUE()</f>
        <v>1</v>
      </c>
      <c r="E31" t="b">
        <f>TRUE()</f>
        <v>1</v>
      </c>
    </row>
    <row r="32" spans="1:5">
      <c r="A32" t="s">
        <v>55</v>
      </c>
      <c r="B32" t="s">
        <v>56</v>
      </c>
      <c r="C32" t="b">
        <f>TRUE()</f>
        <v>1</v>
      </c>
      <c r="E32" t="b">
        <f>TRUE()</f>
        <v>1</v>
      </c>
    </row>
    <row r="33" spans="1:5">
      <c r="A33" t="s">
        <v>57</v>
      </c>
      <c r="B33" t="s">
        <v>58</v>
      </c>
      <c r="C33" t="b">
        <f>TRUE()</f>
        <v>1</v>
      </c>
      <c r="E33" t="b">
        <f>TRUE()</f>
        <v>1</v>
      </c>
    </row>
    <row r="34" spans="1:5">
      <c r="A34" t="s">
        <v>59</v>
      </c>
      <c r="B34" t="s">
        <v>60</v>
      </c>
      <c r="C34" t="b">
        <f>FALSE()</f>
        <v>0</v>
      </c>
      <c r="E34" t="b">
        <f>FALSE()</f>
        <v>0</v>
      </c>
    </row>
    <row r="35" spans="1:5">
      <c r="A35" t="s">
        <v>61</v>
      </c>
      <c r="B35" t="s">
        <v>328</v>
      </c>
      <c r="C35" t="b">
        <f>TRUE()</f>
        <v>1</v>
      </c>
      <c r="E35" t="b">
        <f>TRUE()</f>
        <v>1</v>
      </c>
    </row>
    <row r="36" spans="1:5">
      <c r="A36" t="s">
        <v>63</v>
      </c>
      <c r="B36" t="s">
        <v>329</v>
      </c>
      <c r="C36" t="s">
        <v>2</v>
      </c>
      <c r="E36" t="b">
        <v>0</v>
      </c>
    </row>
    <row r="37" spans="1:5">
      <c r="A37" t="s">
        <v>65</v>
      </c>
      <c r="B37" t="s">
        <v>316</v>
      </c>
      <c r="C37" t="b">
        <f>TRUE()</f>
        <v>1</v>
      </c>
      <c r="E37" t="b">
        <f>TRUE()</f>
        <v>1</v>
      </c>
    </row>
    <row r="38" spans="1:5">
      <c r="A38" t="s">
        <v>67</v>
      </c>
      <c r="B38" t="s">
        <v>68</v>
      </c>
      <c r="C38" t="b">
        <f>TRUE()</f>
        <v>1</v>
      </c>
      <c r="E38" t="b">
        <f>TRUE()</f>
        <v>1</v>
      </c>
    </row>
    <row r="39" spans="1:5">
      <c r="A39" t="s">
        <v>69</v>
      </c>
      <c r="B39" t="s">
        <v>330</v>
      </c>
      <c r="C39" t="b">
        <f>TRUE()</f>
        <v>1</v>
      </c>
      <c r="E39" t="b">
        <f>TRUE()</f>
        <v>1</v>
      </c>
    </row>
    <row r="40" spans="1:5">
      <c r="A40" t="s">
        <v>71</v>
      </c>
      <c r="B40" t="s">
        <v>124</v>
      </c>
      <c r="C40" t="b">
        <f>TRUE()</f>
        <v>1</v>
      </c>
      <c r="E40" t="b">
        <f>TRUE()</f>
        <v>1</v>
      </c>
    </row>
    <row r="41" spans="1:5">
      <c r="A41" t="s">
        <v>73</v>
      </c>
      <c r="B41" t="s">
        <v>318</v>
      </c>
      <c r="C41" t="b">
        <f>TRUE()</f>
        <v>1</v>
      </c>
      <c r="E41" t="b">
        <f>TRUE()</f>
        <v>1</v>
      </c>
    </row>
    <row r="42" spans="1:5">
      <c r="A42" t="s">
        <v>75</v>
      </c>
      <c r="B42" t="s">
        <v>331</v>
      </c>
      <c r="C42" t="s">
        <v>2</v>
      </c>
      <c r="E42" t="b">
        <v>0</v>
      </c>
    </row>
    <row r="43" spans="1:5">
      <c r="A43" t="s">
        <v>77</v>
      </c>
      <c r="B43" t="s">
        <v>316</v>
      </c>
      <c r="C43" t="b">
        <f>TRUE()</f>
        <v>1</v>
      </c>
      <c r="E43" t="b">
        <f>TRUE()</f>
        <v>1</v>
      </c>
    </row>
    <row r="44" spans="1:5">
      <c r="A44" t="s">
        <v>79</v>
      </c>
      <c r="B44" t="s">
        <v>80</v>
      </c>
      <c r="C44" t="b">
        <f>TRUE()</f>
        <v>1</v>
      </c>
      <c r="E44" t="b">
        <f>TRUE()</f>
        <v>1</v>
      </c>
    </row>
    <row r="45" spans="1:5">
      <c r="A45" t="s">
        <v>81</v>
      </c>
      <c r="B45" t="s">
        <v>82</v>
      </c>
      <c r="C45" t="b">
        <f>TRUE()</f>
        <v>1</v>
      </c>
      <c r="E45" t="b">
        <f>TRUE()</f>
        <v>1</v>
      </c>
    </row>
    <row r="46" spans="1:5">
      <c r="A46" t="s">
        <v>83</v>
      </c>
      <c r="B46" t="s">
        <v>126</v>
      </c>
      <c r="C46" t="b">
        <f>TRUE()</f>
        <v>1</v>
      </c>
      <c r="E46" t="b">
        <f>TRUE()</f>
        <v>1</v>
      </c>
    </row>
    <row r="47" spans="1:5">
      <c r="A47" t="s">
        <v>85</v>
      </c>
      <c r="B47" t="s">
        <v>328</v>
      </c>
      <c r="C47" t="b">
        <f>TRUE()</f>
        <v>1</v>
      </c>
      <c r="E47" t="b">
        <f>TRUE()</f>
        <v>1</v>
      </c>
    </row>
    <row r="48" spans="1:5">
      <c r="A48" t="s">
        <v>87</v>
      </c>
      <c r="B48" t="s">
        <v>127</v>
      </c>
      <c r="C48" t="b">
        <f>TRUE()</f>
        <v>1</v>
      </c>
      <c r="E48" t="b">
        <f>TRUE()</f>
        <v>1</v>
      </c>
    </row>
    <row r="49" spans="1:5">
      <c r="A49" t="s">
        <v>89</v>
      </c>
      <c r="B49" t="s">
        <v>316</v>
      </c>
      <c r="C49" t="b">
        <f>FALSE()</f>
        <v>0</v>
      </c>
      <c r="E49" t="b">
        <f>FALSE()</f>
        <v>0</v>
      </c>
    </row>
    <row r="50" spans="1:5">
      <c r="A50" t="s">
        <v>128</v>
      </c>
      <c r="B50" t="s">
        <v>129</v>
      </c>
      <c r="C50" t="b">
        <f>TRUE()</f>
        <v>1</v>
      </c>
      <c r="E50" t="b">
        <f>TRUE()</f>
        <v>1</v>
      </c>
    </row>
    <row r="51" spans="1:5">
      <c r="A51" t="s">
        <v>130</v>
      </c>
      <c r="B51" t="s">
        <v>131</v>
      </c>
      <c r="C51" t="b">
        <f>TRUE()</f>
        <v>1</v>
      </c>
      <c r="E51" t="b">
        <f>TRUE()</f>
        <v>1</v>
      </c>
    </row>
    <row r="52" spans="1:5">
      <c r="A52" t="s">
        <v>132</v>
      </c>
      <c r="B52" t="s">
        <v>332</v>
      </c>
      <c r="C52" t="b">
        <f>TRUE()</f>
        <v>1</v>
      </c>
      <c r="E52" t="b">
        <f>TRUE()</f>
        <v>1</v>
      </c>
    </row>
    <row r="53" spans="1:5">
      <c r="A53" t="s">
        <v>134</v>
      </c>
      <c r="B53" t="s">
        <v>333</v>
      </c>
      <c r="C53" t="b">
        <f>TRUE()</f>
        <v>1</v>
      </c>
      <c r="E53" t="b">
        <f>TRUE()</f>
        <v>1</v>
      </c>
    </row>
    <row r="54" spans="1:5">
      <c r="A54" t="s">
        <v>136</v>
      </c>
      <c r="B54" t="s">
        <v>88</v>
      </c>
      <c r="C54" t="b">
        <f>TRUE()</f>
        <v>1</v>
      </c>
      <c r="E54" t="b">
        <f>TRUE()</f>
        <v>1</v>
      </c>
    </row>
    <row r="55" spans="1:5">
      <c r="A55" t="s">
        <v>137</v>
      </c>
      <c r="B55" t="s">
        <v>316</v>
      </c>
      <c r="C55" t="b">
        <f>FALSE()</f>
        <v>0</v>
      </c>
      <c r="E55" t="b">
        <f>FALSE()</f>
        <v>0</v>
      </c>
    </row>
    <row r="56" spans="1:5">
      <c r="A56" t="s">
        <v>138</v>
      </c>
      <c r="B56" t="s">
        <v>139</v>
      </c>
      <c r="C56" t="b">
        <f>TRUE()</f>
        <v>1</v>
      </c>
      <c r="E56" t="b">
        <f>TRUE()</f>
        <v>1</v>
      </c>
    </row>
    <row r="57" spans="1:5">
      <c r="A57" t="s">
        <v>140</v>
      </c>
      <c r="B57" t="s">
        <v>141</v>
      </c>
      <c r="C57" t="b">
        <f>TRUE()</f>
        <v>1</v>
      </c>
      <c r="E57" t="b">
        <f>TRUE()</f>
        <v>1</v>
      </c>
    </row>
    <row r="58" spans="1:5">
      <c r="A58" t="s">
        <v>142</v>
      </c>
      <c r="B58" t="s">
        <v>334</v>
      </c>
      <c r="C58" t="b">
        <f>TRUE()</f>
        <v>1</v>
      </c>
      <c r="E58" t="b">
        <f>TRUE()</f>
        <v>1</v>
      </c>
    </row>
    <row r="59" spans="1:5">
      <c r="A59" t="s">
        <v>144</v>
      </c>
      <c r="B59" t="s">
        <v>328</v>
      </c>
      <c r="C59" t="b">
        <f>TRUE()</f>
        <v>1</v>
      </c>
      <c r="E59" t="b">
        <f>TRUE()</f>
        <v>1</v>
      </c>
    </row>
    <row r="60" spans="1:5">
      <c r="A60" t="s">
        <v>146</v>
      </c>
      <c r="B60" t="s">
        <v>335</v>
      </c>
      <c r="C60" t="b">
        <f>TRUE()</f>
        <v>1</v>
      </c>
      <c r="E60" t="b">
        <f>TRUE()</f>
        <v>1</v>
      </c>
    </row>
    <row r="61" spans="1:5">
      <c r="A61" t="s">
        <v>148</v>
      </c>
      <c r="B61" t="s">
        <v>316</v>
      </c>
      <c r="C61" t="b">
        <f>TRUE()</f>
        <v>1</v>
      </c>
      <c r="E6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5"/>
  <sheetViews>
    <sheetView topLeftCell="A72" zoomScale="80" zoomScaleNormal="80" workbookViewId="0">
      <selection activeCell="B72" sqref="B72"/>
    </sheetView>
  </sheetViews>
  <sheetFormatPr defaultColWidth="8.5703125" defaultRowHeight="15"/>
  <cols>
    <col min="1" max="1" width="46" customWidth="1"/>
    <col min="2" max="2" width="40" customWidth="1"/>
    <col min="5" max="5" width="12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90</v>
      </c>
      <c r="C4" t="b">
        <f>FALSE()</f>
        <v>0</v>
      </c>
      <c r="E4" t="b">
        <f>FALSE()</f>
        <v>0</v>
      </c>
    </row>
    <row r="5" spans="1:5">
      <c r="A5" t="s">
        <v>27</v>
      </c>
      <c r="B5" t="s">
        <v>315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150</v>
      </c>
      <c r="C6" t="b">
        <f>TRUE()</f>
        <v>1</v>
      </c>
      <c r="E6" t="b">
        <f>TRUE()</f>
        <v>1</v>
      </c>
    </row>
    <row r="7" spans="1:5">
      <c r="A7" t="s">
        <v>31</v>
      </c>
      <c r="B7" t="s">
        <v>316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336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315</v>
      </c>
      <c r="C11" t="b">
        <f>TRUE()</f>
        <v>1</v>
      </c>
      <c r="E11" t="b">
        <f>TRUE()</f>
        <v>1</v>
      </c>
    </row>
    <row r="12" spans="1:5">
      <c r="A12" t="s">
        <v>41</v>
      </c>
      <c r="B12" t="s">
        <v>152</v>
      </c>
      <c r="C12" t="b">
        <f>TRUE()</f>
        <v>1</v>
      </c>
      <c r="E12" t="b">
        <f>TRUE()</f>
        <v>1</v>
      </c>
    </row>
    <row r="13" spans="1:5">
      <c r="A13" t="s">
        <v>43</v>
      </c>
      <c r="B13" t="s">
        <v>316</v>
      </c>
      <c r="C13" t="b">
        <f>FALSE()</f>
        <v>0</v>
      </c>
      <c r="E13" t="b">
        <f>FALSE()</f>
        <v>0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153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238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337</v>
      </c>
      <c r="C18" t="b">
        <f>FALSE()</f>
        <v>0</v>
      </c>
      <c r="E18" t="b">
        <f>FALSE()</f>
        <v>0</v>
      </c>
    </row>
    <row r="19" spans="1:5">
      <c r="A19" t="s">
        <v>54</v>
      </c>
      <c r="B19" t="s">
        <v>236</v>
      </c>
      <c r="C19" t="b">
        <f>TRUE()</f>
        <v>1</v>
      </c>
      <c r="E19" t="b">
        <f>TRUE()</f>
        <v>1</v>
      </c>
    </row>
    <row r="20" spans="1:5">
      <c r="A20" t="s">
        <v>100</v>
      </c>
      <c r="B20" t="s">
        <v>101</v>
      </c>
      <c r="C20" t="b">
        <f>TRUE()</f>
        <v>1</v>
      </c>
      <c r="E20" t="b">
        <f>TRUE()</f>
        <v>1</v>
      </c>
    </row>
    <row r="21" spans="1:5">
      <c r="A21" t="s">
        <v>102</v>
      </c>
      <c r="B21" t="s">
        <v>103</v>
      </c>
      <c r="C21" t="b">
        <f>TRUE()</f>
        <v>1</v>
      </c>
      <c r="E21" t="b">
        <f>TRUE()</f>
        <v>1</v>
      </c>
    </row>
    <row r="22" spans="1:5">
      <c r="A22" t="s">
        <v>104</v>
      </c>
      <c r="B22" t="s">
        <v>338</v>
      </c>
      <c r="C22" t="b">
        <f>TRUE()</f>
        <v>1</v>
      </c>
      <c r="E22" t="b">
        <f>TRUE()</f>
        <v>1</v>
      </c>
    </row>
    <row r="23" spans="1:5">
      <c r="A23" t="s">
        <v>106</v>
      </c>
      <c r="B23" t="s">
        <v>315</v>
      </c>
      <c r="C23" t="b">
        <f>TRUE()</f>
        <v>1</v>
      </c>
      <c r="E23" t="b">
        <f>TRUE()</f>
        <v>1</v>
      </c>
    </row>
    <row r="24" spans="1:5" ht="31.35">
      <c r="A24" t="s">
        <v>108</v>
      </c>
      <c r="B24" s="4" t="s">
        <v>339</v>
      </c>
      <c r="C24" t="b">
        <v>0</v>
      </c>
      <c r="E24" t="b">
        <v>0</v>
      </c>
    </row>
    <row r="25" spans="1:5">
      <c r="A25" t="s">
        <v>110</v>
      </c>
      <c r="B25" t="s">
        <v>320</v>
      </c>
      <c r="C25" t="b">
        <f>FALSE()</f>
        <v>0</v>
      </c>
      <c r="E25" t="b">
        <f>FALSE()</f>
        <v>0</v>
      </c>
    </row>
    <row r="26" spans="1:5">
      <c r="A26" t="s">
        <v>112</v>
      </c>
      <c r="B26" t="s">
        <v>113</v>
      </c>
      <c r="C26" t="b">
        <f>TRUE()</f>
        <v>1</v>
      </c>
      <c r="E26" t="b">
        <f>TRUE()</f>
        <v>1</v>
      </c>
    </row>
    <row r="27" spans="1:5">
      <c r="A27" t="s">
        <v>114</v>
      </c>
      <c r="B27" t="s">
        <v>115</v>
      </c>
      <c r="C27" t="b">
        <f>TRUE()</f>
        <v>1</v>
      </c>
      <c r="E27" t="b">
        <f>TRUE()</f>
        <v>1</v>
      </c>
    </row>
    <row r="28" spans="1:5">
      <c r="A28" t="s">
        <v>116</v>
      </c>
      <c r="B28" t="s">
        <v>340</v>
      </c>
      <c r="C28" t="b">
        <f>TRUE()</f>
        <v>1</v>
      </c>
      <c r="E28" t="b">
        <f>TRUE()</f>
        <v>1</v>
      </c>
    </row>
    <row r="29" spans="1:5">
      <c r="A29" t="s">
        <v>118</v>
      </c>
      <c r="B29" t="s">
        <v>315</v>
      </c>
      <c r="C29" t="b">
        <f>TRUE()</f>
        <v>1</v>
      </c>
      <c r="E29" t="b">
        <f>TRUE()</f>
        <v>1</v>
      </c>
    </row>
    <row r="30" spans="1:5">
      <c r="A30" t="s">
        <v>120</v>
      </c>
      <c r="B30" t="s">
        <v>341</v>
      </c>
      <c r="C30" t="b">
        <f>FALSE()</f>
        <v>0</v>
      </c>
      <c r="E30" t="b">
        <f>FALSE()</f>
        <v>0</v>
      </c>
    </row>
    <row r="31" spans="1:5">
      <c r="A31" t="s">
        <v>122</v>
      </c>
      <c r="B31" t="s">
        <v>342</v>
      </c>
      <c r="C31" t="b">
        <f>FALSE()</f>
        <v>0</v>
      </c>
      <c r="E31" t="b">
        <f>FALSE()</f>
        <v>0</v>
      </c>
    </row>
    <row r="32" spans="1:5">
      <c r="A32" t="s">
        <v>162</v>
      </c>
      <c r="B32" t="s">
        <v>163</v>
      </c>
      <c r="C32" t="b">
        <f>TRUE()</f>
        <v>1</v>
      </c>
      <c r="E32" t="b">
        <f>TRUE()</f>
        <v>1</v>
      </c>
    </row>
    <row r="33" spans="1:5">
      <c r="A33" t="s">
        <v>164</v>
      </c>
      <c r="B33" t="s">
        <v>165</v>
      </c>
      <c r="C33" t="b">
        <f>TRUE()</f>
        <v>1</v>
      </c>
      <c r="E33" t="b">
        <f>TRUE()</f>
        <v>1</v>
      </c>
    </row>
    <row r="34" spans="1:5">
      <c r="A34" t="s">
        <v>166</v>
      </c>
      <c r="B34" t="s">
        <v>343</v>
      </c>
      <c r="C34" t="b">
        <f>TRUE()</f>
        <v>1</v>
      </c>
      <c r="E34" t="b">
        <f>TRUE()</f>
        <v>1</v>
      </c>
    </row>
    <row r="35" spans="1:5">
      <c r="A35" t="s">
        <v>168</v>
      </c>
      <c r="B35" t="s">
        <v>315</v>
      </c>
      <c r="C35" t="b">
        <f>TRUE()</f>
        <v>1</v>
      </c>
      <c r="E35" t="b">
        <f>TRUE()</f>
        <v>1</v>
      </c>
    </row>
    <row r="36" spans="1:5" ht="31.35">
      <c r="A36" t="s">
        <v>170</v>
      </c>
      <c r="B36" s="4" t="s">
        <v>344</v>
      </c>
      <c r="C36" t="b">
        <f>FALSE()</f>
        <v>0</v>
      </c>
      <c r="E36" t="b">
        <f>FALSE()</f>
        <v>0</v>
      </c>
    </row>
    <row r="37" spans="1:5">
      <c r="A37" t="s">
        <v>172</v>
      </c>
      <c r="B37" t="s">
        <v>322</v>
      </c>
      <c r="C37" t="b">
        <f>TRUE()</f>
        <v>1</v>
      </c>
      <c r="E37" t="b">
        <f>TRUE()</f>
        <v>1</v>
      </c>
    </row>
    <row r="38" spans="1:5">
      <c r="A38" t="s">
        <v>174</v>
      </c>
      <c r="B38" t="s">
        <v>175</v>
      </c>
      <c r="C38" t="b">
        <f>TRUE()</f>
        <v>1</v>
      </c>
      <c r="E38" t="b">
        <f>TRUE()</f>
        <v>1</v>
      </c>
    </row>
    <row r="39" spans="1:5">
      <c r="A39" t="s">
        <v>176</v>
      </c>
      <c r="B39" t="s">
        <v>177</v>
      </c>
      <c r="C39" t="b">
        <f>TRUE()</f>
        <v>1</v>
      </c>
      <c r="E39" t="b">
        <f>TRUE()</f>
        <v>1</v>
      </c>
    </row>
    <row r="40" spans="1:5">
      <c r="A40" t="s">
        <v>178</v>
      </c>
      <c r="B40" t="s">
        <v>345</v>
      </c>
      <c r="C40" t="b">
        <f>TRUE()</f>
        <v>1</v>
      </c>
      <c r="E40" t="b">
        <f>TRUE()</f>
        <v>1</v>
      </c>
    </row>
    <row r="41" spans="1:5">
      <c r="A41" t="s">
        <v>179</v>
      </c>
      <c r="B41" t="s">
        <v>238</v>
      </c>
      <c r="C41" t="b">
        <f>TRUE()</f>
        <v>1</v>
      </c>
      <c r="E41" t="b">
        <f>TRUE()</f>
        <v>1</v>
      </c>
    </row>
    <row r="42" spans="1:5">
      <c r="A42" t="s">
        <v>181</v>
      </c>
      <c r="B42" t="s">
        <v>346</v>
      </c>
      <c r="C42" t="b">
        <f>FALSE()</f>
        <v>0</v>
      </c>
      <c r="E42" t="b">
        <f>FALSE()</f>
        <v>0</v>
      </c>
    </row>
    <row r="43" spans="1:5">
      <c r="A43" t="s">
        <v>183</v>
      </c>
      <c r="B43" t="s">
        <v>322</v>
      </c>
      <c r="C43" t="b">
        <f>TRUE()</f>
        <v>1</v>
      </c>
      <c r="E43" t="b">
        <f>TRUE()</f>
        <v>1</v>
      </c>
    </row>
    <row r="44" spans="1:5">
      <c r="A44" t="s">
        <v>55</v>
      </c>
      <c r="B44" t="s">
        <v>56</v>
      </c>
      <c r="C44" t="b">
        <f>TRUE()</f>
        <v>1</v>
      </c>
      <c r="E44" t="b">
        <f>TRUE()</f>
        <v>1</v>
      </c>
    </row>
    <row r="45" spans="1:5">
      <c r="A45" t="s">
        <v>57</v>
      </c>
      <c r="B45" t="s">
        <v>58</v>
      </c>
      <c r="C45" t="b">
        <f>TRUE()</f>
        <v>1</v>
      </c>
      <c r="E45" t="b">
        <f>TRUE()</f>
        <v>1</v>
      </c>
    </row>
    <row r="46" spans="1:5">
      <c r="A46" t="s">
        <v>59</v>
      </c>
      <c r="B46" t="s">
        <v>60</v>
      </c>
      <c r="C46" t="b">
        <f>FALSE()</f>
        <v>0</v>
      </c>
      <c r="E46" t="b">
        <f>FALSE()</f>
        <v>0</v>
      </c>
    </row>
    <row r="47" spans="1:5">
      <c r="A47" t="s">
        <v>61</v>
      </c>
      <c r="B47" t="s">
        <v>328</v>
      </c>
      <c r="C47" t="b">
        <f>TRUE()</f>
        <v>1</v>
      </c>
      <c r="E47" t="b">
        <f>TRUE()</f>
        <v>1</v>
      </c>
    </row>
    <row r="48" spans="1:5">
      <c r="A48" t="s">
        <v>63</v>
      </c>
      <c r="B48" t="s">
        <v>347</v>
      </c>
      <c r="C48" t="b">
        <f>FALSE()</f>
        <v>0</v>
      </c>
      <c r="E48" t="b">
        <f>FALSE()</f>
        <v>0</v>
      </c>
    </row>
    <row r="49" spans="1:5">
      <c r="A49" t="s">
        <v>65</v>
      </c>
      <c r="B49" t="s">
        <v>324</v>
      </c>
      <c r="C49" t="b">
        <f>TRUE()</f>
        <v>1</v>
      </c>
      <c r="E49" t="b">
        <f>TRUE()</f>
        <v>1</v>
      </c>
    </row>
    <row r="50" spans="1:5">
      <c r="A50" t="s">
        <v>67</v>
      </c>
      <c r="B50" t="s">
        <v>68</v>
      </c>
      <c r="C50" t="b">
        <f>TRUE()</f>
        <v>1</v>
      </c>
      <c r="E50" t="b">
        <f>TRUE()</f>
        <v>1</v>
      </c>
    </row>
    <row r="51" spans="1:5">
      <c r="A51" t="s">
        <v>69</v>
      </c>
      <c r="B51" t="s">
        <v>70</v>
      </c>
      <c r="C51" t="b">
        <f>TRUE()</f>
        <v>1</v>
      </c>
      <c r="E51" t="b">
        <f>TRUE()</f>
        <v>1</v>
      </c>
    </row>
    <row r="52" spans="1:5">
      <c r="A52" t="s">
        <v>71</v>
      </c>
      <c r="B52" t="s">
        <v>186</v>
      </c>
      <c r="C52" t="b">
        <f>TRUE()</f>
        <v>1</v>
      </c>
      <c r="E52" t="b">
        <f>TRUE()</f>
        <v>1</v>
      </c>
    </row>
    <row r="53" spans="1:5">
      <c r="A53" t="s">
        <v>73</v>
      </c>
      <c r="B53" t="s">
        <v>328</v>
      </c>
      <c r="C53" t="b">
        <f>TRUE()</f>
        <v>1</v>
      </c>
      <c r="E53" t="b">
        <f>TRUE()</f>
        <v>1</v>
      </c>
    </row>
    <row r="54" spans="1:5">
      <c r="A54" t="s">
        <v>75</v>
      </c>
      <c r="B54" t="s">
        <v>348</v>
      </c>
      <c r="C54" t="b">
        <v>0</v>
      </c>
      <c r="E54" t="b">
        <v>0</v>
      </c>
    </row>
    <row r="55" spans="1:5">
      <c r="A55" t="s">
        <v>77</v>
      </c>
      <c r="B55" t="s">
        <v>316</v>
      </c>
      <c r="C55" t="b">
        <f>FALSE()</f>
        <v>0</v>
      </c>
      <c r="E55" t="b">
        <f>FALSE()</f>
        <v>0</v>
      </c>
    </row>
    <row r="56" spans="1:5">
      <c r="A56" t="s">
        <v>79</v>
      </c>
      <c r="B56" t="s">
        <v>80</v>
      </c>
      <c r="C56" t="b">
        <f>TRUE()</f>
        <v>1</v>
      </c>
      <c r="E56" t="b">
        <f>TRUE()</f>
        <v>1</v>
      </c>
    </row>
    <row r="57" spans="1:5">
      <c r="A57" t="s">
        <v>81</v>
      </c>
      <c r="B57" t="s">
        <v>82</v>
      </c>
      <c r="C57" t="b">
        <f>TRUE()</f>
        <v>1</v>
      </c>
      <c r="E57" t="b">
        <f>TRUE()</f>
        <v>1</v>
      </c>
    </row>
    <row r="58" spans="1:5">
      <c r="A58" t="s">
        <v>83</v>
      </c>
      <c r="B58" t="s">
        <v>349</v>
      </c>
      <c r="C58" t="b">
        <f>TRUE()</f>
        <v>1</v>
      </c>
      <c r="E58" t="b">
        <f>TRUE()</f>
        <v>1</v>
      </c>
    </row>
    <row r="59" spans="1:5">
      <c r="A59" t="s">
        <v>85</v>
      </c>
      <c r="B59" t="s">
        <v>328</v>
      </c>
      <c r="C59" t="b">
        <f>TRUE()</f>
        <v>1</v>
      </c>
      <c r="E59" t="b">
        <f>TRUE()</f>
        <v>1</v>
      </c>
    </row>
    <row r="60" spans="1:5">
      <c r="A60" t="s">
        <v>87</v>
      </c>
      <c r="B60" t="s">
        <v>189</v>
      </c>
      <c r="C60" t="b">
        <v>0</v>
      </c>
      <c r="E60" t="b">
        <v>0</v>
      </c>
    </row>
    <row r="61" spans="1:5">
      <c r="A61" t="s">
        <v>89</v>
      </c>
      <c r="B61" t="s">
        <v>236</v>
      </c>
      <c r="C61" t="b">
        <f>TRUE()</f>
        <v>1</v>
      </c>
      <c r="E61" t="b">
        <f>TRUE()</f>
        <v>1</v>
      </c>
    </row>
    <row r="62" spans="1:5">
      <c r="A62" t="s">
        <v>128</v>
      </c>
      <c r="B62" t="s">
        <v>129</v>
      </c>
      <c r="C62" t="b">
        <f>TRUE()</f>
        <v>1</v>
      </c>
      <c r="E62" t="b">
        <f>TRUE()</f>
        <v>1</v>
      </c>
    </row>
    <row r="63" spans="1:5">
      <c r="A63" t="s">
        <v>130</v>
      </c>
      <c r="B63" t="s">
        <v>131</v>
      </c>
      <c r="C63" t="b">
        <f>TRUE()</f>
        <v>1</v>
      </c>
      <c r="E63" t="b">
        <f>TRUE()</f>
        <v>1</v>
      </c>
    </row>
    <row r="64" spans="1:5">
      <c r="A64" t="s">
        <v>132</v>
      </c>
      <c r="B64" t="s">
        <v>350</v>
      </c>
      <c r="C64" t="b">
        <f>TRUE()</f>
        <v>1</v>
      </c>
      <c r="E64" t="b">
        <f>TRUE()</f>
        <v>1</v>
      </c>
    </row>
    <row r="65" spans="1:5">
      <c r="A65" t="s">
        <v>134</v>
      </c>
      <c r="B65" t="s">
        <v>328</v>
      </c>
      <c r="C65" t="b">
        <f>TRUE()</f>
        <v>1</v>
      </c>
      <c r="E65" t="b">
        <f>TRUE()</f>
        <v>1</v>
      </c>
    </row>
    <row r="66" spans="1:5" ht="31.35">
      <c r="A66" t="s">
        <v>136</v>
      </c>
      <c r="B66" s="4" t="s">
        <v>351</v>
      </c>
      <c r="C66" t="b">
        <f>FALSE()</f>
        <v>0</v>
      </c>
      <c r="E66" t="b">
        <f>FALSE()</f>
        <v>0</v>
      </c>
    </row>
    <row r="67" spans="1:5">
      <c r="A67" t="s">
        <v>137</v>
      </c>
      <c r="B67" t="s">
        <v>352</v>
      </c>
      <c r="C67" t="b">
        <f>FALSE()</f>
        <v>0</v>
      </c>
      <c r="E67" t="b">
        <f>FALSE()</f>
        <v>0</v>
      </c>
    </row>
    <row r="68" spans="1:5">
      <c r="A68" t="s">
        <v>138</v>
      </c>
      <c r="B68" t="s">
        <v>139</v>
      </c>
      <c r="C68" t="b">
        <f>TRUE()</f>
        <v>1</v>
      </c>
      <c r="E68" t="b">
        <f>TRUE()</f>
        <v>1</v>
      </c>
    </row>
    <row r="69" spans="1:5">
      <c r="A69" t="s">
        <v>140</v>
      </c>
      <c r="B69" t="s">
        <v>141</v>
      </c>
      <c r="C69" t="b">
        <f>TRUE()</f>
        <v>1</v>
      </c>
      <c r="E69" t="b">
        <f>TRUE()</f>
        <v>1</v>
      </c>
    </row>
    <row r="70" spans="1:5">
      <c r="A70" t="s">
        <v>142</v>
      </c>
      <c r="B70" t="s">
        <v>353</v>
      </c>
      <c r="C70" t="b">
        <f>TRUE()</f>
        <v>1</v>
      </c>
      <c r="E70" t="b">
        <f>TRUE()</f>
        <v>1</v>
      </c>
    </row>
    <row r="71" spans="1:5">
      <c r="A71" t="s">
        <v>144</v>
      </c>
      <c r="B71" t="s">
        <v>328</v>
      </c>
      <c r="C71" t="b">
        <f>TRUE()</f>
        <v>1</v>
      </c>
      <c r="E71" t="b">
        <f>TRUE()</f>
        <v>1</v>
      </c>
    </row>
    <row r="72" spans="1:5">
      <c r="A72" t="s">
        <v>146</v>
      </c>
      <c r="B72" t="s">
        <v>354</v>
      </c>
      <c r="C72" t="b">
        <v>0</v>
      </c>
      <c r="E72" t="b">
        <v>0</v>
      </c>
    </row>
    <row r="73" spans="1:5">
      <c r="A73" t="s">
        <v>148</v>
      </c>
      <c r="B73" t="s">
        <v>324</v>
      </c>
      <c r="C73" t="b">
        <f>TRUE()</f>
        <v>1</v>
      </c>
      <c r="E73" t="b">
        <f>TRUE()</f>
        <v>1</v>
      </c>
    </row>
    <row r="74" spans="1:5">
      <c r="A74" t="s">
        <v>197</v>
      </c>
      <c r="B74" t="s">
        <v>198</v>
      </c>
      <c r="C74" t="b">
        <f>TRUE()</f>
        <v>1</v>
      </c>
      <c r="E74" t="b">
        <f>TRUE()</f>
        <v>1</v>
      </c>
    </row>
    <row r="75" spans="1:5">
      <c r="A75" t="s">
        <v>199</v>
      </c>
      <c r="B75" t="s">
        <v>200</v>
      </c>
      <c r="C75" t="b">
        <f>TRUE()</f>
        <v>1</v>
      </c>
      <c r="E75" t="b">
        <f>TRUE()</f>
        <v>1</v>
      </c>
    </row>
    <row r="76" spans="1:5">
      <c r="A76" t="s">
        <v>201</v>
      </c>
      <c r="B76" t="s">
        <v>355</v>
      </c>
      <c r="C76" t="b">
        <f>TRUE()</f>
        <v>1</v>
      </c>
      <c r="E76" t="b">
        <f>TRUE()</f>
        <v>1</v>
      </c>
    </row>
    <row r="77" spans="1:5">
      <c r="A77" t="s">
        <v>203</v>
      </c>
      <c r="B77" t="s">
        <v>328</v>
      </c>
      <c r="C77" t="b">
        <f>TRUE()</f>
        <v>1</v>
      </c>
      <c r="E77" t="b">
        <f>TRUE()</f>
        <v>1</v>
      </c>
    </row>
    <row r="78" spans="1:5" ht="31.35">
      <c r="A78" t="s">
        <v>205</v>
      </c>
      <c r="B78" s="4" t="s">
        <v>356</v>
      </c>
      <c r="C78" t="b">
        <f>FALSE()</f>
        <v>0</v>
      </c>
      <c r="E78" t="b">
        <f>FALSE()</f>
        <v>0</v>
      </c>
    </row>
    <row r="79" spans="1:5">
      <c r="A79" t="s">
        <v>207</v>
      </c>
      <c r="B79" t="s">
        <v>322</v>
      </c>
      <c r="C79" t="b">
        <f>TRUE()</f>
        <v>1</v>
      </c>
      <c r="E79" t="b">
        <f>TRUE()</f>
        <v>1</v>
      </c>
    </row>
    <row r="80" spans="1:5">
      <c r="A80" t="s">
        <v>209</v>
      </c>
      <c r="B80" t="s">
        <v>210</v>
      </c>
      <c r="C80" t="b">
        <f>TRUE()</f>
        <v>1</v>
      </c>
      <c r="E80" t="b">
        <f>TRUE()</f>
        <v>1</v>
      </c>
    </row>
    <row r="81" spans="1:5">
      <c r="A81" t="s">
        <v>211</v>
      </c>
      <c r="B81" t="s">
        <v>212</v>
      </c>
      <c r="C81" t="b">
        <f>TRUE()</f>
        <v>1</v>
      </c>
      <c r="E81" t="b">
        <f>TRUE()</f>
        <v>1</v>
      </c>
    </row>
    <row r="82" spans="1:5">
      <c r="A82" t="s">
        <v>213</v>
      </c>
      <c r="B82" t="s">
        <v>357</v>
      </c>
      <c r="C82" t="b">
        <f>TRUE()</f>
        <v>1</v>
      </c>
      <c r="E82" t="b">
        <f>TRUE()</f>
        <v>1</v>
      </c>
    </row>
    <row r="83" spans="1:5">
      <c r="A83" t="s">
        <v>214</v>
      </c>
      <c r="B83" t="s">
        <v>328</v>
      </c>
      <c r="C83" t="b">
        <f>TRUE()</f>
        <v>1</v>
      </c>
      <c r="E83" t="b">
        <f>TRUE()</f>
        <v>1</v>
      </c>
    </row>
    <row r="84" spans="1:5">
      <c r="A84" t="s">
        <v>216</v>
      </c>
      <c r="B84" t="s">
        <v>171</v>
      </c>
      <c r="C84" t="b">
        <v>0</v>
      </c>
      <c r="E84" t="b">
        <v>0</v>
      </c>
    </row>
    <row r="85" spans="1:5">
      <c r="A85" t="s">
        <v>217</v>
      </c>
      <c r="B85" t="s">
        <v>320</v>
      </c>
      <c r="C85" t="b">
        <f>TRUE()</f>
        <v>1</v>
      </c>
      <c r="E85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1"/>
  <sheetViews>
    <sheetView topLeftCell="A23" zoomScale="80" zoomScaleNormal="80" workbookViewId="0">
      <selection activeCell="L12" sqref="L12"/>
    </sheetView>
  </sheetViews>
  <sheetFormatPr defaultColWidth="8.5703125" defaultRowHeight="15"/>
  <cols>
    <col min="1" max="1" width="44" customWidth="1"/>
    <col min="2" max="2" width="31.42578125" customWidth="1"/>
    <col min="5" max="5" width="12.7109375" customWidth="1"/>
  </cols>
  <sheetData>
    <row r="1" spans="1:5">
      <c r="A1" s="1" t="s">
        <v>16</v>
      </c>
      <c r="B1" s="1" t="s">
        <v>17</v>
      </c>
      <c r="C1" t="s">
        <v>18</v>
      </c>
      <c r="D1" t="s">
        <v>19</v>
      </c>
      <c r="E1" t="s">
        <v>20</v>
      </c>
    </row>
    <row r="2" spans="1:5">
      <c r="A2" t="s">
        <v>21</v>
      </c>
      <c r="B2" t="s">
        <v>22</v>
      </c>
      <c r="C2" t="b">
        <f>TRUE()</f>
        <v>1</v>
      </c>
      <c r="E2" t="b">
        <f>TRUE()</f>
        <v>1</v>
      </c>
    </row>
    <row r="3" spans="1:5">
      <c r="A3" t="s">
        <v>23</v>
      </c>
      <c r="B3" t="s">
        <v>24</v>
      </c>
      <c r="C3" t="b">
        <f>TRUE()</f>
        <v>1</v>
      </c>
      <c r="E3" t="b">
        <f>TRUE()</f>
        <v>1</v>
      </c>
    </row>
    <row r="4" spans="1:5">
      <c r="A4" t="s">
        <v>25</v>
      </c>
      <c r="B4" t="s">
        <v>358</v>
      </c>
      <c r="C4" t="b">
        <f>TRUE()</f>
        <v>1</v>
      </c>
      <c r="E4" t="b">
        <f>TRUE()</f>
        <v>1</v>
      </c>
    </row>
    <row r="5" spans="1:5">
      <c r="A5" t="s">
        <v>27</v>
      </c>
      <c r="B5" t="s">
        <v>238</v>
      </c>
      <c r="C5" t="b">
        <f>TRUE()</f>
        <v>1</v>
      </c>
      <c r="E5" t="b">
        <f>TRUE()</f>
        <v>1</v>
      </c>
    </row>
    <row r="6" spans="1:5">
      <c r="A6" t="s">
        <v>29</v>
      </c>
      <c r="B6" t="s">
        <v>359</v>
      </c>
      <c r="C6" t="b">
        <f>FALSE()</f>
        <v>0</v>
      </c>
      <c r="E6" t="b">
        <f>FALSE()</f>
        <v>0</v>
      </c>
    </row>
    <row r="7" spans="1:5">
      <c r="A7" t="s">
        <v>31</v>
      </c>
      <c r="B7" t="s">
        <v>236</v>
      </c>
      <c r="C7" t="b">
        <f>TRUE()</f>
        <v>1</v>
      </c>
      <c r="E7" t="b">
        <f>TRUE()</f>
        <v>1</v>
      </c>
    </row>
    <row r="8" spans="1:5">
      <c r="A8" t="s">
        <v>33</v>
      </c>
      <c r="B8" t="s">
        <v>34</v>
      </c>
      <c r="C8" t="b">
        <f>TRUE()</f>
        <v>1</v>
      </c>
      <c r="E8" t="b">
        <f>TRUE()</f>
        <v>1</v>
      </c>
    </row>
    <row r="9" spans="1:5">
      <c r="A9" t="s">
        <v>35</v>
      </c>
      <c r="B9" t="s">
        <v>36</v>
      </c>
      <c r="C9" t="b">
        <f>TRUE()</f>
        <v>1</v>
      </c>
      <c r="E9" t="b">
        <f>TRUE()</f>
        <v>1</v>
      </c>
    </row>
    <row r="10" spans="1:5">
      <c r="A10" t="s">
        <v>37</v>
      </c>
      <c r="B10" t="s">
        <v>321</v>
      </c>
      <c r="C10" t="b">
        <f>TRUE()</f>
        <v>1</v>
      </c>
      <c r="E10" t="b">
        <f>TRUE()</f>
        <v>1</v>
      </c>
    </row>
    <row r="11" spans="1:5">
      <c r="A11" t="s">
        <v>39</v>
      </c>
      <c r="B11" t="s">
        <v>238</v>
      </c>
      <c r="C11" t="b">
        <f>TRUE()</f>
        <v>1</v>
      </c>
      <c r="E11" t="b">
        <f>TRUE()</f>
        <v>1</v>
      </c>
    </row>
    <row r="12" spans="1:5" ht="31.35">
      <c r="A12" t="s">
        <v>41</v>
      </c>
      <c r="B12" s="4" t="s">
        <v>360</v>
      </c>
      <c r="C12" t="b">
        <f>FALSE()</f>
        <v>0</v>
      </c>
      <c r="E12" t="b">
        <f>FALSE()</f>
        <v>0</v>
      </c>
    </row>
    <row r="13" spans="1:5">
      <c r="A13" t="s">
        <v>43</v>
      </c>
      <c r="B13" t="s">
        <v>269</v>
      </c>
      <c r="C13" t="b">
        <f>FALSE()</f>
        <v>0</v>
      </c>
      <c r="E13" t="b">
        <f>FALSE()</f>
        <v>0</v>
      </c>
    </row>
    <row r="14" spans="1:5">
      <c r="A14" t="s">
        <v>44</v>
      </c>
      <c r="B14" t="s">
        <v>45</v>
      </c>
      <c r="C14" t="b">
        <f>TRUE()</f>
        <v>1</v>
      </c>
      <c r="E14" t="b">
        <f>TRUE()</f>
        <v>1</v>
      </c>
    </row>
    <row r="15" spans="1:5">
      <c r="A15" t="s">
        <v>46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48</v>
      </c>
      <c r="B16" t="s">
        <v>361</v>
      </c>
      <c r="C16" t="b">
        <f>TRUE()</f>
        <v>1</v>
      </c>
      <c r="E16" t="b">
        <f>TRUE()</f>
        <v>1</v>
      </c>
    </row>
    <row r="17" spans="1:5">
      <c r="A17" t="s">
        <v>50</v>
      </c>
      <c r="B17" t="s">
        <v>238</v>
      </c>
      <c r="C17" t="b">
        <f>TRUE()</f>
        <v>1</v>
      </c>
      <c r="E17" t="b">
        <f>TRUE()</f>
        <v>1</v>
      </c>
    </row>
    <row r="18" spans="1:5">
      <c r="A18" t="s">
        <v>52</v>
      </c>
      <c r="B18" t="s">
        <v>337</v>
      </c>
      <c r="C18" t="b">
        <f>FALSE()</f>
        <v>0</v>
      </c>
      <c r="E18" t="b">
        <f>FALSE()</f>
        <v>0</v>
      </c>
    </row>
    <row r="19" spans="1:5">
      <c r="A19" t="s">
        <v>54</v>
      </c>
      <c r="B19" t="s">
        <v>362</v>
      </c>
      <c r="C19" t="b">
        <f>TRUE()</f>
        <v>1</v>
      </c>
      <c r="E19" t="b">
        <f>TRUE()</f>
        <v>1</v>
      </c>
    </row>
    <row r="20" spans="1:5">
      <c r="A20" t="s">
        <v>100</v>
      </c>
      <c r="B20" t="s">
        <v>101</v>
      </c>
      <c r="C20" t="b">
        <f>TRUE()</f>
        <v>1</v>
      </c>
      <c r="E20" t="b">
        <f>TRUE()</f>
        <v>1</v>
      </c>
    </row>
    <row r="21" spans="1:5">
      <c r="A21" t="s">
        <v>102</v>
      </c>
      <c r="B21" t="s">
        <v>103</v>
      </c>
      <c r="C21" t="b">
        <f>TRUE()</f>
        <v>1</v>
      </c>
      <c r="E21" t="b">
        <f>TRUE()</f>
        <v>1</v>
      </c>
    </row>
    <row r="22" spans="1:5">
      <c r="A22" t="s">
        <v>104</v>
      </c>
      <c r="B22" t="s">
        <v>224</v>
      </c>
      <c r="C22" t="b">
        <f>TRUE()</f>
        <v>1</v>
      </c>
      <c r="E22" t="b">
        <f>TRUE()</f>
        <v>1</v>
      </c>
    </row>
    <row r="23" spans="1:5">
      <c r="A23" t="s">
        <v>106</v>
      </c>
      <c r="B23" t="s">
        <v>238</v>
      </c>
      <c r="C23" t="b">
        <f>TRUE()</f>
        <v>1</v>
      </c>
      <c r="E23" t="b">
        <f>TRUE()</f>
        <v>1</v>
      </c>
    </row>
    <row r="24" spans="1:5" ht="31.35">
      <c r="A24" t="s">
        <v>108</v>
      </c>
      <c r="B24" s="4" t="s">
        <v>363</v>
      </c>
      <c r="C24" t="s">
        <v>2</v>
      </c>
      <c r="E24" t="b">
        <v>0</v>
      </c>
    </row>
    <row r="25" spans="1:5">
      <c r="A25" t="s">
        <v>110</v>
      </c>
      <c r="B25" t="s">
        <v>320</v>
      </c>
      <c r="C25" t="b">
        <f>TRUE()</f>
        <v>1</v>
      </c>
      <c r="E25" t="b">
        <f>TRUE()</f>
        <v>1</v>
      </c>
    </row>
    <row r="26" spans="1:5">
      <c r="A26" t="s">
        <v>112</v>
      </c>
      <c r="B26" t="s">
        <v>113</v>
      </c>
      <c r="C26" t="b">
        <f>TRUE()</f>
        <v>1</v>
      </c>
      <c r="E26" t="b">
        <f>TRUE()</f>
        <v>1</v>
      </c>
    </row>
    <row r="27" spans="1:5">
      <c r="A27" t="s">
        <v>114</v>
      </c>
      <c r="B27" t="s">
        <v>115</v>
      </c>
      <c r="C27" t="b">
        <f>TRUE()</f>
        <v>1</v>
      </c>
      <c r="E27" t="b">
        <f>TRUE()</f>
        <v>1</v>
      </c>
    </row>
    <row r="28" spans="1:5">
      <c r="A28" t="s">
        <v>116</v>
      </c>
      <c r="B28" t="s">
        <v>364</v>
      </c>
      <c r="C28" t="b">
        <f>TRUE()</f>
        <v>1</v>
      </c>
      <c r="E28" t="b">
        <f>TRUE()</f>
        <v>1</v>
      </c>
    </row>
    <row r="29" spans="1:5">
      <c r="A29" t="s">
        <v>118</v>
      </c>
      <c r="B29" t="s">
        <v>315</v>
      </c>
      <c r="C29" t="b">
        <f>TRUE()</f>
        <v>1</v>
      </c>
      <c r="E29" t="b">
        <f>TRUE()</f>
        <v>1</v>
      </c>
    </row>
    <row r="30" spans="1:5">
      <c r="A30" t="s">
        <v>120</v>
      </c>
      <c r="B30" t="s">
        <v>327</v>
      </c>
      <c r="C30" t="b">
        <f>FALSE()</f>
        <v>0</v>
      </c>
      <c r="E30" t="b">
        <f>FALSE()</f>
        <v>0</v>
      </c>
    </row>
    <row r="31" spans="1:5">
      <c r="A31" t="s">
        <v>122</v>
      </c>
      <c r="B31" t="s">
        <v>352</v>
      </c>
      <c r="C31" t="b">
        <f>FALSE()</f>
        <v>0</v>
      </c>
      <c r="E31" t="b">
        <f>FALSE()</f>
        <v>0</v>
      </c>
    </row>
    <row r="32" spans="1:5">
      <c r="A32" t="s">
        <v>162</v>
      </c>
      <c r="B32" t="s">
        <v>163</v>
      </c>
      <c r="C32" t="b">
        <f>TRUE()</f>
        <v>1</v>
      </c>
      <c r="E32" t="b">
        <f>TRUE()</f>
        <v>1</v>
      </c>
    </row>
    <row r="33" spans="1:5">
      <c r="A33" t="s">
        <v>164</v>
      </c>
      <c r="B33" t="s">
        <v>165</v>
      </c>
      <c r="C33" t="b">
        <f>TRUE()</f>
        <v>1</v>
      </c>
      <c r="E33" t="b">
        <f>TRUE()</f>
        <v>1</v>
      </c>
    </row>
    <row r="34" spans="1:5">
      <c r="A34" t="s">
        <v>166</v>
      </c>
      <c r="B34" t="s">
        <v>365</v>
      </c>
      <c r="C34" t="b">
        <f>TRUE()</f>
        <v>1</v>
      </c>
      <c r="E34" t="b">
        <f>TRUE()</f>
        <v>1</v>
      </c>
    </row>
    <row r="35" spans="1:5">
      <c r="A35" t="s">
        <v>168</v>
      </c>
      <c r="B35" t="s">
        <v>238</v>
      </c>
      <c r="C35" t="b">
        <f>TRUE()</f>
        <v>1</v>
      </c>
      <c r="E35" t="b">
        <f>TRUE()</f>
        <v>1</v>
      </c>
    </row>
    <row r="36" spans="1:5" ht="31.35">
      <c r="A36" t="s">
        <v>170</v>
      </c>
      <c r="B36" s="4" t="s">
        <v>344</v>
      </c>
      <c r="C36" t="b">
        <f>FALSE()</f>
        <v>0</v>
      </c>
      <c r="E36" t="b">
        <f>FALSE()</f>
        <v>0</v>
      </c>
    </row>
    <row r="37" spans="1:5">
      <c r="A37" t="s">
        <v>172</v>
      </c>
      <c r="B37" t="s">
        <v>269</v>
      </c>
      <c r="C37" t="b">
        <f>FALSE()</f>
        <v>0</v>
      </c>
      <c r="E37" t="b">
        <f>FALSE()</f>
        <v>0</v>
      </c>
    </row>
    <row r="38" spans="1:5">
      <c r="A38" t="s">
        <v>174</v>
      </c>
      <c r="B38" t="s">
        <v>175</v>
      </c>
      <c r="C38" t="b">
        <f>TRUE()</f>
        <v>1</v>
      </c>
      <c r="E38" t="b">
        <f>TRUE()</f>
        <v>1</v>
      </c>
    </row>
    <row r="39" spans="1:5">
      <c r="A39" t="s">
        <v>176</v>
      </c>
      <c r="B39" t="s">
        <v>177</v>
      </c>
      <c r="C39" t="b">
        <f>TRUE()</f>
        <v>1</v>
      </c>
      <c r="E39" t="b">
        <f>TRUE()</f>
        <v>1</v>
      </c>
    </row>
    <row r="40" spans="1:5">
      <c r="A40" t="s">
        <v>178</v>
      </c>
      <c r="B40" t="s">
        <v>365</v>
      </c>
      <c r="C40" t="b">
        <f>TRUE()</f>
        <v>1</v>
      </c>
      <c r="E40" t="b">
        <f>TRUE()</f>
        <v>1</v>
      </c>
    </row>
    <row r="41" spans="1:5">
      <c r="A41" t="s">
        <v>179</v>
      </c>
      <c r="B41" t="s">
        <v>238</v>
      </c>
      <c r="C41" t="b">
        <f>TRUE()</f>
        <v>1</v>
      </c>
      <c r="E41" t="b">
        <f>TRUE()</f>
        <v>1</v>
      </c>
    </row>
    <row r="42" spans="1:5">
      <c r="A42" t="s">
        <v>181</v>
      </c>
      <c r="B42" t="s">
        <v>346</v>
      </c>
      <c r="C42" t="b">
        <f>FALSE()</f>
        <v>0</v>
      </c>
      <c r="E42" t="b">
        <f>FALSE()</f>
        <v>0</v>
      </c>
    </row>
    <row r="43" spans="1:5">
      <c r="A43" t="s">
        <v>183</v>
      </c>
      <c r="B43" t="s">
        <v>236</v>
      </c>
      <c r="C43" t="b">
        <f>FALSE()</f>
        <v>0</v>
      </c>
      <c r="E43" t="b">
        <f>FALSE()</f>
        <v>0</v>
      </c>
    </row>
    <row r="44" spans="1:5">
      <c r="A44" t="s">
        <v>231</v>
      </c>
      <c r="B44" t="s">
        <v>232</v>
      </c>
      <c r="C44" t="b">
        <f>TRUE()</f>
        <v>1</v>
      </c>
      <c r="E44" t="b">
        <f>TRUE()</f>
        <v>1</v>
      </c>
    </row>
    <row r="45" spans="1:5">
      <c r="A45" t="s">
        <v>233</v>
      </c>
      <c r="B45" t="s">
        <v>234</v>
      </c>
      <c r="C45" t="b">
        <f>TRUE()</f>
        <v>1</v>
      </c>
      <c r="E45" t="b">
        <f>TRUE()</f>
        <v>1</v>
      </c>
    </row>
    <row r="46" spans="1:5">
      <c r="A46" t="s">
        <v>235</v>
      </c>
      <c r="B46" t="s">
        <v>366</v>
      </c>
      <c r="C46" t="b">
        <f>TRUE()</f>
        <v>1</v>
      </c>
      <c r="E46" t="b">
        <f>TRUE()</f>
        <v>1</v>
      </c>
    </row>
    <row r="47" spans="1:5">
      <c r="A47" t="s">
        <v>237</v>
      </c>
      <c r="B47" t="s">
        <v>238</v>
      </c>
      <c r="C47" t="b">
        <f>TRUE()</f>
        <v>1</v>
      </c>
      <c r="E47" t="b">
        <f>TRUE()</f>
        <v>1</v>
      </c>
    </row>
    <row r="48" spans="1:5">
      <c r="A48" t="s">
        <v>239</v>
      </c>
      <c r="B48" t="s">
        <v>367</v>
      </c>
      <c r="C48" t="b">
        <f>FALSE()</f>
        <v>0</v>
      </c>
      <c r="E48" t="b">
        <f>FALSE()</f>
        <v>0</v>
      </c>
    </row>
    <row r="49" spans="1:5">
      <c r="A49" t="s">
        <v>240</v>
      </c>
      <c r="B49" t="s">
        <v>236</v>
      </c>
      <c r="C49" t="b">
        <f>FALSE()</f>
        <v>0</v>
      </c>
      <c r="E49" t="b">
        <f>FALSE()</f>
        <v>0</v>
      </c>
    </row>
    <row r="50" spans="1:5">
      <c r="A50" t="s">
        <v>242</v>
      </c>
      <c r="B50" t="s">
        <v>243</v>
      </c>
      <c r="C50" t="b">
        <f>TRUE()</f>
        <v>1</v>
      </c>
      <c r="E50" t="b">
        <f>TRUE()</f>
        <v>1</v>
      </c>
    </row>
    <row r="51" spans="1:5">
      <c r="A51" t="s">
        <v>244</v>
      </c>
      <c r="B51" t="s">
        <v>245</v>
      </c>
      <c r="C51" t="b">
        <f>TRUE()</f>
        <v>1</v>
      </c>
      <c r="E51" t="b">
        <f>TRUE()</f>
        <v>1</v>
      </c>
    </row>
    <row r="52" spans="1:5">
      <c r="A52" t="s">
        <v>246</v>
      </c>
      <c r="B52" t="s">
        <v>368</v>
      </c>
      <c r="C52" t="b">
        <f>TRUE()</f>
        <v>1</v>
      </c>
      <c r="E52" t="b">
        <f>TRUE()</f>
        <v>1</v>
      </c>
    </row>
    <row r="53" spans="1:5">
      <c r="A53" t="s">
        <v>248</v>
      </c>
      <c r="B53" t="s">
        <v>238</v>
      </c>
      <c r="C53" t="b">
        <f>TRUE()</f>
        <v>1</v>
      </c>
      <c r="E53" t="b">
        <f>TRUE()</f>
        <v>1</v>
      </c>
    </row>
    <row r="54" spans="1:5">
      <c r="A54" t="s">
        <v>249</v>
      </c>
      <c r="B54" t="s">
        <v>369</v>
      </c>
      <c r="C54" t="b">
        <f>FALSE()</f>
        <v>0</v>
      </c>
      <c r="E54" t="b">
        <f>FALSE()</f>
        <v>0</v>
      </c>
    </row>
    <row r="55" spans="1:5">
      <c r="A55" t="s">
        <v>251</v>
      </c>
      <c r="B55" t="s">
        <v>324</v>
      </c>
      <c r="C55" t="b">
        <f>TRUE()</f>
        <v>1</v>
      </c>
      <c r="E55" t="b">
        <f>TRUE()</f>
        <v>1</v>
      </c>
    </row>
    <row r="56" spans="1:5">
      <c r="A56" t="s">
        <v>253</v>
      </c>
      <c r="B56" t="s">
        <v>254</v>
      </c>
      <c r="C56" t="b">
        <f>TRUE()</f>
        <v>1</v>
      </c>
      <c r="E56" t="b">
        <f>TRUE()</f>
        <v>1</v>
      </c>
    </row>
    <row r="57" spans="1:5">
      <c r="A57" t="s">
        <v>255</v>
      </c>
      <c r="B57" t="s">
        <v>256</v>
      </c>
      <c r="C57" t="b">
        <f>TRUE()</f>
        <v>1</v>
      </c>
      <c r="E57" t="b">
        <f>TRUE()</f>
        <v>1</v>
      </c>
    </row>
    <row r="58" spans="1:5">
      <c r="A58" t="s">
        <v>257</v>
      </c>
      <c r="B58" t="s">
        <v>258</v>
      </c>
      <c r="C58" t="b">
        <f>FALSE()</f>
        <v>0</v>
      </c>
      <c r="E58" t="b">
        <f>FALSE()</f>
        <v>0</v>
      </c>
    </row>
    <row r="59" spans="1:5">
      <c r="A59" t="s">
        <v>259</v>
      </c>
      <c r="B59" t="s">
        <v>315</v>
      </c>
      <c r="C59" t="b">
        <f>TRUE()</f>
        <v>1</v>
      </c>
      <c r="E59" t="b">
        <f>TRUE()</f>
        <v>1</v>
      </c>
    </row>
    <row r="60" spans="1:5">
      <c r="A60" t="s">
        <v>261</v>
      </c>
      <c r="B60" t="s">
        <v>262</v>
      </c>
      <c r="C60" t="s">
        <v>2</v>
      </c>
      <c r="E60" t="b">
        <v>0</v>
      </c>
    </row>
    <row r="61" spans="1:5">
      <c r="A61" t="s">
        <v>263</v>
      </c>
      <c r="B61" t="s">
        <v>370</v>
      </c>
      <c r="C61" t="b">
        <f>FALSE()</f>
        <v>0</v>
      </c>
      <c r="E61" t="b">
        <f>FALSE()</f>
        <v>0</v>
      </c>
    </row>
    <row r="62" spans="1:5">
      <c r="A62" t="s">
        <v>55</v>
      </c>
      <c r="B62" t="s">
        <v>56</v>
      </c>
      <c r="C62" t="b">
        <f>TRUE()</f>
        <v>1</v>
      </c>
      <c r="E62" t="b">
        <f>TRUE()</f>
        <v>1</v>
      </c>
    </row>
    <row r="63" spans="1:5">
      <c r="A63" t="s">
        <v>57</v>
      </c>
      <c r="B63" t="s">
        <v>58</v>
      </c>
      <c r="C63" t="b">
        <f>TRUE()</f>
        <v>1</v>
      </c>
      <c r="E63" t="b">
        <f>TRUE()</f>
        <v>1</v>
      </c>
    </row>
    <row r="64" spans="1:5">
      <c r="A64" t="s">
        <v>59</v>
      </c>
      <c r="B64" t="s">
        <v>350</v>
      </c>
      <c r="C64" t="b">
        <f>TRUE()</f>
        <v>1</v>
      </c>
      <c r="E64" t="b">
        <f>TRUE()</f>
        <v>1</v>
      </c>
    </row>
    <row r="65" spans="1:5">
      <c r="A65" t="s">
        <v>61</v>
      </c>
      <c r="B65" t="s">
        <v>328</v>
      </c>
      <c r="C65" t="b">
        <f>TRUE()</f>
        <v>1</v>
      </c>
      <c r="E65" t="b">
        <f>TRUE()</f>
        <v>1</v>
      </c>
    </row>
    <row r="66" spans="1:5">
      <c r="A66" t="s">
        <v>63</v>
      </c>
      <c r="B66" t="s">
        <v>371</v>
      </c>
      <c r="C66" t="b">
        <f>FALSE()</f>
        <v>0</v>
      </c>
      <c r="E66" t="b">
        <f>FALSE()</f>
        <v>0</v>
      </c>
    </row>
    <row r="67" spans="1:5">
      <c r="A67" t="s">
        <v>65</v>
      </c>
      <c r="B67" t="s">
        <v>352</v>
      </c>
      <c r="C67" t="b">
        <f>FALSE()</f>
        <v>0</v>
      </c>
      <c r="E67" t="b">
        <f>FALSE()</f>
        <v>0</v>
      </c>
    </row>
    <row r="68" spans="1:5">
      <c r="A68" t="s">
        <v>67</v>
      </c>
      <c r="B68" t="s">
        <v>68</v>
      </c>
      <c r="C68" t="b">
        <f>TRUE()</f>
        <v>1</v>
      </c>
      <c r="E68" t="b">
        <f>TRUE()</f>
        <v>1</v>
      </c>
    </row>
    <row r="69" spans="1:5">
      <c r="A69" t="s">
        <v>69</v>
      </c>
      <c r="B69" t="s">
        <v>70</v>
      </c>
      <c r="C69" t="b">
        <f>TRUE()</f>
        <v>1</v>
      </c>
      <c r="E69" t="b">
        <f>TRUE()</f>
        <v>1</v>
      </c>
    </row>
    <row r="70" spans="1:5">
      <c r="A70" t="s">
        <v>71</v>
      </c>
      <c r="B70" t="s">
        <v>372</v>
      </c>
      <c r="C70" t="b">
        <f>TRUE()</f>
        <v>1</v>
      </c>
      <c r="E70" t="b">
        <f>TRUE()</f>
        <v>1</v>
      </c>
    </row>
    <row r="71" spans="1:5">
      <c r="A71" t="s">
        <v>73</v>
      </c>
      <c r="B71" t="s">
        <v>328</v>
      </c>
      <c r="C71" t="b">
        <f>TRUE()</f>
        <v>1</v>
      </c>
      <c r="E71" t="b">
        <f>TRUE()</f>
        <v>1</v>
      </c>
    </row>
    <row r="72" spans="1:5" ht="31.35">
      <c r="A72" t="s">
        <v>75</v>
      </c>
      <c r="B72" s="4" t="s">
        <v>373</v>
      </c>
      <c r="C72" t="s">
        <v>2</v>
      </c>
      <c r="E72" t="b">
        <v>0</v>
      </c>
    </row>
    <row r="73" spans="1:5">
      <c r="A73" t="s">
        <v>77</v>
      </c>
      <c r="B73" t="s">
        <v>320</v>
      </c>
      <c r="C73" t="b">
        <f>TRUE()</f>
        <v>1</v>
      </c>
      <c r="E73" t="b">
        <f>TRUE()</f>
        <v>1</v>
      </c>
    </row>
    <row r="74" spans="1:5">
      <c r="A74" t="s">
        <v>79</v>
      </c>
      <c r="B74" t="s">
        <v>80</v>
      </c>
      <c r="C74" t="b">
        <f>TRUE()</f>
        <v>1</v>
      </c>
      <c r="E74" t="b">
        <f>TRUE()</f>
        <v>1</v>
      </c>
    </row>
    <row r="75" spans="1:5">
      <c r="A75" t="s">
        <v>81</v>
      </c>
      <c r="B75" t="s">
        <v>82</v>
      </c>
      <c r="C75" t="b">
        <f>TRUE()</f>
        <v>1</v>
      </c>
      <c r="E75" t="b">
        <f>TRUE()</f>
        <v>1</v>
      </c>
    </row>
    <row r="76" spans="1:5">
      <c r="A76" t="s">
        <v>83</v>
      </c>
      <c r="B76" t="s">
        <v>374</v>
      </c>
      <c r="C76" t="b">
        <f>TRUE()</f>
        <v>1</v>
      </c>
      <c r="E76" t="b">
        <f>TRUE()</f>
        <v>1</v>
      </c>
    </row>
    <row r="77" spans="1:5">
      <c r="A77" t="s">
        <v>85</v>
      </c>
      <c r="B77" t="s">
        <v>328</v>
      </c>
      <c r="C77" t="b">
        <f>TRUE()</f>
        <v>1</v>
      </c>
      <c r="E77" t="b">
        <f>TRUE()</f>
        <v>1</v>
      </c>
    </row>
    <row r="78" spans="1:5">
      <c r="A78" t="s">
        <v>87</v>
      </c>
      <c r="B78" t="s">
        <v>270</v>
      </c>
      <c r="C78" t="s">
        <v>2</v>
      </c>
      <c r="E78" t="b">
        <v>0</v>
      </c>
    </row>
    <row r="79" spans="1:5">
      <c r="A79" t="s">
        <v>89</v>
      </c>
      <c r="B79" t="s">
        <v>236</v>
      </c>
      <c r="C79" t="b">
        <f>TRUE()</f>
        <v>1</v>
      </c>
      <c r="E79" t="b">
        <f>TRUE()</f>
        <v>1</v>
      </c>
    </row>
    <row r="80" spans="1:5">
      <c r="A80" t="s">
        <v>128</v>
      </c>
      <c r="B80" t="s">
        <v>129</v>
      </c>
      <c r="C80" t="b">
        <f>TRUE()</f>
        <v>1</v>
      </c>
      <c r="E80" t="b">
        <f>TRUE()</f>
        <v>1</v>
      </c>
    </row>
    <row r="81" spans="1:5">
      <c r="A81" t="s">
        <v>130</v>
      </c>
      <c r="B81" t="s">
        <v>131</v>
      </c>
      <c r="C81" t="b">
        <f>TRUE()</f>
        <v>1</v>
      </c>
      <c r="E81" t="b">
        <f>TRUE()</f>
        <v>1</v>
      </c>
    </row>
    <row r="82" spans="1:5">
      <c r="A82" t="s">
        <v>132</v>
      </c>
      <c r="B82" t="s">
        <v>375</v>
      </c>
      <c r="C82" t="b">
        <f>TRUE()</f>
        <v>1</v>
      </c>
      <c r="E82" t="b">
        <f>TRUE()</f>
        <v>1</v>
      </c>
    </row>
    <row r="83" spans="1:5">
      <c r="A83" t="s">
        <v>134</v>
      </c>
      <c r="B83" t="s">
        <v>328</v>
      </c>
      <c r="C83" t="b">
        <f>TRUE()</f>
        <v>1</v>
      </c>
      <c r="E83" t="b">
        <f>TRUE()</f>
        <v>1</v>
      </c>
    </row>
    <row r="84" spans="1:5">
      <c r="A84" t="s">
        <v>136</v>
      </c>
      <c r="B84" t="s">
        <v>376</v>
      </c>
      <c r="C84" t="s">
        <v>2</v>
      </c>
      <c r="E84" t="b">
        <v>0</v>
      </c>
    </row>
    <row r="85" spans="1:5">
      <c r="A85" t="s">
        <v>137</v>
      </c>
      <c r="B85" t="s">
        <v>352</v>
      </c>
      <c r="C85" t="b">
        <f>TRUE()</f>
        <v>1</v>
      </c>
      <c r="E85" t="b">
        <f>TRUE()</f>
        <v>1</v>
      </c>
    </row>
    <row r="86" spans="1:5">
      <c r="A86" t="s">
        <v>138</v>
      </c>
      <c r="B86" t="s">
        <v>139</v>
      </c>
      <c r="C86" t="b">
        <f>TRUE()</f>
        <v>1</v>
      </c>
      <c r="E86" t="b">
        <f>TRUE()</f>
        <v>1</v>
      </c>
    </row>
    <row r="87" spans="1:5">
      <c r="A87" t="s">
        <v>140</v>
      </c>
      <c r="B87" t="s">
        <v>141</v>
      </c>
      <c r="C87" t="b">
        <f>TRUE()</f>
        <v>1</v>
      </c>
      <c r="E87" t="b">
        <f>TRUE()</f>
        <v>1</v>
      </c>
    </row>
    <row r="88" spans="1:5">
      <c r="A88" t="s">
        <v>142</v>
      </c>
      <c r="B88" t="s">
        <v>372</v>
      </c>
      <c r="C88" t="b">
        <f>TRUE()</f>
        <v>1</v>
      </c>
      <c r="E88" t="b">
        <f>TRUE()</f>
        <v>1</v>
      </c>
    </row>
    <row r="89" spans="1:5">
      <c r="A89" t="s">
        <v>144</v>
      </c>
      <c r="B89" t="s">
        <v>328</v>
      </c>
      <c r="C89" t="b">
        <f>TRUE()</f>
        <v>1</v>
      </c>
      <c r="E89" t="b">
        <f>TRUE()</f>
        <v>1</v>
      </c>
    </row>
    <row r="90" spans="1:5" ht="31.35">
      <c r="A90" t="s">
        <v>146</v>
      </c>
      <c r="B90" s="4" t="s">
        <v>195</v>
      </c>
      <c r="C90" t="b">
        <f>FALSE()</f>
        <v>0</v>
      </c>
      <c r="E90" t="b">
        <f>FALSE()</f>
        <v>0</v>
      </c>
    </row>
    <row r="91" spans="1:5">
      <c r="A91" t="s">
        <v>148</v>
      </c>
      <c r="B91" t="s">
        <v>236</v>
      </c>
      <c r="C91" t="b">
        <f>TRUE()</f>
        <v>1</v>
      </c>
      <c r="E91" t="b">
        <f>TRUE()</f>
        <v>1</v>
      </c>
    </row>
    <row r="92" spans="1:5">
      <c r="A92" t="s">
        <v>197</v>
      </c>
      <c r="B92" t="s">
        <v>198</v>
      </c>
      <c r="C92" t="b">
        <f>TRUE()</f>
        <v>1</v>
      </c>
      <c r="E92" t="b">
        <f>TRUE()</f>
        <v>1</v>
      </c>
    </row>
    <row r="93" spans="1:5">
      <c r="A93" t="s">
        <v>199</v>
      </c>
      <c r="B93" t="s">
        <v>200</v>
      </c>
      <c r="C93" t="b">
        <f>TRUE()</f>
        <v>1</v>
      </c>
      <c r="E93" t="b">
        <f>TRUE()</f>
        <v>1</v>
      </c>
    </row>
    <row r="94" spans="1:5">
      <c r="A94" t="s">
        <v>201</v>
      </c>
      <c r="B94" t="s">
        <v>377</v>
      </c>
      <c r="C94" t="b">
        <f>TRUE()</f>
        <v>1</v>
      </c>
      <c r="E94" t="b">
        <f>TRUE()</f>
        <v>1</v>
      </c>
    </row>
    <row r="95" spans="1:5">
      <c r="A95" t="s">
        <v>203</v>
      </c>
      <c r="B95" t="s">
        <v>328</v>
      </c>
      <c r="C95" t="b">
        <f>TRUE()</f>
        <v>1</v>
      </c>
      <c r="E95" t="b">
        <f>TRUE()</f>
        <v>1</v>
      </c>
    </row>
    <row r="96" spans="1:5">
      <c r="A96" t="s">
        <v>205</v>
      </c>
      <c r="B96" t="s">
        <v>171</v>
      </c>
      <c r="C96" t="s">
        <v>2</v>
      </c>
      <c r="E96" t="b">
        <v>0</v>
      </c>
    </row>
    <row r="97" spans="1:5">
      <c r="A97" t="s">
        <v>207</v>
      </c>
      <c r="B97" t="s">
        <v>352</v>
      </c>
      <c r="C97" t="b">
        <f>TRUE()</f>
        <v>1</v>
      </c>
      <c r="E97" t="b">
        <f>TRUE()</f>
        <v>1</v>
      </c>
    </row>
    <row r="98" spans="1:5">
      <c r="A98" t="s">
        <v>209</v>
      </c>
      <c r="B98" t="s">
        <v>210</v>
      </c>
      <c r="C98" t="b">
        <f>TRUE()</f>
        <v>1</v>
      </c>
      <c r="E98" t="b">
        <f>TRUE()</f>
        <v>1</v>
      </c>
    </row>
    <row r="99" spans="1:5">
      <c r="A99" t="s">
        <v>211</v>
      </c>
      <c r="B99" t="s">
        <v>212</v>
      </c>
      <c r="C99" t="b">
        <f>TRUE()</f>
        <v>1</v>
      </c>
      <c r="E99" t="b">
        <f>TRUE()</f>
        <v>1</v>
      </c>
    </row>
    <row r="100" spans="1:5">
      <c r="A100" t="s">
        <v>213</v>
      </c>
      <c r="B100" t="s">
        <v>325</v>
      </c>
      <c r="C100" t="b">
        <f>TRUE()</f>
        <v>1</v>
      </c>
      <c r="E100" t="b">
        <f>TRUE()</f>
        <v>1</v>
      </c>
    </row>
    <row r="101" spans="1:5">
      <c r="A101" t="s">
        <v>214</v>
      </c>
      <c r="B101" t="s">
        <v>328</v>
      </c>
      <c r="C101" t="b">
        <f>TRUE()</f>
        <v>1</v>
      </c>
      <c r="E101" t="b">
        <f>TRUE()</f>
        <v>1</v>
      </c>
    </row>
    <row r="102" spans="1:5">
      <c r="A102" t="s">
        <v>216</v>
      </c>
      <c r="B102" t="s">
        <v>279</v>
      </c>
      <c r="C102" t="b">
        <f>TRUE()</f>
        <v>1</v>
      </c>
      <c r="E102" t="b">
        <f>TRUE()</f>
        <v>1</v>
      </c>
    </row>
    <row r="103" spans="1:5">
      <c r="A103" t="s">
        <v>217</v>
      </c>
      <c r="B103" t="s">
        <v>316</v>
      </c>
      <c r="C103" t="b">
        <f>TRUE()</f>
        <v>1</v>
      </c>
      <c r="E103" t="b">
        <f>TRUE()</f>
        <v>1</v>
      </c>
    </row>
    <row r="104" spans="1:5">
      <c r="A104" t="s">
        <v>281</v>
      </c>
      <c r="B104" t="s">
        <v>282</v>
      </c>
      <c r="C104" t="b">
        <f>TRUE()</f>
        <v>1</v>
      </c>
      <c r="E104" t="b">
        <f>TRUE()</f>
        <v>1</v>
      </c>
    </row>
    <row r="105" spans="1:5">
      <c r="A105" t="s">
        <v>283</v>
      </c>
      <c r="B105" t="s">
        <v>284</v>
      </c>
      <c r="C105" t="b">
        <f>TRUE()</f>
        <v>1</v>
      </c>
      <c r="E105" t="b">
        <f>TRUE()</f>
        <v>1</v>
      </c>
    </row>
    <row r="106" spans="1:5">
      <c r="A106" t="s">
        <v>285</v>
      </c>
      <c r="B106" t="s">
        <v>345</v>
      </c>
      <c r="C106" t="b">
        <f>TRUE()</f>
        <v>1</v>
      </c>
      <c r="E106" t="b">
        <f>TRUE()</f>
        <v>1</v>
      </c>
    </row>
    <row r="107" spans="1:5">
      <c r="A107" t="s">
        <v>286</v>
      </c>
      <c r="B107" t="s">
        <v>328</v>
      </c>
      <c r="C107" t="b">
        <f>TRUE()</f>
        <v>1</v>
      </c>
      <c r="E107" t="b">
        <f>TRUE()</f>
        <v>1</v>
      </c>
    </row>
    <row r="108" spans="1:5">
      <c r="A108" t="s">
        <v>287</v>
      </c>
      <c r="B108" t="s">
        <v>378</v>
      </c>
      <c r="C108" t="s">
        <v>2</v>
      </c>
      <c r="E108" t="b">
        <v>0</v>
      </c>
    </row>
    <row r="109" spans="1:5">
      <c r="A109" t="s">
        <v>289</v>
      </c>
      <c r="B109" t="s">
        <v>362</v>
      </c>
      <c r="C109" t="b">
        <f>FALSE()</f>
        <v>0</v>
      </c>
      <c r="E109" t="b">
        <f>FALSE()</f>
        <v>0</v>
      </c>
    </row>
    <row r="110" spans="1:5">
      <c r="A110" t="s">
        <v>291</v>
      </c>
      <c r="B110" t="s">
        <v>292</v>
      </c>
      <c r="C110" t="b">
        <f>TRUE()</f>
        <v>1</v>
      </c>
      <c r="E110" t="b">
        <f>TRUE()</f>
        <v>1</v>
      </c>
    </row>
    <row r="111" spans="1:5">
      <c r="A111" t="s">
        <v>293</v>
      </c>
      <c r="B111" t="s">
        <v>294</v>
      </c>
      <c r="C111" t="b">
        <f>TRUE()</f>
        <v>1</v>
      </c>
      <c r="E111" t="b">
        <f>TRUE()</f>
        <v>1</v>
      </c>
    </row>
    <row r="112" spans="1:5">
      <c r="A112" t="s">
        <v>295</v>
      </c>
      <c r="B112" t="s">
        <v>379</v>
      </c>
      <c r="C112" t="b">
        <f>TRUE()</f>
        <v>1</v>
      </c>
      <c r="E112" t="b">
        <f>TRUE()</f>
        <v>1</v>
      </c>
    </row>
    <row r="113" spans="1:5">
      <c r="A113" t="s">
        <v>297</v>
      </c>
      <c r="B113" t="s">
        <v>318</v>
      </c>
      <c r="C113" t="b">
        <f>TRUE()</f>
        <v>1</v>
      </c>
      <c r="E113" t="b">
        <f>TRUE()</f>
        <v>1</v>
      </c>
    </row>
    <row r="114" spans="1:5">
      <c r="A114" t="s">
        <v>299</v>
      </c>
      <c r="B114" t="s">
        <v>300</v>
      </c>
      <c r="C114" t="s">
        <v>2</v>
      </c>
      <c r="E114" t="b">
        <v>0</v>
      </c>
    </row>
    <row r="115" spans="1:5">
      <c r="A115" t="s">
        <v>301</v>
      </c>
      <c r="B115" t="s">
        <v>322</v>
      </c>
      <c r="C115" t="b">
        <f>TRUE()</f>
        <v>1</v>
      </c>
      <c r="E115" t="b">
        <f>TRUE()</f>
        <v>1</v>
      </c>
    </row>
    <row r="116" spans="1:5">
      <c r="A116" t="s">
        <v>303</v>
      </c>
      <c r="B116" t="s">
        <v>304</v>
      </c>
      <c r="C116" t="b">
        <f>TRUE()</f>
        <v>1</v>
      </c>
      <c r="E116" t="b">
        <f>TRUE()</f>
        <v>1</v>
      </c>
    </row>
    <row r="117" spans="1:5">
      <c r="A117" t="s">
        <v>305</v>
      </c>
      <c r="B117" t="s">
        <v>306</v>
      </c>
      <c r="C117" t="b">
        <f>TRUE()</f>
        <v>1</v>
      </c>
      <c r="E117" t="b">
        <f>TRUE()</f>
        <v>1</v>
      </c>
    </row>
    <row r="118" spans="1:5">
      <c r="A118" t="s">
        <v>307</v>
      </c>
      <c r="B118" t="s">
        <v>380</v>
      </c>
      <c r="C118" t="b">
        <f>TRUE()</f>
        <v>1</v>
      </c>
      <c r="E118" t="b">
        <f>TRUE()</f>
        <v>1</v>
      </c>
    </row>
    <row r="119" spans="1:5">
      <c r="A119" t="s">
        <v>309</v>
      </c>
      <c r="B119" t="s">
        <v>318</v>
      </c>
      <c r="C119" t="b">
        <f>TRUE()</f>
        <v>1</v>
      </c>
      <c r="E119" t="b">
        <f>TRUE()</f>
        <v>1</v>
      </c>
    </row>
    <row r="120" spans="1:5">
      <c r="A120" t="s">
        <v>311</v>
      </c>
      <c r="B120" t="s">
        <v>312</v>
      </c>
      <c r="C120" t="b">
        <f>TRUE()</f>
        <v>1</v>
      </c>
      <c r="E120" t="b">
        <f>TRUE()</f>
        <v>1</v>
      </c>
    </row>
    <row r="121" spans="1:5">
      <c r="A121" t="s">
        <v>313</v>
      </c>
      <c r="B121" t="s">
        <v>316</v>
      </c>
      <c r="C121" t="b">
        <f>TRUE()</f>
        <v>1</v>
      </c>
      <c r="E1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7</cp:revision>
  <dcterms:created xsi:type="dcterms:W3CDTF">2026-06-19T11:43:28Z</dcterms:created>
  <dcterms:modified xsi:type="dcterms:W3CDTF">2026-09-16T15:25:24Z</dcterms:modified>
  <cp:category/>
  <cp:contentStatus/>
</cp:coreProperties>
</file>