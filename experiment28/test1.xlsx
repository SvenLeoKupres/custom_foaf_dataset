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45" documentId="11_A153BD181CFE72E0AB469D7F469CCB4D16D6A7B3" xr6:coauthVersionLast="47" xr6:coauthVersionMax="47" xr10:uidLastSave="{C10EE152-0108-4A42-8667-7CD8F7EB0F2E}"/>
  <bookViews>
    <workbookView xWindow="0" yWindow="0" windowWidth="16384" windowHeight="8192" tabRatio="500" xr2:uid="{00000000-000D-0000-FFFF-FFFF00000000}"/>
  </bookViews>
  <sheets>
    <sheet name="kappa" sheetId="9" r:id="rId1"/>
    <sheet name="xml_names_people6" sheetId="1" r:id="rId2"/>
    <sheet name="xml_names_people10" sheetId="2" r:id="rId3"/>
    <sheet name="xml_names_people14" sheetId="3" r:id="rId4"/>
    <sheet name="xml_names_people20" sheetId="4" r:id="rId5"/>
    <sheet name="natural_people6" sheetId="5" r:id="rId6"/>
    <sheet name="natural_people10" sheetId="6" r:id="rId7"/>
    <sheet name="natural_people14" sheetId="7" r:id="rId8"/>
    <sheet name="natural_people20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5" i="9" l="1"/>
  <c r="C35" i="9"/>
  <c r="B35" i="9"/>
  <c r="D34" i="9"/>
  <c r="C34" i="9"/>
  <c r="B34" i="9"/>
  <c r="D33" i="9"/>
  <c r="C33" i="9"/>
  <c r="B33" i="9"/>
  <c r="I35" i="9"/>
  <c r="H35" i="9"/>
  <c r="G35" i="9"/>
  <c r="I34" i="9"/>
  <c r="H34" i="9"/>
  <c r="G34" i="9"/>
  <c r="I33" i="9"/>
  <c r="H33" i="9"/>
  <c r="G33" i="9"/>
  <c r="I25" i="9"/>
  <c r="H25" i="9"/>
  <c r="G25" i="9"/>
  <c r="I24" i="9"/>
  <c r="H24" i="9"/>
  <c r="G24" i="9"/>
  <c r="I23" i="9"/>
  <c r="H23" i="9"/>
  <c r="G23" i="9"/>
  <c r="D25" i="9"/>
  <c r="D55" i="9" s="1"/>
  <c r="D81" i="9" s="1"/>
  <c r="C25" i="9"/>
  <c r="C55" i="9" s="1"/>
  <c r="C81" i="9" s="1"/>
  <c r="B25" i="9"/>
  <c r="B55" i="9" s="1"/>
  <c r="B81" i="9" s="1"/>
  <c r="D24" i="9"/>
  <c r="D54" i="9" s="1"/>
  <c r="D80" i="9" s="1"/>
  <c r="C24" i="9"/>
  <c r="C54" i="9" s="1"/>
  <c r="C80" i="9" s="1"/>
  <c r="B24" i="9"/>
  <c r="B54" i="9" s="1"/>
  <c r="B80" i="9" s="1"/>
  <c r="D23" i="9"/>
  <c r="D53" i="9" s="1"/>
  <c r="D79" i="9" s="1"/>
  <c r="C23" i="9"/>
  <c r="C53" i="9" s="1"/>
  <c r="C79" i="9" s="1"/>
  <c r="B23" i="9"/>
  <c r="B53" i="9" s="1"/>
  <c r="B79" i="9" s="1"/>
  <c r="I5" i="9"/>
  <c r="H5" i="9"/>
  <c r="G5" i="9"/>
  <c r="I4" i="9"/>
  <c r="H4" i="9"/>
  <c r="G4" i="9"/>
  <c r="I3" i="9"/>
  <c r="H3" i="9"/>
  <c r="G3" i="9"/>
  <c r="D5" i="9"/>
  <c r="C5" i="9"/>
  <c r="B5" i="9"/>
  <c r="D4" i="9"/>
  <c r="C4" i="9"/>
  <c r="B4" i="9"/>
  <c r="D3" i="9"/>
  <c r="C3" i="9"/>
  <c r="B3" i="9"/>
  <c r="D15" i="9"/>
  <c r="C15" i="9"/>
  <c r="B15" i="9"/>
  <c r="D14" i="9"/>
  <c r="C14" i="9"/>
  <c r="B14" i="9"/>
  <c r="D13" i="9"/>
  <c r="C13" i="9"/>
  <c r="B13" i="9"/>
  <c r="I15" i="9"/>
  <c r="H15" i="9"/>
  <c r="G15" i="9"/>
  <c r="I14" i="9"/>
  <c r="H14" i="9"/>
  <c r="G14" i="9"/>
  <c r="I13" i="9"/>
  <c r="H13" i="9"/>
  <c r="G13" i="9"/>
  <c r="D45" i="9"/>
  <c r="C45" i="9"/>
  <c r="B45" i="9"/>
  <c r="D44" i="9"/>
  <c r="C44" i="9"/>
  <c r="B44" i="9"/>
  <c r="D43" i="9"/>
  <c r="C43" i="9"/>
  <c r="E121" i="8"/>
  <c r="C121" i="8"/>
  <c r="E120" i="8"/>
  <c r="C120" i="8"/>
  <c r="E119" i="8"/>
  <c r="C119" i="8"/>
  <c r="E118" i="8"/>
  <c r="C118" i="8"/>
  <c r="E117" i="8"/>
  <c r="C117" i="8"/>
  <c r="E116" i="8"/>
  <c r="C116" i="8"/>
  <c r="E115" i="8"/>
  <c r="C115" i="8"/>
  <c r="E113" i="8"/>
  <c r="C113" i="8"/>
  <c r="E112" i="8"/>
  <c r="C112" i="8"/>
  <c r="E111" i="8"/>
  <c r="C111" i="8"/>
  <c r="E110" i="8"/>
  <c r="C110" i="8"/>
  <c r="E109" i="8"/>
  <c r="C109" i="8"/>
  <c r="E108" i="8"/>
  <c r="C108" i="8"/>
  <c r="E107" i="8"/>
  <c r="C107" i="8"/>
  <c r="E106" i="8"/>
  <c r="C106" i="8"/>
  <c r="E105" i="8"/>
  <c r="C105" i="8"/>
  <c r="E104" i="8"/>
  <c r="C104" i="8"/>
  <c r="E103" i="8"/>
  <c r="C103" i="8"/>
  <c r="E102" i="8"/>
  <c r="C102" i="8"/>
  <c r="E101" i="8"/>
  <c r="C101" i="8"/>
  <c r="E100" i="8"/>
  <c r="C100" i="8"/>
  <c r="E99" i="8"/>
  <c r="C99" i="8"/>
  <c r="E98" i="8"/>
  <c r="C98" i="8"/>
  <c r="E97" i="8"/>
  <c r="C97" i="8"/>
  <c r="E95" i="8"/>
  <c r="C95" i="8"/>
  <c r="E94" i="8"/>
  <c r="C94" i="8"/>
  <c r="E93" i="8"/>
  <c r="C93" i="8"/>
  <c r="E92" i="8"/>
  <c r="C92" i="8"/>
  <c r="E91" i="8"/>
  <c r="C91" i="8"/>
  <c r="E90" i="8"/>
  <c r="C90" i="8"/>
  <c r="E89" i="8"/>
  <c r="C89" i="8"/>
  <c r="E88" i="8"/>
  <c r="C88" i="8"/>
  <c r="E87" i="8"/>
  <c r="C87" i="8"/>
  <c r="E86" i="8"/>
  <c r="C86" i="8"/>
  <c r="E85" i="8"/>
  <c r="C85" i="8"/>
  <c r="E83" i="8"/>
  <c r="C83" i="8"/>
  <c r="E82" i="8"/>
  <c r="C82" i="8"/>
  <c r="E81" i="8"/>
  <c r="C81" i="8"/>
  <c r="E80" i="8"/>
  <c r="C80" i="8"/>
  <c r="E79" i="8"/>
  <c r="C79" i="8"/>
  <c r="E77" i="8"/>
  <c r="C77" i="8"/>
  <c r="E76" i="8"/>
  <c r="C76" i="8"/>
  <c r="E75" i="8"/>
  <c r="C75" i="8"/>
  <c r="E74" i="8"/>
  <c r="C74" i="8"/>
  <c r="E73" i="8"/>
  <c r="C73" i="8"/>
  <c r="E71" i="8"/>
  <c r="C71" i="8"/>
  <c r="E70" i="8"/>
  <c r="C70" i="8"/>
  <c r="E69" i="8"/>
  <c r="C69" i="8"/>
  <c r="E68" i="8"/>
  <c r="C68" i="8"/>
  <c r="E67" i="8"/>
  <c r="C67" i="8"/>
  <c r="E66" i="8"/>
  <c r="C66" i="8"/>
  <c r="E65" i="8"/>
  <c r="C65" i="8"/>
  <c r="E64" i="8"/>
  <c r="C64" i="8"/>
  <c r="E63" i="8"/>
  <c r="C63" i="8"/>
  <c r="E62" i="8"/>
  <c r="C62" i="8"/>
  <c r="E61" i="8"/>
  <c r="C61" i="8"/>
  <c r="E59" i="8"/>
  <c r="C59" i="8"/>
  <c r="E58" i="8"/>
  <c r="C58" i="8"/>
  <c r="E57" i="8"/>
  <c r="C57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2" i="8"/>
  <c r="C42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30" i="8"/>
  <c r="C30" i="8"/>
  <c r="E29" i="8"/>
  <c r="C29" i="8"/>
  <c r="E28" i="8"/>
  <c r="C28" i="8"/>
  <c r="E27" i="8"/>
  <c r="C27" i="8"/>
  <c r="E26" i="8"/>
  <c r="C26" i="8"/>
  <c r="E25" i="8"/>
  <c r="C25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2" i="8"/>
  <c r="C12" i="8"/>
  <c r="E11" i="8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E2" i="8"/>
  <c r="C2" i="8"/>
  <c r="E85" i="7"/>
  <c r="C85" i="7"/>
  <c r="E83" i="7"/>
  <c r="C83" i="7"/>
  <c r="E82" i="7"/>
  <c r="C82" i="7"/>
  <c r="E81" i="7"/>
  <c r="C81" i="7"/>
  <c r="E80" i="7"/>
  <c r="C80" i="7"/>
  <c r="E79" i="7"/>
  <c r="C79" i="7"/>
  <c r="E77" i="7"/>
  <c r="C77" i="7"/>
  <c r="E76" i="7"/>
  <c r="C76" i="7"/>
  <c r="E75" i="7"/>
  <c r="C75" i="7"/>
  <c r="E74" i="7"/>
  <c r="C74" i="7"/>
  <c r="E73" i="7"/>
  <c r="C73" i="7"/>
  <c r="E71" i="7"/>
  <c r="C71" i="7"/>
  <c r="E70" i="7"/>
  <c r="C70" i="7"/>
  <c r="E69" i="7"/>
  <c r="C69" i="7"/>
  <c r="E68" i="7"/>
  <c r="C68" i="7"/>
  <c r="E67" i="7"/>
  <c r="C67" i="7"/>
  <c r="E65" i="7"/>
  <c r="C65" i="7"/>
  <c r="E64" i="7"/>
  <c r="C64" i="7"/>
  <c r="E63" i="7"/>
  <c r="C63" i="7"/>
  <c r="E62" i="7"/>
  <c r="C62" i="7"/>
  <c r="E61" i="7"/>
  <c r="C61" i="7"/>
  <c r="E59" i="7"/>
  <c r="C59" i="7"/>
  <c r="E58" i="7"/>
  <c r="C58" i="7"/>
  <c r="E57" i="7"/>
  <c r="C57" i="7"/>
  <c r="E56" i="7"/>
  <c r="C56" i="7"/>
  <c r="E55" i="7"/>
  <c r="C55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2" i="7"/>
  <c r="C42" i="7"/>
  <c r="E41" i="7"/>
  <c r="C41" i="7"/>
  <c r="E40" i="7"/>
  <c r="C40" i="7"/>
  <c r="E39" i="7"/>
  <c r="C39" i="7"/>
  <c r="E38" i="7"/>
  <c r="C38" i="7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3" i="7"/>
  <c r="C23" i="7"/>
  <c r="E22" i="7"/>
  <c r="C22" i="7"/>
  <c r="E21" i="7"/>
  <c r="C21" i="7"/>
  <c r="E20" i="7"/>
  <c r="C20" i="7"/>
  <c r="E19" i="7"/>
  <c r="C19" i="7"/>
  <c r="E18" i="7"/>
  <c r="C18" i="7"/>
  <c r="E17" i="7"/>
  <c r="C17" i="7"/>
  <c r="E16" i="7"/>
  <c r="C16" i="7"/>
  <c r="E15" i="7"/>
  <c r="C15" i="7"/>
  <c r="E14" i="7"/>
  <c r="C14" i="7"/>
  <c r="E13" i="7"/>
  <c r="C13" i="7"/>
  <c r="E12" i="7"/>
  <c r="C12" i="7"/>
  <c r="E11" i="7"/>
  <c r="C11" i="7"/>
  <c r="E10" i="7"/>
  <c r="C10" i="7"/>
  <c r="E9" i="7"/>
  <c r="C9" i="7"/>
  <c r="E8" i="7"/>
  <c r="C8" i="7"/>
  <c r="E7" i="7"/>
  <c r="C7" i="7"/>
  <c r="E6" i="7"/>
  <c r="C6" i="7"/>
  <c r="E5" i="7"/>
  <c r="C5" i="7"/>
  <c r="E4" i="7"/>
  <c r="C4" i="7"/>
  <c r="E3" i="7"/>
  <c r="C3" i="7"/>
  <c r="E2" i="7"/>
  <c r="C2" i="7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30" i="5"/>
  <c r="C30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8" i="5"/>
  <c r="C18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121" i="4"/>
  <c r="C121" i="4"/>
  <c r="E120" i="4"/>
  <c r="C120" i="4"/>
  <c r="E119" i="4"/>
  <c r="C119" i="4"/>
  <c r="E118" i="4"/>
  <c r="C118" i="4"/>
  <c r="E117" i="4"/>
  <c r="C117" i="4"/>
  <c r="E116" i="4"/>
  <c r="C116" i="4"/>
  <c r="E115" i="4"/>
  <c r="C115" i="4"/>
  <c r="E113" i="4"/>
  <c r="C113" i="4"/>
  <c r="E112" i="4"/>
  <c r="C112" i="4"/>
  <c r="E111" i="4"/>
  <c r="C111" i="4"/>
  <c r="E110" i="4"/>
  <c r="C110" i="4"/>
  <c r="E109" i="4"/>
  <c r="C109" i="4"/>
  <c r="E107" i="4"/>
  <c r="C107" i="4"/>
  <c r="E106" i="4"/>
  <c r="C106" i="4"/>
  <c r="E105" i="4"/>
  <c r="C105" i="4"/>
  <c r="E104" i="4"/>
  <c r="C104" i="4"/>
  <c r="E103" i="4"/>
  <c r="C103" i="4"/>
  <c r="E102" i="4"/>
  <c r="C102" i="4"/>
  <c r="E101" i="4"/>
  <c r="C101" i="4"/>
  <c r="E100" i="4"/>
  <c r="C100" i="4"/>
  <c r="E99" i="4"/>
  <c r="C99" i="4"/>
  <c r="E98" i="4"/>
  <c r="C98" i="4"/>
  <c r="E97" i="4"/>
  <c r="C97" i="4"/>
  <c r="E95" i="4"/>
  <c r="C95" i="4"/>
  <c r="E94" i="4"/>
  <c r="C94" i="4"/>
  <c r="E93" i="4"/>
  <c r="C93" i="4"/>
  <c r="E92" i="4"/>
  <c r="C92" i="4"/>
  <c r="E91" i="4"/>
  <c r="C91" i="4"/>
  <c r="E89" i="4"/>
  <c r="C89" i="4"/>
  <c r="E88" i="4"/>
  <c r="C88" i="4"/>
  <c r="E87" i="4"/>
  <c r="C87" i="4"/>
  <c r="E86" i="4"/>
  <c r="C86" i="4"/>
  <c r="E85" i="4"/>
  <c r="C85" i="4"/>
  <c r="E83" i="4"/>
  <c r="C83" i="4"/>
  <c r="E82" i="4"/>
  <c r="C82" i="4"/>
  <c r="E81" i="4"/>
  <c r="C81" i="4"/>
  <c r="E80" i="4"/>
  <c r="C80" i="4"/>
  <c r="E79" i="4"/>
  <c r="C79" i="4"/>
  <c r="E77" i="4"/>
  <c r="C77" i="4"/>
  <c r="E76" i="4"/>
  <c r="C76" i="4"/>
  <c r="E75" i="4"/>
  <c r="C75" i="4"/>
  <c r="E74" i="4"/>
  <c r="C74" i="4"/>
  <c r="E73" i="4"/>
  <c r="C73" i="4"/>
  <c r="E71" i="4"/>
  <c r="C71" i="4"/>
  <c r="E70" i="4"/>
  <c r="C70" i="4"/>
  <c r="E69" i="4"/>
  <c r="C69" i="4"/>
  <c r="E68" i="4"/>
  <c r="C68" i="4"/>
  <c r="E67" i="4"/>
  <c r="C67" i="4"/>
  <c r="E66" i="4"/>
  <c r="C66" i="4"/>
  <c r="E65" i="4"/>
  <c r="C65" i="4"/>
  <c r="E64" i="4"/>
  <c r="C64" i="4"/>
  <c r="E63" i="4"/>
  <c r="C63" i="4"/>
  <c r="E62" i="4"/>
  <c r="C62" i="4"/>
  <c r="E61" i="4"/>
  <c r="C61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6" i="4"/>
  <c r="C46" i="4"/>
  <c r="E45" i="4"/>
  <c r="C45" i="4"/>
  <c r="E44" i="4"/>
  <c r="C44" i="4"/>
  <c r="E43" i="4"/>
  <c r="C43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E28" i="4"/>
  <c r="C28" i="4"/>
  <c r="E27" i="4"/>
  <c r="C27" i="4"/>
  <c r="E26" i="4"/>
  <c r="C26" i="4"/>
  <c r="E25" i="4"/>
  <c r="C25" i="4"/>
  <c r="E23" i="4"/>
  <c r="C23" i="4"/>
  <c r="E22" i="4"/>
  <c r="C22" i="4"/>
  <c r="E21" i="4"/>
  <c r="C21" i="4"/>
  <c r="E20" i="4"/>
  <c r="C20" i="4"/>
  <c r="E19" i="4"/>
  <c r="C19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85" i="3"/>
  <c r="C85" i="3"/>
  <c r="E83" i="3"/>
  <c r="C83" i="3"/>
  <c r="E82" i="3"/>
  <c r="C82" i="3"/>
  <c r="E81" i="3"/>
  <c r="C81" i="3"/>
  <c r="E80" i="3"/>
  <c r="C80" i="3"/>
  <c r="E79" i="3"/>
  <c r="C79" i="3"/>
  <c r="E77" i="3"/>
  <c r="C77" i="3"/>
  <c r="E76" i="3"/>
  <c r="C76" i="3"/>
  <c r="E75" i="3"/>
  <c r="C75" i="3"/>
  <c r="E74" i="3"/>
  <c r="C74" i="3"/>
  <c r="E73" i="3"/>
  <c r="C73" i="3"/>
  <c r="E72" i="3"/>
  <c r="C72" i="3"/>
  <c r="E71" i="3"/>
  <c r="C71" i="3"/>
  <c r="E70" i="3"/>
  <c r="C70" i="3"/>
  <c r="E69" i="3"/>
  <c r="C69" i="3"/>
  <c r="E68" i="3"/>
  <c r="C68" i="3"/>
  <c r="E67" i="3"/>
  <c r="C67" i="3"/>
  <c r="E65" i="3"/>
  <c r="C65" i="3"/>
  <c r="E64" i="3"/>
  <c r="C64" i="3"/>
  <c r="E63" i="3"/>
  <c r="C63" i="3"/>
  <c r="E62" i="3"/>
  <c r="C62" i="3"/>
  <c r="E61" i="3"/>
  <c r="C61" i="3"/>
  <c r="E59" i="3"/>
  <c r="C59" i="3"/>
  <c r="E58" i="3"/>
  <c r="C58" i="3"/>
  <c r="E57" i="3"/>
  <c r="C57" i="3"/>
  <c r="E56" i="3"/>
  <c r="C56" i="3"/>
  <c r="E55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7" i="3"/>
  <c r="C47" i="3"/>
  <c r="E46" i="3"/>
  <c r="C46" i="3"/>
  <c r="E45" i="3"/>
  <c r="C45" i="3"/>
  <c r="E44" i="3"/>
  <c r="C44" i="3"/>
  <c r="E43" i="3"/>
  <c r="C43" i="3"/>
  <c r="E40" i="3"/>
  <c r="C40" i="3"/>
  <c r="E39" i="3"/>
  <c r="C39" i="3"/>
  <c r="E38" i="3"/>
  <c r="C38" i="3"/>
  <c r="E37" i="3"/>
  <c r="C37" i="3"/>
  <c r="E35" i="3"/>
  <c r="C35" i="3"/>
  <c r="E34" i="3"/>
  <c r="C34" i="3"/>
  <c r="E33" i="3"/>
  <c r="C33" i="3"/>
  <c r="E32" i="3"/>
  <c r="C32" i="3"/>
  <c r="E31" i="3"/>
  <c r="C31" i="3"/>
  <c r="E28" i="3"/>
  <c r="C28" i="3"/>
  <c r="E27" i="3"/>
  <c r="C27" i="3"/>
  <c r="E26" i="3"/>
  <c r="C26" i="3"/>
  <c r="E25" i="3"/>
  <c r="C25" i="3"/>
  <c r="E23" i="3"/>
  <c r="C23" i="3"/>
  <c r="E22" i="3"/>
  <c r="C22" i="3"/>
  <c r="E21" i="3"/>
  <c r="C21" i="3"/>
  <c r="E20" i="3"/>
  <c r="C20" i="3"/>
  <c r="E19" i="3"/>
  <c r="C19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61" i="2"/>
  <c r="C61" i="2"/>
  <c r="E60" i="2"/>
  <c r="C60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28" i="2"/>
  <c r="C28" i="2"/>
  <c r="E27" i="2"/>
  <c r="C27" i="2"/>
  <c r="E26" i="2"/>
  <c r="C26" i="2"/>
  <c r="E25" i="2"/>
  <c r="C25" i="2"/>
  <c r="E23" i="2"/>
  <c r="C23" i="2"/>
  <c r="E22" i="2"/>
  <c r="C22" i="2"/>
  <c r="E21" i="2"/>
  <c r="C21" i="2"/>
  <c r="E20" i="2"/>
  <c r="C20" i="2"/>
  <c r="E19" i="2"/>
  <c r="C19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B82" i="9" l="1"/>
  <c r="G53" i="9"/>
  <c r="G79" i="9" s="1"/>
  <c r="H53" i="9"/>
  <c r="H79" i="9" s="1"/>
  <c r="I53" i="9"/>
  <c r="I79" i="9" s="1"/>
  <c r="G54" i="9"/>
  <c r="G80" i="9" s="1"/>
  <c r="H54" i="9"/>
  <c r="H80" i="9" s="1"/>
  <c r="I54" i="9"/>
  <c r="I80" i="9" s="1"/>
  <c r="G55" i="9"/>
  <c r="G81" i="9" s="1"/>
  <c r="H55" i="9"/>
  <c r="H81" i="9" s="1"/>
  <c r="I55" i="9"/>
  <c r="I81" i="9" s="1"/>
  <c r="B43" i="9"/>
  <c r="B6" i="9"/>
  <c r="G6" i="9"/>
  <c r="B16" i="9"/>
  <c r="G16" i="9"/>
  <c r="B26" i="9"/>
  <c r="G26" i="9"/>
  <c r="B36" i="9"/>
  <c r="G36" i="9"/>
  <c r="G82" i="9" l="1"/>
  <c r="B84" i="9"/>
  <c r="B83" i="9"/>
  <c r="B85" i="9" s="1"/>
  <c r="G38" i="9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G84" i="9" l="1"/>
  <c r="G83" i="9"/>
  <c r="G85" i="9" s="1"/>
  <c r="B48" i="9"/>
  <c r="B47" i="9"/>
  <c r="B49" i="9" s="1"/>
</calcChain>
</file>

<file path=xl/sharedStrings.xml><?xml version="1.0" encoding="utf-8"?>
<sst xmlns="http://schemas.openxmlformats.org/spreadsheetml/2006/main" count="1401" uniqueCount="383">
  <si>
    <t>xml_names_people6</t>
  </si>
  <si>
    <t>xml_names_people10</t>
  </si>
  <si>
    <t>half true</t>
  </si>
  <si>
    <t>N</t>
  </si>
  <si>
    <t>Po</t>
  </si>
  <si>
    <t>Pe</t>
  </si>
  <si>
    <t>Kappa</t>
  </si>
  <si>
    <t>xml_names_people14</t>
  </si>
  <si>
    <t>xml_names_people20</t>
  </si>
  <si>
    <t>natural_people6</t>
  </si>
  <si>
    <t>natural_people10</t>
  </si>
  <si>
    <t>natural_people14</t>
  </si>
  <si>
    <t>natural_people20</t>
  </si>
  <si>
    <t>OVERALL</t>
  </si>
  <si>
    <t>natural</t>
  </si>
  <si>
    <t>xml_names</t>
  </si>
  <si>
    <t>TOTAL</t>
  </si>
  <si>
    <t>prompt</t>
  </si>
  <si>
    <t>answer</t>
  </si>
  <si>
    <t>validity</t>
  </si>
  <si>
    <t>note</t>
  </si>
  <si>
    <t>validity_ds</t>
  </si>
  <si>
    <t>What is Saša Škrtić's first name?</t>
  </si>
  <si>
    <t>Saša</t>
  </si>
  <si>
    <t>What is Saša Škrtić's last name?</t>
  </si>
  <si>
    <t>Škrtić</t>
  </si>
  <si>
    <t>What is Saša Škrtić's age?</t>
  </si>
  <si>
    <t>Saša Škrtić is</t>
  </si>
  <si>
    <t>What is Saša Škrtić's gender?</t>
  </si>
  <si>
    <t>Saša Škrtić's gender</t>
  </si>
  <si>
    <t>List all Saša Škrtić's friends.</t>
  </si>
  <si>
    <t>Duje Ravlić</t>
  </si>
  <si>
    <t>How many friends does Saša Škrtić have?</t>
  </si>
  <si>
    <t>Saša Škrtić has</t>
  </si>
  <si>
    <t>What is Duje Ravlić's first name?</t>
  </si>
  <si>
    <t>Duje</t>
  </si>
  <si>
    <t>What is Duje Ravlić's last name?</t>
  </si>
  <si>
    <t>Ravlić</t>
  </si>
  <si>
    <t>What is Duje Ravlić's age?</t>
  </si>
  <si>
    <t>35</t>
  </si>
  <si>
    <t>What is Duje Ravlić's gender?</t>
  </si>
  <si>
    <t>Duje Ravlić's gender is MALE</t>
  </si>
  <si>
    <t>List all Duje Ravlić's friends.</t>
  </si>
  <si>
    <t>Saša Škrtić</t>
  </si>
  <si>
    <t>How many friends does Duje Ravlić have?</t>
  </si>
  <si>
    <t>1</t>
  </si>
  <si>
    <t>What is Eduard Tutić's first name?</t>
  </si>
  <si>
    <t>Eduard</t>
  </si>
  <si>
    <t>What is Eduard Tutić's last name?</t>
  </si>
  <si>
    <t>Tutić</t>
  </si>
  <si>
    <t>What is Eduard Tutić's age?</t>
  </si>
  <si>
    <t>Eduard Tutić's age is</t>
  </si>
  <si>
    <t>What is Eduard Tutić's gender?</t>
  </si>
  <si>
    <t>Eduard Tutić's gender is MA</t>
  </si>
  <si>
    <t>List all Eduard Tutić's friends.</t>
  </si>
  <si>
    <t>Mia Popić</t>
  </si>
  <si>
    <t>How many friends does Eduard Tutić have?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</si>
  <si>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</si>
  <si>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</si>
  <si>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</si>
  <si>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</si>
  <si>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</si>
  <si>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</si>
  <si>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</si>
  <si>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Draženović's gender</t>
  </si>
  <si>
    <t>List all Jagoda Draženović's friends.</t>
  </si>
  <si>
    <t>Monika Rimac</t>
  </si>
  <si>
    <t>How many friends does Jagoda Draženović have?</t>
  </si>
  <si>
    <t>Jagoda Draženović has</t>
  </si>
  <si>
    <t>What is Monika Rimac's first name?</t>
  </si>
  <si>
    <t>Monika</t>
  </si>
  <si>
    <t>What is Monika Rimac's last name?</t>
  </si>
  <si>
    <t>Rimac</t>
  </si>
  <si>
    <t>What is Monika Rimac's age?</t>
  </si>
  <si>
    <t>Monika Rimac is 20 years old</t>
  </si>
  <si>
    <t>What is Monika Rimac's gender?</t>
  </si>
  <si>
    <t>Monika Rimac's gender is FEMALE.</t>
  </si>
  <si>
    <t>List all Monika Rimac's friends.</t>
  </si>
  <si>
    <t>Jagoda Draženović</t>
  </si>
  <si>
    <t>How many friends does Monika Rimac have?</t>
  </si>
  <si>
    <t>What is Mia Popić's first name?</t>
  </si>
  <si>
    <t>Mia</t>
  </si>
  <si>
    <t>What is Mia Popić's last name?</t>
  </si>
  <si>
    <t>Popić</t>
  </si>
  <si>
    <t>What is Mia Popić's age?</t>
  </si>
  <si>
    <t>Mia Popić is 27 years old</t>
  </si>
  <si>
    <t>What is Mia Popić's gender?</t>
  </si>
  <si>
    <t>Mia Popić's gender is FEMALE.</t>
  </si>
  <si>
    <t>List all Mia Popić's friends.</t>
  </si>
  <si>
    <t>Eduard Tutić</t>
  </si>
  <si>
    <t>How many friends does Mia Popić have?</t>
  </si>
  <si>
    <t>Duje Ravlić, Zoran Goreta</t>
  </si>
  <si>
    <t>Duje Ravlić's age is 1</t>
  </si>
  <si>
    <t>Saša Škrtić, I</t>
  </si>
  <si>
    <t>Duje Ravlić has 3 friends.</t>
  </si>
  <si>
    <t>21</t>
  </si>
  <si>
    <t>Zoran Goreta, Ivo Čel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</si>
  <si>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</si>
  <si>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</si>
  <si>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</si>
  <si>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</si>
  <si>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</si>
  <si>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</si>
  <si>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</si>
  <si>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</si>
  <si>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Zoran Goreta's gender is MALE.</t>
  </si>
  <si>
    <t>List all Zoran Goreta's friends.</t>
  </si>
  <si>
    <t>Saša Škrtić, Edu</t>
  </si>
  <si>
    <t>How many friends does Zoran Goreta have?</t>
  </si>
  <si>
    <t>Zoran Goreta has 2 friends.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</si>
  <si>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</si>
  <si>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</si>
  <si>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</si>
  <si>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</si>
  <si>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</si>
  <si>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</si>
  <si>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</si>
  <si>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Ivo Čelina's gender is MA</t>
  </si>
  <si>
    <t>List all Ivo Čelina's friends.</t>
  </si>
  <si>
    <t>Duje Ravlić, Eduard Tuti</t>
  </si>
  <si>
    <t>How many friends does Ivo Čelina have?</t>
  </si>
  <si>
    <t>Ivo Čelina has 3 friends</t>
  </si>
  <si>
    <t>Monika Rimac is 10 years old</t>
  </si>
  <si>
    <t>Monika Rimac has 2 friends.</t>
  </si>
  <si>
    <t>Mia Popić is 18 years old</t>
  </si>
  <si>
    <t>Mirjam Devčić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</si>
  <si>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</si>
  <si>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</si>
  <si>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</si>
  <si>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</si>
  <si>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</si>
  <si>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</si>
  <si>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</si>
  <si>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</si>
  <si>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</si>
  <si>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How many friends does Nada Sudar have?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</si>
  <si>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</si>
  <si>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</si>
  <si>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</si>
  <si>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</si>
  <si>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</si>
  <si>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 is 41 years</t>
  </si>
  <si>
    <t>What is Mirjam Devčić's gender?</t>
  </si>
  <si>
    <t>Mirjam Devčić's gender is FEMALE</t>
  </si>
  <si>
    <t>List all Mirjam Devčić's friends.</t>
  </si>
  <si>
    <t>Duje Ravlić, Mia Popić</t>
  </si>
  <si>
    <t>How many friends does Mirjam Devčić have?</t>
  </si>
  <si>
    <t>Mirjam Devčić has 2 friends.</t>
  </si>
  <si>
    <t>Zoran Goreta, Nada Sudar</t>
  </si>
  <si>
    <t>38</t>
  </si>
  <si>
    <t>Antonija Salinović</t>
  </si>
  <si>
    <t>Eduard Tutić is 64</t>
  </si>
  <si>
    <t>Zoran Goreta, Monika Rimac,</t>
  </si>
  <si>
    <t>Eduard Tutić has 6 friends</t>
  </si>
  <si>
    <t>Zoran Goreta's age is 12</t>
  </si>
  <si>
    <t>Eduard Tutić, Saša</t>
  </si>
  <si>
    <t>Zoran Goreta has 4 friends.</t>
  </si>
  <si>
    <t>Ivo Čelina's age is</t>
  </si>
  <si>
    <t>Ivo Čelina's friends: []</t>
  </si>
  <si>
    <t>Ivo Čelina has 0 friends</t>
  </si>
  <si>
    <t>What is Gordan Lucić's first name?</t>
  </si>
  <si>
    <t>Gordan</t>
  </si>
  <si>
    <t>What is Gordan Lucić's last name?</t>
  </si>
  <si>
    <t>Lucić</t>
  </si>
  <si>
    <t>What is Gordan Lucić's age?</t>
  </si>
  <si>
    <t>28</t>
  </si>
  <si>
    <t>What is Gordan Lucić's gender?</t>
  </si>
  <si>
    <t>Gordan Lucić's gender is MALE.</t>
  </si>
  <si>
    <t>List all Gordan Lucić's friends.</t>
  </si>
  <si>
    <t>Ljubomir Jurišić,</t>
  </si>
  <si>
    <t>How many friends does Gordan Lucić have?</t>
  </si>
  <si>
    <t>Gordan Lucić has 3 friends.</t>
  </si>
  <si>
    <t>What is Ljubomir Jurišić's first name?</t>
  </si>
  <si>
    <t>Ljubomir</t>
  </si>
  <si>
    <t>What is Ljubomir Jurišić's last name?</t>
  </si>
  <si>
    <t>Jurišić</t>
  </si>
  <si>
    <t>What is Ljubomir Jurišić's age?</t>
  </si>
  <si>
    <t>What is Ljubomir Jurišić's gender?</t>
  </si>
  <si>
    <t>Ljubomir Jurišić's</t>
  </si>
  <si>
    <t>List all Ljubomir Jurišić's friends.</t>
  </si>
  <si>
    <t>Gordan Lucić, Jagoda Dražen</t>
  </si>
  <si>
    <t>How many friends does Ljubomir Jurišić have?</t>
  </si>
  <si>
    <t>Ljubomir Jurišić has</t>
  </si>
  <si>
    <t>Jagoda's friends are:
- Lj</t>
  </si>
  <si>
    <t>Monika Rimac's age is 16</t>
  </si>
  <si>
    <t>Zoran Goreta, Eduard Tutić</t>
  </si>
  <si>
    <t>22</t>
  </si>
  <si>
    <t>Zoran Goreta, Jagoda Dražen</t>
  </si>
  <si>
    <t>Mia Popić has 6 friends.</t>
  </si>
  <si>
    <t>25</t>
  </si>
  <si>
    <t>FEMALE</t>
  </si>
  <si>
    <t>Jagoda Draženović, G</t>
  </si>
  <si>
    <t>Nada Sudar has 7 friends.</t>
  </si>
  <si>
    <t>Mirjam Devčić is 69 years</t>
  </si>
  <si>
    <t>Mirjam Devčić's friends are:
-</t>
  </si>
  <si>
    <t>Mirjam Devčić has 4 friends.</t>
  </si>
  <si>
    <t>What is Lea Grubić's first name?</t>
  </si>
  <si>
    <t>Lea</t>
  </si>
  <si>
    <t>What is Lea Grubić's last name?</t>
  </si>
  <si>
    <t>Grubić</t>
  </si>
  <si>
    <t>What is Lea Grubić's age?</t>
  </si>
  <si>
    <t>Lea Grubić's age is 5</t>
  </si>
  <si>
    <t>What is Lea Grubić's gender?</t>
  </si>
  <si>
    <t>Lea Grubić's gender is FEMALE</t>
  </si>
  <si>
    <t>List all Lea Grubić's friends.</t>
  </si>
  <si>
    <t>Mirjam Devčić, Mia Popić,</t>
  </si>
  <si>
    <t>How many friends does Lea Grubić have?</t>
  </si>
  <si>
    <t>Lea Grubić has 3 friends.</t>
  </si>
  <si>
    <t>What is Antonija Salinović's first name?</t>
  </si>
  <si>
    <t>Antonija</t>
  </si>
  <si>
    <t>What is Antonija Salinović's last name?</t>
  </si>
  <si>
    <t>Salinović</t>
  </si>
  <si>
    <t>What is Antonija Salinović's age?</t>
  </si>
  <si>
    <t>What is Antonija Salinović's gender?</t>
  </si>
  <si>
    <t>List all Antonija Salinović's friends.</t>
  </si>
  <si>
    <t>How many friends does Antonija Salinović have?</t>
  </si>
  <si>
    <t>Antonija Salinović has 5</t>
  </si>
  <si>
    <t>Zoran Goreta, Nikola Prelošnj</t>
  </si>
  <si>
    <t>18</t>
  </si>
  <si>
    <t>MALE</t>
  </si>
  <si>
    <t>Eduard Tutić, Gordan Luc</t>
  </si>
  <si>
    <t>Duje Ravlić has 8 friends.</t>
  </si>
  <si>
    <t>17</t>
  </si>
  <si>
    <t>Eduard Tutić has 10</t>
  </si>
  <si>
    <t>66</t>
  </si>
  <si>
    <t>Zoran Goreta has 5 friends.</t>
  </si>
  <si>
    <t>65</t>
  </si>
  <si>
    <t>Ivo Čelina has 6 friends</t>
  </si>
  <si>
    <t>27</t>
  </si>
  <si>
    <t>Gordan Lucić has 8 friends.</t>
  </si>
  <si>
    <t>Ivo Čelina, Jagoda Dra</t>
  </si>
  <si>
    <t>What is Vladimir Svalina's first name?</t>
  </si>
  <si>
    <t>Vladimir</t>
  </si>
  <si>
    <t>What is Vladimir Svalina's last name?</t>
  </si>
  <si>
    <t>Svalina</t>
  </si>
  <si>
    <t>What is Vladimir Svalina's age?</t>
  </si>
  <si>
    <t>6</t>
  </si>
  <si>
    <t>What is Vladimir Svalina's gender?</t>
  </si>
  <si>
    <t>Vladimir Svalina's gender is MA</t>
  </si>
  <si>
    <t>List all Vladimir Svalina's friends.</t>
  </si>
  <si>
    <t>How many friends does Vladimir Svalina have?</t>
  </si>
  <si>
    <t>Vladimir Svalina has 7 friends</t>
  </si>
  <si>
    <t>What is Tomislav Šoštarić's first name?</t>
  </si>
  <si>
    <t>Tomislav</t>
  </si>
  <si>
    <t>What is Tomislav Šoštarić's last name?</t>
  </si>
  <si>
    <t>Šoštarić</t>
  </si>
  <si>
    <t>What is Tomislav Šoštarić's age?</t>
  </si>
  <si>
    <t>31</t>
  </si>
  <si>
    <t>What is Tomislav Šoštarić's gender?</t>
  </si>
  <si>
    <t>Tomislav Šoštarić's</t>
  </si>
  <si>
    <t>List all Tomislav Šoštarić's friends.</t>
  </si>
  <si>
    <t>How many friends does Tomislav Šoštarić have?</t>
  </si>
  <si>
    <t>Tomislav Šoštarić has</t>
  </si>
  <si>
    <t>What is Nikola Prelošnjak's first name?</t>
  </si>
  <si>
    <t>Nikola</t>
  </si>
  <si>
    <t>What is Nikola Prelošnjak's last name?</t>
  </si>
  <si>
    <t>Prelošnjak</t>
  </si>
  <si>
    <t>What is Nikola Prelošnjak's age?</t>
  </si>
  <si>
    <t>What is Nikola Prelošnjak's gender?</t>
  </si>
  <si>
    <t>Nikola Prelošnjak's gender</t>
  </si>
  <si>
    <t>List all Nikola Prelošnjak's friends.</t>
  </si>
  <si>
    <t>Saša Škrtić, Du</t>
  </si>
  <si>
    <t>How many friends does Nikola Prelošnjak have?</t>
  </si>
  <si>
    <t>Nikola Prelošnjak has</t>
  </si>
  <si>
    <t>Jagoda Draženović's friends</t>
  </si>
  <si>
    <t>Monika Rimac is 37 years old</t>
  </si>
  <si>
    <t>Saša Škrtić, L</t>
  </si>
  <si>
    <t>Monika Rimac has 5 friends.</t>
  </si>
  <si>
    <t>Mia Popić is 9 years old.</t>
  </si>
  <si>
    <t>Jagoda Draženović, L</t>
  </si>
  <si>
    <t>56</t>
  </si>
  <si>
    <t>Monika Rimac, Mia Popić, Vladimir</t>
  </si>
  <si>
    <t>Nada Sudar has 8 friends.</t>
  </si>
  <si>
    <t>Mirjam Devčić is 37 years</t>
  </si>
  <si>
    <t>Mirjam's friends are:
- Monika Rim</t>
  </si>
  <si>
    <t>Mirjam Devčić has 6 friends.</t>
  </si>
  <si>
    <t>Lea Grubić is 31 years</t>
  </si>
  <si>
    <t>Lea's friends are:
- Ljub</t>
  </si>
  <si>
    <t>Lea Grubić has 9 friends.</t>
  </si>
  <si>
    <t>Gordan Lucić, Saša Š</t>
  </si>
  <si>
    <t>Antonija Salinović has 2</t>
  </si>
  <si>
    <t>What is Cvijeta Svetličić's first name?</t>
  </si>
  <si>
    <t>Cvijeta</t>
  </si>
  <si>
    <t>What is Cvijeta Svetličić's last name?</t>
  </si>
  <si>
    <t>Svetličić</t>
  </si>
  <si>
    <t>What is Cvijeta Svetličić's age?</t>
  </si>
  <si>
    <t>What is Cvijeta Svetličić's gender?</t>
  </si>
  <si>
    <t>List all Cvijeta Svetličić's friends.</t>
  </si>
  <si>
    <t>Saša Škrtić, Z</t>
  </si>
  <si>
    <t>How many friends does Cvijeta Svetličić have?</t>
  </si>
  <si>
    <t>Cvijeta Svetličić has</t>
  </si>
  <si>
    <t>What is Irena Jurilj's first name?</t>
  </si>
  <si>
    <t>Irena</t>
  </si>
  <si>
    <t>What is Irena Jurilj's last name?</t>
  </si>
  <si>
    <t>Jurilj</t>
  </si>
  <si>
    <t>What is Irena Jurilj's age?</t>
  </si>
  <si>
    <t>20</t>
  </si>
  <si>
    <t>What is Irena Jurilj's gender?</t>
  </si>
  <si>
    <t>Irena Jurilj's gender is FEMALE</t>
  </si>
  <si>
    <t>List all Irena Jurilj's friends.</t>
  </si>
  <si>
    <t>Jagoda Draženović, I</t>
  </si>
  <si>
    <t>How many friends does Irena Jurilj have?</t>
  </si>
  <si>
    <t>Irena Jurilj has 3 friends.</t>
  </si>
  <si>
    <t>What is Stela Mišković's first name?</t>
  </si>
  <si>
    <t>Stela</t>
  </si>
  <si>
    <t>What is Stela Mišković's last name?</t>
  </si>
  <si>
    <t>Mišković</t>
  </si>
  <si>
    <t>What is Stela Mišković's age?</t>
  </si>
  <si>
    <t>Stela Mišković is 5</t>
  </si>
  <si>
    <t>What is Stela Mišković's gender?</t>
  </si>
  <si>
    <t>Stela Mišković's gender is</t>
  </si>
  <si>
    <t>List all Stela Mišković's friends.</t>
  </si>
  <si>
    <t>Lea Grubić, Gordan Lucić</t>
  </si>
  <si>
    <t>How many friends does Stela Mišković have?</t>
  </si>
  <si>
    <t>Stela Mišković has 2</t>
  </si>
  <si>
    <t>Male</t>
  </si>
  <si>
    <t>Two.</t>
  </si>
  <si>
    <t>Duje Ravlić is 35 years</t>
  </si>
  <si>
    <t>Male.</t>
  </si>
  <si>
    <t>Eduard Tutić is 43</t>
  </si>
  <si>
    <t>2</t>
  </si>
  <si>
    <t>Female</t>
  </si>
  <si>
    <t>Female.</t>
  </si>
  <si>
    <t>4</t>
  </si>
  <si>
    <t>18 years old.</t>
  </si>
  <si>
    <t>Duje Ravlić's friends are:
1</t>
  </si>
  <si>
    <t>Three.</t>
  </si>
  <si>
    <t>Eduard Tutić is 21</t>
  </si>
  <si>
    <t>Eduard Tutić is friends with:</t>
  </si>
  <si>
    <t>Four.</t>
  </si>
  <si>
    <t>39 years old.</t>
  </si>
  <si>
    <t>Ivo Čelina is 24</t>
  </si>
  <si>
    <t>Ivo Čelina is friends with:</t>
  </si>
  <si>
    <t>Rimac.</t>
  </si>
  <si>
    <t>Nada Sudar is 19 years old</t>
  </si>
  <si>
    <t>Nada Sudar is female.</t>
  </si>
  <si>
    <t>One.</t>
  </si>
  <si>
    <t>41 years old.</t>
  </si>
  <si>
    <t>Duje Ravlić is 38 years</t>
  </si>
  <si>
    <t>12 years old.</t>
  </si>
  <si>
    <t>Zoran Goreta is friends with:
- Edu</t>
  </si>
  <si>
    <t>5</t>
  </si>
  <si>
    <t>Ivo Čelina is 27</t>
  </si>
  <si>
    <t>We don't have any information about Ivo �</t>
  </si>
  <si>
    <t>We don't have that information.</t>
  </si>
  <si>
    <t>Gordan Lucić is 28 years old</t>
  </si>
  <si>
    <t>Gordan Lucić's friends are:
1.</t>
  </si>
  <si>
    <t>38 years old.</t>
  </si>
  <si>
    <t>Ljubomir Jurišić is</t>
  </si>
  <si>
    <t>Jagoda Draženović is friends</t>
  </si>
  <si>
    <t>Monika Rimac is 16 years old</t>
  </si>
  <si>
    <t>Monika Rimac and Zoran Goreta are</t>
  </si>
  <si>
    <t>22 years old.</t>
  </si>
  <si>
    <t>25 years old.</t>
  </si>
  <si>
    <t>Saša Škrtić, Mir</t>
  </si>
  <si>
    <t>8</t>
  </si>
  <si>
    <t>69 years old.</t>
  </si>
  <si>
    <t>Mirjam Devčić and Mia Popić,</t>
  </si>
  <si>
    <t>Lea Grubić is 51 years</t>
  </si>
  <si>
    <t>Lea Grubić's friends: Mirjam</t>
  </si>
  <si>
    <t>21 years old.</t>
  </si>
  <si>
    <t>44</t>
  </si>
  <si>
    <t>Saša Škrtić is friends</t>
  </si>
  <si>
    <t>Duje Ravlić's friends are:
-</t>
  </si>
  <si>
    <t>9</t>
  </si>
  <si>
    <t>17 years old.</t>
  </si>
  <si>
    <t>10</t>
  </si>
  <si>
    <t>66 years old.</t>
  </si>
  <si>
    <t>Zoran Goreta and Saša Š</t>
  </si>
  <si>
    <t>Ivo Čelina is 65</t>
  </si>
  <si>
    <t>27 years old.</t>
  </si>
  <si>
    <t>6 years old.</t>
  </si>
  <si>
    <t>Vladimir Svalina's friends are:</t>
  </si>
  <si>
    <t>31 years old.</t>
  </si>
  <si>
    <t>Nikola Prelošnjak is</t>
  </si>
  <si>
    <t>Five.</t>
  </si>
  <si>
    <t>Monika Rimac is friends with:
- Sa</t>
  </si>
  <si>
    <t>9 years old.</t>
  </si>
  <si>
    <t>Ivo Čelina, Eduard T</t>
  </si>
  <si>
    <t>8 friends.</t>
  </si>
  <si>
    <t>37 years old.</t>
  </si>
  <si>
    <t>Mirjam Devčić's friends are:
1</t>
  </si>
  <si>
    <t>Cvijeta Svetličić's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</si>
</sst>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BC435-0752-4EA8-9DCD-97CAF11A1928}">
  <dimension ref="A1:I85"/>
  <sheetViews>
    <sheetView tabSelected="1" topLeftCell="A64" workbookViewId="0">
      <selection activeCell="J88" sqref="J88"/>
    </sheetView>
  </sheetViews>
  <sheetFormatPr defaultRowHeight="15"/>
  <cols>
    <col min="1" max="1" width="20.57031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20.5703125" bestFit="1" customWidth="1"/>
    <col min="7" max="7" width="12.5703125" bestFit="1" customWidth="1"/>
    <col min="8" max="8" width="6.28515625" bestFit="1" customWidth="1"/>
    <col min="9" max="9" width="8.5703125" bestFit="1" customWidth="1"/>
  </cols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"!$C$2:$C$121"),TRUE, INDIRECT(A1 &amp; "!$E$2:$E$121"),TRUE)</f>
        <v>28</v>
      </c>
      <c r="C3">
        <f ca="1">COUNTIFS(INDIRECT(A1 &amp; "!$C$2:$C$121"),TRUE, INDIRECT(A1 &amp; "!$E$2:$E$121"),FALSE)</f>
        <v>0</v>
      </c>
      <c r="D3">
        <f ca="1">COUNTIFS(INDIRECT(A1 &amp; "!$C$2:$C$121"),TRUE, INDIRECT(A1 &amp; "!$E$2:$E$121"),"half true")</f>
        <v>0</v>
      </c>
      <c r="F3" t="b">
        <v>1</v>
      </c>
      <c r="G3">
        <f ca="1">COUNTIFS(INDIRECT(F1 &amp; "!$C$2:$C$121"),TRUE, INDIRECT(F1 &amp; "!$E$2:$E$121"),TRUE)</f>
        <v>46</v>
      </c>
      <c r="H3">
        <f ca="1">COUNTIFS(INDIRECT(F1 &amp; "!$C$2:$C$121"),TRUE, INDIRECT(F1 &amp; "!$E$2:$E$121"),FALSE)</f>
        <v>0</v>
      </c>
      <c r="I3">
        <f ca="1">COUNTIFS(INDIRECT(F1 &amp; "!$C$2:$C$121"),TRUE, INDIRECT(F1 &amp; "!$E$2:$E$121"),"half true")</f>
        <v>0</v>
      </c>
    </row>
    <row r="4" spans="1:9">
      <c r="A4" t="b">
        <v>0</v>
      </c>
      <c r="B4">
        <f ca="1">COUNTIFS(INDIRECT(A1 &amp; "!$C$2:$C$121"),FALSE, INDIRECT(A1 &amp; "!$E$2:$E$121"),TRUE)</f>
        <v>0</v>
      </c>
      <c r="C4">
        <f ca="1">COUNTIFS(INDIRECT(A1 &amp; "!$C$2:$C$121"),FALSE, INDIRECT(A1 &amp; "!$E$2:$E$121"),FALSE)</f>
        <v>7</v>
      </c>
      <c r="D4">
        <f ca="1">COUNTIFS(INDIRECT(A1 &amp; "!$C$2:$C$121"),FALSE, INDIRECT(A1 &amp; "!$E$2:$E$121"),"half true")</f>
        <v>0</v>
      </c>
      <c r="F4" t="b">
        <v>0</v>
      </c>
      <c r="G4">
        <f ca="1">COUNTIFS(INDIRECT(F1 &amp; "!$C$2:$C$121"),FALSE, INDIRECT(F1 &amp; "!$E$2:$E$121"),TRUE)</f>
        <v>0</v>
      </c>
      <c r="H4">
        <f ca="1">COUNTIFS(INDIRECT(F1 &amp; "!$C$2:$C$121"),FALSE, INDIRECT(F1 &amp; "!$E$2:$E$121"),FALSE)</f>
        <v>7</v>
      </c>
      <c r="I4">
        <f ca="1">COUNTIFS(INDIRECT(F1 &amp; "!$C$2:$C$121"),FALSE, INDIRECT(F1 &amp; "!$E$2:$E$121"),"half true")</f>
        <v>0</v>
      </c>
    </row>
    <row r="5" spans="1:9">
      <c r="A5" t="s">
        <v>2</v>
      </c>
      <c r="B5">
        <f ca="1">COUNTIFS(INDIRECT(A1 &amp; "!$C$2:$C$121"),"half true", INDIRECT(A1 &amp; "!$E$2:$E$121"),TRUE)</f>
        <v>0</v>
      </c>
      <c r="C5">
        <f ca="1">COUNTIFS(INDIRECT(A1 &amp; "!$C$2:$C$121"),"half true", INDIRECT(A1 &amp; "!$E$2:$E$121"),FALSE)</f>
        <v>0</v>
      </c>
      <c r="D5">
        <f ca="1">COUNTIFS(INDIRECT(A1 &amp; "!$C$2:$C$121"),"half true", INDIRECT(A1 &amp; "!$E$2:$E$121"),"half true")</f>
        <v>1</v>
      </c>
      <c r="F5" t="s">
        <v>2</v>
      </c>
      <c r="G5">
        <f ca="1">COUNTIFS(INDIRECT(F1 &amp; "!$C$2:$C$121"),"half true", INDIRECT(F1 &amp; "!$E$2:$E$121"),TRUE)</f>
        <v>0</v>
      </c>
      <c r="H5">
        <f ca="1">COUNTIFS(INDIRECT(F1 &amp; "!$C$2:$C$121"),"half true", INDIRECT(F1 &amp; "!$E$2:$E$121"),FALSE)</f>
        <v>6</v>
      </c>
      <c r="I5">
        <f ca="1">COUNTIFS(INDIRECT(F1 &amp; "!$C$2:$C$121"),"half true", INDIRECT(F1 &amp; "!$E$2:$E$121"),"half true")</f>
        <v>1</v>
      </c>
    </row>
    <row r="6" spans="1:9">
      <c r="A6" t="s">
        <v>3</v>
      </c>
      <c r="B6">
        <f ca="1">SUM(B3:D5)</f>
        <v>36</v>
      </c>
      <c r="F6" t="s">
        <v>3</v>
      </c>
      <c r="G6">
        <f ca="1">SUM(G3:I5)</f>
        <v>60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0.9</v>
      </c>
    </row>
    <row r="8" spans="1:9">
      <c r="A8" t="s">
        <v>5</v>
      </c>
      <c r="B8">
        <f ca="1">((SUM(B3:D3)*SUM(B3:B5))+(SUM(B4:D4)*SUM(C3:C5))+(SUM(B5:D5)*SUM(D3:D5)))/(B6^2)</f>
        <v>0.64351851851851849</v>
      </c>
      <c r="F8" t="s">
        <v>5</v>
      </c>
      <c r="G8">
        <f ca="1">((SUM(G3:I3)*SUM(G3:G5))+(SUM(G4:I4)*SUM(H3:H5))+(SUM(G5:I5)*SUM(I3:I5)))/(G6^2)</f>
        <v>0.61499999999999999</v>
      </c>
    </row>
    <row r="9" spans="1:9">
      <c r="A9" t="s">
        <v>6</v>
      </c>
      <c r="B9">
        <f ca="1">(B7-B8)/(1-B8)</f>
        <v>1</v>
      </c>
      <c r="F9" t="s">
        <v>6</v>
      </c>
      <c r="G9">
        <f ca="1">(G7-G8)/(1-G8)</f>
        <v>0.74025974025974028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"!$C$2:$C$121"),TRUE, INDIRECT(A11 &amp; "!$E$2:$E$121"),TRUE)</f>
        <v>61</v>
      </c>
      <c r="C13">
        <f ca="1">COUNTIFS(INDIRECT(A11 &amp; "!$C$2:$C$121"),TRUE, INDIRECT(A11 &amp; "!$E$2:$E$121"),FALSE)</f>
        <v>0</v>
      </c>
      <c r="D13">
        <f ca="1">COUNTIFS(INDIRECT(A11 &amp; "!$C$2:$C$121"),TRUE, INDIRECT(A11 &amp; "!$E$2:$E$121"),"half true")</f>
        <v>0</v>
      </c>
      <c r="F13" t="b">
        <v>1</v>
      </c>
      <c r="G13">
        <f ca="1">COUNTIFS(INDIRECT(F11 &amp; "!$C$2:$C$121"),TRUE, INDIRECT(F11 &amp; "!$E$2:$E$121"),TRUE)</f>
        <v>84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"!$C$2:$C$121"),FALSE, INDIRECT(A11 &amp; "!$E$2:$E$121"),TRUE)</f>
        <v>0</v>
      </c>
      <c r="C14">
        <f ca="1">COUNTIFS(INDIRECT(A11 &amp; "!$C$2:$C$121"),FALSE, INDIRECT(A11 &amp; "!$E$2:$E$121"),FALSE)</f>
        <v>10</v>
      </c>
      <c r="D14">
        <f ca="1">COUNTIFS(INDIRECT(A11 &amp; "!$C$2:$C$121"),FALSE, INDIRECT(A11 &amp; "!$E$2:$E$121"),"half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17</v>
      </c>
      <c r="I14">
        <f ca="1">COUNTIFS(INDIRECT(F11 &amp; "!$C$2:$C$121"),FALSE, INDIRECT(F11 &amp; "!$E$2:$E$121"),"half true")</f>
        <v>0</v>
      </c>
    </row>
    <row r="15" spans="1:9">
      <c r="A15" t="s">
        <v>2</v>
      </c>
      <c r="B15">
        <f ca="1">COUNTIFS(INDIRECT(A11 &amp; "!$C$2:$C$121"),"half true", INDIRECT(A11 &amp; "!$E$2:$E$121"),TRUE)</f>
        <v>0</v>
      </c>
      <c r="C15">
        <f ca="1">COUNTIFS(INDIRECT(A11 &amp; "!$C$2:$C$121"),"half true", INDIRECT(A11 &amp; "!$E$2:$E$121"),FALSE)</f>
        <v>10</v>
      </c>
      <c r="D15">
        <f ca="1">COUNTIFS(INDIRECT(A11 &amp; "!$C$2:$C$121"),"half true", INDIRECT(A11 &amp; "!$E$2:$E$121"),"half true")</f>
        <v>3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16</v>
      </c>
      <c r="I15">
        <f ca="1">COUNTIFS(INDIRECT(F11 &amp; "!$C$2:$C$121"),"half true", INDIRECT(F11 &amp; "!$E$2:$E$121"),"half true")</f>
        <v>3</v>
      </c>
    </row>
    <row r="16" spans="1:9">
      <c r="A16" t="s">
        <v>3</v>
      </c>
      <c r="B16">
        <f ca="1">SUM(B13:D15)</f>
        <v>84</v>
      </c>
      <c r="F16" t="s">
        <v>3</v>
      </c>
      <c r="G16">
        <f ca="1">SUM(G13:I15)</f>
        <v>120</v>
      </c>
    </row>
    <row r="17" spans="1:9">
      <c r="A17" t="s">
        <v>4</v>
      </c>
      <c r="B17">
        <f ca="1">(B13+C14+D15)/B16</f>
        <v>0.88095238095238093</v>
      </c>
      <c r="F17" t="s">
        <v>4</v>
      </c>
      <c r="G17">
        <f ca="1">(G13+H14+I15)/G16</f>
        <v>0.8666666666666667</v>
      </c>
    </row>
    <row r="18" spans="1:9">
      <c r="A18" t="s">
        <v>5</v>
      </c>
      <c r="B18">
        <f ca="1">((SUM(B13:D13)*SUM(B13:B15))+(SUM(B14:D14)*SUM(C13:C15))+(SUM(B15:D15)*SUM(D13:D15)))/(B16^2)</f>
        <v>0.56122448979591832</v>
      </c>
      <c r="F18" t="s">
        <v>5</v>
      </c>
      <c r="G18">
        <f ca="1">((SUM(G13:I13)*SUM(G13:G15))+(SUM(G14:I14)*SUM(H13:H15))+(SUM(G15:I15)*SUM(I13:I15)))/(G16^2)</f>
        <v>0.53291666666666671</v>
      </c>
    </row>
    <row r="19" spans="1:9">
      <c r="A19" t="s">
        <v>6</v>
      </c>
      <c r="B19">
        <f ca="1">(B17-B18)/(1-B18)</f>
        <v>0.72868217054263562</v>
      </c>
      <c r="F19" t="s">
        <v>6</v>
      </c>
      <c r="G19">
        <f ca="1">(G17-G18)/(1-G18)</f>
        <v>0.71454058876003568</v>
      </c>
    </row>
    <row r="21" spans="1:9">
      <c r="A21" t="s">
        <v>9</v>
      </c>
      <c r="F21" t="s">
        <v>10</v>
      </c>
    </row>
    <row r="22" spans="1:9">
      <c r="B22" t="b">
        <v>1</v>
      </c>
      <c r="C22" t="b">
        <v>0</v>
      </c>
      <c r="D22" t="s">
        <v>2</v>
      </c>
      <c r="G22" t="b">
        <v>1</v>
      </c>
      <c r="H22" t="b">
        <v>0</v>
      </c>
      <c r="I22" t="s">
        <v>2</v>
      </c>
    </row>
    <row r="23" spans="1:9">
      <c r="A23" t="b">
        <v>1</v>
      </c>
      <c r="B23">
        <f ca="1">COUNTIFS(INDIRECT(A21 &amp; "!$C$2:$C$121"),TRUE, INDIRECT(A21 &amp; "!$E$2:$E$121"),TRUE)</f>
        <v>28</v>
      </c>
      <c r="C23">
        <f ca="1">COUNTIFS(INDIRECT(A21 &amp; "!$C$2:$C$121"),TRUE, INDIRECT(A21 &amp; "!$E$2:$E$121"),FALSE)</f>
        <v>0</v>
      </c>
      <c r="D23">
        <f ca="1">COUNTIFS(INDIRECT(A21 &amp; "!$C$2:$C$121"),TRUE, INDIRECT(A21 &amp; "!$E$2:$E$121"),"half true")</f>
        <v>0</v>
      </c>
      <c r="F23" t="b">
        <v>1</v>
      </c>
      <c r="G23">
        <f ca="1">COUNTIFS(INDIRECT(F21 &amp; "!$C$2:$C$121"),TRUE, INDIRECT(F21 &amp; "!$E$2:$E$121"),TRUE)</f>
        <v>53</v>
      </c>
      <c r="H23">
        <f ca="1">COUNTIFS(INDIRECT(F21 &amp; "!$C$2:$C$121"),TRUE, INDIRECT(F21 &amp; "!$E$2:$E$121"),FALSE)</f>
        <v>0</v>
      </c>
      <c r="I23">
        <f ca="1">COUNTIFS(INDIRECT(F21 &amp; "!$C$2:$C$121"),TRUE, INDIRECT(F21 &amp; "!$E$2:$E$121"),"half true")</f>
        <v>0</v>
      </c>
    </row>
    <row r="24" spans="1:9">
      <c r="A24" t="b">
        <v>0</v>
      </c>
      <c r="B24">
        <f ca="1">COUNTIFS(INDIRECT(A21 &amp; "!$C$2:$C$121"),FALSE, INDIRECT(A21 &amp; "!$E$2:$E$121"),TRUE)</f>
        <v>0</v>
      </c>
      <c r="C24">
        <f ca="1">COUNTIFS(INDIRECT(A21 &amp; "!$C$2:$C$121"),FALSE, INDIRECT(A21 &amp; "!$E$2:$E$121"),FALSE)</f>
        <v>8</v>
      </c>
      <c r="D24">
        <f ca="1">COUNTIFS(INDIRECT(A21 &amp; "!$C$2:$C$121"),FALSE, INDIRECT(A21 &amp; "!$E$2:$E$121"),"half true")</f>
        <v>0</v>
      </c>
      <c r="F24" t="b">
        <v>0</v>
      </c>
      <c r="G24">
        <f ca="1">COUNTIFS(INDIRECT(F21 &amp; "!$C$2:$C$121"),FALSE, INDIRECT(F21 &amp; "!$E$2:$E$121"),TRUE)</f>
        <v>0</v>
      </c>
      <c r="H24">
        <f ca="1">COUNTIFS(INDIRECT(F21 &amp; "!$C$2:$C$121"),FALSE, INDIRECT(F21 &amp; "!$E$2:$E$121"),FALSE)</f>
        <v>6</v>
      </c>
      <c r="I24">
        <f ca="1">COUNTIFS(INDIRECT(F21 &amp; "!$C$2:$C$121"),FALSE, INDIRECT(F21 &amp; "!$E$2:$E$121"),"half true")</f>
        <v>0</v>
      </c>
    </row>
    <row r="25" spans="1:9">
      <c r="A25" t="s">
        <v>2</v>
      </c>
      <c r="B25">
        <f ca="1">COUNTIFS(INDIRECT(A21 &amp; "!$C$2:$C$121"),"half true", INDIRECT(A21 &amp; "!$E$2:$E$121"),TRUE)</f>
        <v>0</v>
      </c>
      <c r="C25">
        <f ca="1">COUNTIFS(INDIRECT(A21 &amp; "!$C$2:$C$121"),"half true", INDIRECT(A21 &amp; "!$E$2:$E$121"),FALSE)</f>
        <v>0</v>
      </c>
      <c r="D25">
        <f ca="1">COUNTIFS(INDIRECT(A21 &amp; "!$C$2:$C$121"),"half true", INDIRECT(A21 &amp; "!$E$2:$E$121"),"half true")</f>
        <v>0</v>
      </c>
      <c r="F25" t="s">
        <v>2</v>
      </c>
      <c r="G25">
        <f ca="1">COUNTIFS(INDIRECT(F21 &amp; "!$C$2:$C$121"),"half true", INDIRECT(F21 &amp; "!$E$2:$E$121"),TRUE)</f>
        <v>0</v>
      </c>
      <c r="H25">
        <f ca="1">COUNTIFS(INDIRECT(F21 &amp; "!$C$2:$C$121"),"half true", INDIRECT(F21 &amp; "!$E$2:$E$121"),FALSE)</f>
        <v>1</v>
      </c>
      <c r="I25">
        <f ca="1">COUNTIFS(INDIRECT(F21 &amp; "!$C$2:$C$121"),"half true", INDIRECT(F21 &amp; "!$E$2:$E$121"),"half true")</f>
        <v>0</v>
      </c>
    </row>
    <row r="26" spans="1:9">
      <c r="A26" t="s">
        <v>3</v>
      </c>
      <c r="B26">
        <f ca="1">SUM(B23:D25)</f>
        <v>36</v>
      </c>
      <c r="F26" t="s">
        <v>3</v>
      </c>
      <c r="G26">
        <f ca="1">SUM(G23:I25)</f>
        <v>60</v>
      </c>
    </row>
    <row r="27" spans="1:9">
      <c r="A27" t="s">
        <v>4</v>
      </c>
      <c r="B27">
        <f ca="1">(B23+C24+D25)/B26</f>
        <v>1</v>
      </c>
      <c r="F27" t="s">
        <v>4</v>
      </c>
      <c r="G27">
        <f ca="1">(G23+H24+I25)/G26</f>
        <v>0.98333333333333328</v>
      </c>
    </row>
    <row r="28" spans="1:9">
      <c r="A28" t="s">
        <v>5</v>
      </c>
      <c r="B28">
        <f ca="1">((SUM(B23:D23)*SUM(B23:B25))+(SUM(B24:D24)*SUM(C23:C25))+(SUM(B25:D25)*SUM(D23:D25)))/(B26^2)</f>
        <v>0.65432098765432101</v>
      </c>
      <c r="F28" t="s">
        <v>5</v>
      </c>
      <c r="G28">
        <f ca="1">((SUM(G23:I23)*SUM(G23:G25))+(SUM(G24:I24)*SUM(H23:H25))+(SUM(G25:I25)*SUM(I23:I25)))/(G26^2)</f>
        <v>0.79194444444444445</v>
      </c>
    </row>
    <row r="29" spans="1:9">
      <c r="A29" t="s">
        <v>6</v>
      </c>
      <c r="B29">
        <f ca="1">(B27-B28)/(1-B28)</f>
        <v>1</v>
      </c>
      <c r="F29" t="s">
        <v>6</v>
      </c>
      <c r="G29">
        <f ca="1">(G27-G28)/(1-G28)</f>
        <v>0.91989319092122801</v>
      </c>
    </row>
    <row r="31" spans="1:9">
      <c r="A31" t="s">
        <v>11</v>
      </c>
      <c r="F31" t="s">
        <v>12</v>
      </c>
    </row>
    <row r="32" spans="1:9">
      <c r="B32" t="b">
        <v>1</v>
      </c>
      <c r="C32" t="b">
        <v>0</v>
      </c>
      <c r="D32" t="s">
        <v>2</v>
      </c>
      <c r="G32" t="b">
        <v>1</v>
      </c>
      <c r="H32" t="b">
        <v>0</v>
      </c>
      <c r="I32" t="s">
        <v>2</v>
      </c>
    </row>
    <row r="33" spans="1:9">
      <c r="A33" t="b">
        <v>1</v>
      </c>
      <c r="B33">
        <f ca="1">COUNTIFS(INDIRECT(A31 &amp; "!$C$2:$C$121"),TRUE, INDIRECT(A31 &amp; "!$E$2:$E$121"),TRUE)</f>
        <v>66</v>
      </c>
      <c r="C33">
        <f ca="1">COUNTIFS(INDIRECT(A31 &amp; "!$C$2:$C$121"),TRUE, INDIRECT(A31 &amp; "!$E$2:$E$121"),FALSE)</f>
        <v>0</v>
      </c>
      <c r="D33">
        <f ca="1">COUNTIFS(INDIRECT(A31 &amp; "!$C$2:$C$121"),TRUE, INDIRECT(A31 &amp; "!$E$2:$E$121"),"half true")</f>
        <v>0</v>
      </c>
      <c r="F33" t="b">
        <v>1</v>
      </c>
      <c r="G33">
        <f ca="1">COUNTIFS(INDIRECT(F31 &amp; "!$C$2:$C$121"),TRUE, INDIRECT(F31 &amp; "!$E$2:$E$121"),TRUE)</f>
        <v>92</v>
      </c>
      <c r="H33">
        <f ca="1">COUNTIFS(INDIRECT(F31 &amp; "!$C$2:$C$121"),TRUE, INDIRECT(F31 &amp; "!$E$2:$E$121"),FALSE)</f>
        <v>0</v>
      </c>
      <c r="I33">
        <f ca="1">COUNTIFS(INDIRECT(F31 &amp; "!$C$2:$C$121"),TRUE, INDIRECT(F31 &amp; "!$E$2:$E$121"),"half true")</f>
        <v>0</v>
      </c>
    </row>
    <row r="34" spans="1:9">
      <c r="A34" t="b">
        <v>0</v>
      </c>
      <c r="B34">
        <f ca="1">COUNTIFS(INDIRECT(A31 &amp; "!$C$2:$C$121"),FALSE, INDIRECT(A31 &amp; "!$E$2:$E$121"),TRUE)</f>
        <v>0</v>
      </c>
      <c r="C34">
        <f ca="1">COUNTIFS(INDIRECT(A31 &amp; "!$C$2:$C$121"),FALSE, INDIRECT(A31 &amp; "!$E$2:$E$121"),FALSE)</f>
        <v>11</v>
      </c>
      <c r="D34">
        <f ca="1">COUNTIFS(INDIRECT(A31 &amp; "!$C$2:$C$121"),FALSE, INDIRECT(A31 &amp; "!$E$2:$E$121"),"half true")</f>
        <v>0</v>
      </c>
      <c r="F34" t="b">
        <v>0</v>
      </c>
      <c r="G34">
        <f ca="1">COUNTIFS(INDIRECT(F31 &amp; "!$C$2:$C$121"),FALSE, INDIRECT(F31 &amp; "!$E$2:$E$121"),TRUE)</f>
        <v>0</v>
      </c>
      <c r="H34">
        <f ca="1">COUNTIFS(INDIRECT(F31 &amp; "!$C$2:$C$121"),FALSE, INDIRECT(F31 &amp; "!$E$2:$E$121"),FALSE)</f>
        <v>21</v>
      </c>
      <c r="I34">
        <f ca="1">COUNTIFS(INDIRECT(F31 &amp; "!$C$2:$C$121"),FALSE, INDIRECT(F31 &amp; "!$E$2:$E$121"),"half true")</f>
        <v>0</v>
      </c>
    </row>
    <row r="35" spans="1:9">
      <c r="A35" t="s">
        <v>2</v>
      </c>
      <c r="B35">
        <f ca="1">COUNTIFS(INDIRECT(A31 &amp; "!$C$2:$C$121"),"half true", INDIRECT(A31 &amp; "!$E$2:$E$121"),TRUE)</f>
        <v>0</v>
      </c>
      <c r="C35">
        <f ca="1">COUNTIFS(INDIRECT(A31 &amp; "!$C$2:$C$121"),"half true", INDIRECT(A31 &amp; "!$E$2:$E$121"),FALSE)</f>
        <v>7</v>
      </c>
      <c r="D35">
        <f ca="1">COUNTIFS(INDIRECT(A31 &amp; "!$C$2:$C$121"),"half true", INDIRECT(A31 &amp; "!$E$2:$E$121"),"half true")</f>
        <v>0</v>
      </c>
      <c r="F35" t="s">
        <v>2</v>
      </c>
      <c r="G35">
        <f ca="1">COUNTIFS(INDIRECT(F31 &amp; "!$C$2:$C$121"),"half true", INDIRECT(F31 &amp; "!$E$2:$E$121"),TRUE)</f>
        <v>0</v>
      </c>
      <c r="H35">
        <f ca="1">COUNTIFS(INDIRECT(F31 &amp; "!$C$2:$C$121"),"half true", INDIRECT(F31 &amp; "!$E$2:$E$121"),FALSE)</f>
        <v>7</v>
      </c>
      <c r="I35">
        <f ca="1">COUNTIFS(INDIRECT(F31 &amp; "!$C$2:$C$121"),"half true", INDIRECT(F31 &amp; "!$E$2:$E$121"),"half true")</f>
        <v>0</v>
      </c>
    </row>
    <row r="36" spans="1:9">
      <c r="A36" t="s">
        <v>3</v>
      </c>
      <c r="B36">
        <f ca="1">SUM(B33:D35)</f>
        <v>84</v>
      </c>
      <c r="F36" t="s">
        <v>3</v>
      </c>
      <c r="G36">
        <f ca="1">SUM(G33:I35)</f>
        <v>120</v>
      </c>
    </row>
    <row r="37" spans="1:9">
      <c r="A37" t="s">
        <v>4</v>
      </c>
      <c r="B37">
        <f ca="1">(B33+C34+D35)/B36</f>
        <v>0.91666666666666663</v>
      </c>
      <c r="F37" t="s">
        <v>4</v>
      </c>
      <c r="G37">
        <f ca="1">(G33+H34+I35)/G36</f>
        <v>0.94166666666666665</v>
      </c>
    </row>
    <row r="38" spans="1:9">
      <c r="A38" t="s">
        <v>5</v>
      </c>
      <c r="B38">
        <f ca="1">((SUM(B33:D33)*SUM(B33:B35))+(SUM(B34:D34)*SUM(C33:C35))+(SUM(B35:D35)*SUM(D33:D35)))/(B36^2)</f>
        <v>0.64540816326530615</v>
      </c>
      <c r="F38" t="s">
        <v>5</v>
      </c>
      <c r="G38">
        <f ca="1">((SUM(G33:I33)*SUM(G33:G35))+(SUM(G34:I34)*SUM(H33:H35))+(SUM(G35:I35)*SUM(I33:I35)))/(G36^2)</f>
        <v>0.62861111111111112</v>
      </c>
    </row>
    <row r="39" spans="1:9">
      <c r="A39" t="s">
        <v>6</v>
      </c>
      <c r="B39">
        <f ca="1">(B37-B38)/(1-B38)</f>
        <v>0.76498800959232605</v>
      </c>
      <c r="F39" t="s">
        <v>6</v>
      </c>
      <c r="G39">
        <f ca="1">(G37-G38)/(1-G38)</f>
        <v>0.84293193717277481</v>
      </c>
    </row>
    <row r="41" spans="1:9">
      <c r="A41" t="s">
        <v>13</v>
      </c>
    </row>
    <row r="42" spans="1:9">
      <c r="B42" t="b">
        <v>1</v>
      </c>
      <c r="C42" t="b">
        <v>0</v>
      </c>
      <c r="D42" t="s">
        <v>2</v>
      </c>
    </row>
    <row r="43" spans="1:9">
      <c r="A43" t="b">
        <v>1</v>
      </c>
      <c r="B43">
        <f ca="1">B3+G3+B13+G13+B23+G23+B33+G33</f>
        <v>458</v>
      </c>
      <c r="C43">
        <f t="shared" ref="C43:D45" ca="1" si="0">C3+H3+C13+H13+C23+H23+C33+H33</f>
        <v>0</v>
      </c>
      <c r="D43">
        <f t="shared" ca="1" si="0"/>
        <v>0</v>
      </c>
    </row>
    <row r="44" spans="1:9">
      <c r="A44" t="b">
        <v>0</v>
      </c>
      <c r="B44">
        <f t="shared" ref="B44:B45" ca="1" si="1">B4+G4+B14+G14+B24+G24+B34+G34</f>
        <v>0</v>
      </c>
      <c r="C44">
        <f t="shared" ca="1" si="0"/>
        <v>87</v>
      </c>
      <c r="D44">
        <f t="shared" ca="1" si="0"/>
        <v>0</v>
      </c>
    </row>
    <row r="45" spans="1:9">
      <c r="A45" t="s">
        <v>2</v>
      </c>
      <c r="B45">
        <f t="shared" ca="1" si="1"/>
        <v>0</v>
      </c>
      <c r="C45">
        <f t="shared" ca="1" si="0"/>
        <v>47</v>
      </c>
      <c r="D45">
        <f t="shared" ca="1" si="0"/>
        <v>8</v>
      </c>
    </row>
    <row r="46" spans="1:9">
      <c r="A46" t="s">
        <v>3</v>
      </c>
      <c r="B46">
        <f ca="1">SUM(B43:D45)</f>
        <v>600</v>
      </c>
    </row>
    <row r="47" spans="1:9">
      <c r="A47" t="s">
        <v>4</v>
      </c>
      <c r="B47">
        <f ca="1">(B43+C44+D45)/B46</f>
        <v>0.92166666666666663</v>
      </c>
    </row>
    <row r="48" spans="1:9">
      <c r="A48" t="s">
        <v>5</v>
      </c>
      <c r="B48">
        <f ca="1">((SUM(B43:D43)*SUM(B43:B45))+(SUM(B44:D44)*SUM(C43:C45))+(SUM(B45:D45)*SUM(D43:D45)))/(B46^2)</f>
        <v>0.61628333333333329</v>
      </c>
    </row>
    <row r="49" spans="1:9">
      <c r="A49" t="s">
        <v>6</v>
      </c>
      <c r="B49">
        <f ca="1">(B47-B48)/(1-B48)</f>
        <v>0.79585631759544795</v>
      </c>
    </row>
    <row r="51" spans="1:9">
      <c r="A51" t="s">
        <v>14</v>
      </c>
      <c r="F51" t="s">
        <v>15</v>
      </c>
    </row>
    <row r="52" spans="1:9">
      <c r="B52" t="b">
        <v>1</v>
      </c>
      <c r="C52" t="b">
        <v>0</v>
      </c>
      <c r="D52" t="s">
        <v>2</v>
      </c>
      <c r="G52" t="b">
        <v>1</v>
      </c>
      <c r="H52" t="b">
        <v>0</v>
      </c>
      <c r="I52" t="s">
        <v>2</v>
      </c>
    </row>
    <row r="53" spans="1:9">
      <c r="A53" t="b">
        <v>1</v>
      </c>
      <c r="B53">
        <f ca="1">B23+G23+B33+G33</f>
        <v>239</v>
      </c>
      <c r="C53">
        <f t="shared" ref="C53:D55" ca="1" si="2">C23+H23+C33+H33</f>
        <v>0</v>
      </c>
      <c r="D53">
        <f t="shared" ca="1" si="2"/>
        <v>0</v>
      </c>
      <c r="F53" t="b">
        <v>1</v>
      </c>
      <c r="G53">
        <f ca="1">B3+G3+B13+G13</f>
        <v>219</v>
      </c>
      <c r="H53">
        <f t="shared" ref="H53:I55" ca="1" si="3">C3+H3+C13+H13</f>
        <v>0</v>
      </c>
      <c r="I53">
        <f t="shared" ca="1" si="3"/>
        <v>0</v>
      </c>
    </row>
    <row r="54" spans="1:9">
      <c r="A54" t="b">
        <v>0</v>
      </c>
      <c r="B54">
        <f t="shared" ref="B54:B55" ca="1" si="4">B24+G24+B34+G34</f>
        <v>0</v>
      </c>
      <c r="C54">
        <f t="shared" ca="1" si="2"/>
        <v>46</v>
      </c>
      <c r="D54">
        <f t="shared" ca="1" si="2"/>
        <v>0</v>
      </c>
      <c r="F54" t="b">
        <v>0</v>
      </c>
      <c r="G54">
        <f t="shared" ref="G54:G55" ca="1" si="5">B4+G4+B14+G14</f>
        <v>0</v>
      </c>
      <c r="H54">
        <f t="shared" ca="1" si="3"/>
        <v>41</v>
      </c>
      <c r="I54">
        <f t="shared" ca="1" si="3"/>
        <v>0</v>
      </c>
    </row>
    <row r="55" spans="1:9">
      <c r="A55" t="s">
        <v>2</v>
      </c>
      <c r="B55">
        <f t="shared" ca="1" si="4"/>
        <v>0</v>
      </c>
      <c r="C55">
        <f t="shared" ca="1" si="2"/>
        <v>15</v>
      </c>
      <c r="D55">
        <f t="shared" ca="1" si="2"/>
        <v>0</v>
      </c>
      <c r="F55" t="s">
        <v>2</v>
      </c>
      <c r="G55">
        <f t="shared" ca="1" si="5"/>
        <v>0</v>
      </c>
      <c r="H55">
        <f t="shared" ca="1" si="3"/>
        <v>32</v>
      </c>
      <c r="I55">
        <f t="shared" ca="1" si="3"/>
        <v>8</v>
      </c>
    </row>
    <row r="57" spans="1:9">
      <c r="B57" t="b">
        <v>1</v>
      </c>
      <c r="C57" t="b">
        <v>0</v>
      </c>
      <c r="D57" t="s">
        <v>2</v>
      </c>
      <c r="G57" t="b">
        <v>1</v>
      </c>
      <c r="H57" t="b">
        <v>0</v>
      </c>
      <c r="I57" t="s">
        <v>2</v>
      </c>
    </row>
    <row r="58" spans="1:9">
      <c r="A58" t="b">
        <v>1</v>
      </c>
      <c r="B58">
        <v>237</v>
      </c>
      <c r="C58">
        <v>0</v>
      </c>
      <c r="D58">
        <v>0</v>
      </c>
      <c r="F58" t="b">
        <v>1</v>
      </c>
      <c r="G58">
        <v>221</v>
      </c>
      <c r="H58">
        <v>0</v>
      </c>
      <c r="I58">
        <v>0</v>
      </c>
    </row>
    <row r="59" spans="1:9">
      <c r="A59" t="b">
        <v>0</v>
      </c>
      <c r="B59">
        <v>0</v>
      </c>
      <c r="C59">
        <v>49</v>
      </c>
      <c r="D59">
        <v>0</v>
      </c>
      <c r="F59" t="b">
        <v>0</v>
      </c>
      <c r="G59">
        <v>0</v>
      </c>
      <c r="H59">
        <v>42</v>
      </c>
      <c r="I59">
        <v>0</v>
      </c>
    </row>
    <row r="60" spans="1:9">
      <c r="A60" t="s">
        <v>2</v>
      </c>
      <c r="B60">
        <v>0</v>
      </c>
      <c r="C60">
        <v>14</v>
      </c>
      <c r="D60">
        <v>0</v>
      </c>
      <c r="F60" t="s">
        <v>2</v>
      </c>
      <c r="G60">
        <v>0</v>
      </c>
      <c r="H60">
        <v>33</v>
      </c>
      <c r="I60">
        <v>4</v>
      </c>
    </row>
    <row r="62" spans="1:9">
      <c r="B62" t="b">
        <v>1</v>
      </c>
      <c r="C62" t="b">
        <v>0</v>
      </c>
      <c r="D62" t="s">
        <v>2</v>
      </c>
      <c r="G62" t="b">
        <v>1</v>
      </c>
      <c r="H62" t="b">
        <v>0</v>
      </c>
      <c r="I62" t="s">
        <v>2</v>
      </c>
    </row>
    <row r="63" spans="1:9">
      <c r="A63" t="b">
        <v>1</v>
      </c>
      <c r="B63">
        <v>239</v>
      </c>
      <c r="C63">
        <v>0</v>
      </c>
      <c r="D63">
        <v>0</v>
      </c>
      <c r="F63" t="b">
        <v>1</v>
      </c>
      <c r="G63">
        <v>223</v>
      </c>
      <c r="H63">
        <v>0</v>
      </c>
      <c r="I63">
        <v>0</v>
      </c>
    </row>
    <row r="64" spans="1:9">
      <c r="A64" t="b">
        <v>0</v>
      </c>
      <c r="B64">
        <v>0</v>
      </c>
      <c r="C64">
        <v>48</v>
      </c>
      <c r="D64">
        <v>3</v>
      </c>
      <c r="F64" t="b">
        <v>0</v>
      </c>
      <c r="G64">
        <v>0</v>
      </c>
      <c r="H64">
        <v>39</v>
      </c>
      <c r="I64">
        <v>0</v>
      </c>
    </row>
    <row r="65" spans="1:9">
      <c r="A65" t="s">
        <v>2</v>
      </c>
      <c r="B65">
        <v>0</v>
      </c>
      <c r="C65">
        <v>10</v>
      </c>
      <c r="D65">
        <v>0</v>
      </c>
      <c r="F65" t="s">
        <v>2</v>
      </c>
      <c r="G65">
        <v>0</v>
      </c>
      <c r="H65">
        <v>31</v>
      </c>
      <c r="I65">
        <v>7</v>
      </c>
    </row>
    <row r="67" spans="1:9">
      <c r="B67" t="b">
        <v>1</v>
      </c>
      <c r="C67" t="b">
        <v>0</v>
      </c>
      <c r="D67" t="s">
        <v>2</v>
      </c>
      <c r="G67" t="b">
        <v>1</v>
      </c>
      <c r="H67" t="b">
        <v>0</v>
      </c>
      <c r="I67" t="s">
        <v>2</v>
      </c>
    </row>
    <row r="68" spans="1:9">
      <c r="A68" t="b">
        <v>1</v>
      </c>
      <c r="B68">
        <v>238</v>
      </c>
      <c r="C68">
        <v>0</v>
      </c>
      <c r="D68">
        <v>0</v>
      </c>
      <c r="F68" t="b">
        <v>1</v>
      </c>
      <c r="G68">
        <v>227</v>
      </c>
      <c r="H68">
        <v>0</v>
      </c>
      <c r="I68">
        <v>0</v>
      </c>
    </row>
    <row r="69" spans="1:9">
      <c r="A69" t="b">
        <v>0</v>
      </c>
      <c r="B69">
        <v>0</v>
      </c>
      <c r="C69">
        <v>46</v>
      </c>
      <c r="D69">
        <v>0</v>
      </c>
      <c r="F69" t="b">
        <v>0</v>
      </c>
      <c r="G69">
        <v>0</v>
      </c>
      <c r="H69">
        <v>36</v>
      </c>
      <c r="I69">
        <v>0</v>
      </c>
    </row>
    <row r="70" spans="1:9">
      <c r="A70" t="s">
        <v>2</v>
      </c>
      <c r="B70">
        <v>0</v>
      </c>
      <c r="C70">
        <v>16</v>
      </c>
      <c r="D70">
        <v>0</v>
      </c>
      <c r="F70" t="s">
        <v>2</v>
      </c>
      <c r="G70">
        <v>0</v>
      </c>
      <c r="H70">
        <v>32</v>
      </c>
      <c r="I70">
        <v>5</v>
      </c>
    </row>
    <row r="72" spans="1:9">
      <c r="B72" t="b">
        <v>1</v>
      </c>
      <c r="C72" t="b">
        <v>0</v>
      </c>
      <c r="D72" t="s">
        <v>2</v>
      </c>
      <c r="G72" t="b">
        <v>1</v>
      </c>
      <c r="H72" t="b">
        <v>0</v>
      </c>
      <c r="I72" t="s">
        <v>2</v>
      </c>
    </row>
    <row r="73" spans="1:9">
      <c r="A73" t="b">
        <v>1</v>
      </c>
      <c r="B73">
        <v>235</v>
      </c>
      <c r="C73">
        <v>0</v>
      </c>
      <c r="D73">
        <v>0</v>
      </c>
      <c r="F73" t="b">
        <v>1</v>
      </c>
      <c r="G73">
        <v>225</v>
      </c>
      <c r="H73">
        <v>0</v>
      </c>
      <c r="I73">
        <v>0</v>
      </c>
    </row>
    <row r="74" spans="1:9">
      <c r="A74" t="b">
        <v>0</v>
      </c>
      <c r="B74">
        <v>0</v>
      </c>
      <c r="C74">
        <v>52</v>
      </c>
      <c r="D74">
        <v>0</v>
      </c>
      <c r="F74" t="b">
        <v>0</v>
      </c>
      <c r="G74">
        <v>0</v>
      </c>
      <c r="H74">
        <v>37</v>
      </c>
      <c r="I74">
        <v>0</v>
      </c>
    </row>
    <row r="75" spans="1:9">
      <c r="A75" t="s">
        <v>2</v>
      </c>
      <c r="B75">
        <v>0</v>
      </c>
      <c r="C75">
        <v>13</v>
      </c>
      <c r="D75">
        <v>0</v>
      </c>
      <c r="F75" t="s">
        <v>2</v>
      </c>
      <c r="G75">
        <v>0</v>
      </c>
      <c r="H75">
        <v>33</v>
      </c>
      <c r="I75">
        <v>5</v>
      </c>
    </row>
    <row r="77" spans="1:9">
      <c r="A77" t="s">
        <v>16</v>
      </c>
    </row>
    <row r="78" spans="1:9">
      <c r="B78" t="b">
        <v>1</v>
      </c>
      <c r="C78" t="b">
        <v>0</v>
      </c>
      <c r="D78" t="s">
        <v>2</v>
      </c>
      <c r="G78" t="b">
        <v>1</v>
      </c>
      <c r="H78" t="b">
        <v>0</v>
      </c>
      <c r="I78" t="s">
        <v>2</v>
      </c>
    </row>
    <row r="79" spans="1:9">
      <c r="A79" t="b">
        <v>1</v>
      </c>
      <c r="B79">
        <f ca="1">B53+B58+B63+B68+B73</f>
        <v>1188</v>
      </c>
      <c r="C79">
        <f t="shared" ref="C79:D79" ca="1" si="6">C53+C58+C63+C68+C73</f>
        <v>0</v>
      </c>
      <c r="D79">
        <f t="shared" ca="1" si="6"/>
        <v>0</v>
      </c>
      <c r="F79" t="b">
        <v>1</v>
      </c>
      <c r="G79">
        <f ca="1">G53+G58+G63+G68+G73</f>
        <v>1115</v>
      </c>
      <c r="H79">
        <f t="shared" ref="H79:I79" ca="1" si="7">H53+H58+H63+H68+H73</f>
        <v>0</v>
      </c>
      <c r="I79">
        <f t="shared" ca="1" si="7"/>
        <v>0</v>
      </c>
    </row>
    <row r="80" spans="1:9">
      <c r="A80" t="b">
        <v>0</v>
      </c>
      <c r="B80">
        <f t="shared" ref="B80:D81" ca="1" si="8">B54+B59+B64+B69+B74</f>
        <v>0</v>
      </c>
      <c r="C80">
        <f t="shared" ca="1" si="8"/>
        <v>241</v>
      </c>
      <c r="D80">
        <f t="shared" ca="1" si="8"/>
        <v>3</v>
      </c>
      <c r="F80" t="b">
        <v>0</v>
      </c>
      <c r="G80">
        <f t="shared" ref="G80:I81" ca="1" si="9">G54+G59+G64+G69+G74</f>
        <v>0</v>
      </c>
      <c r="H80">
        <f t="shared" ca="1" si="9"/>
        <v>195</v>
      </c>
      <c r="I80">
        <f t="shared" ca="1" si="9"/>
        <v>0</v>
      </c>
    </row>
    <row r="81" spans="1:9">
      <c r="A81" t="s">
        <v>2</v>
      </c>
      <c r="B81">
        <f t="shared" ca="1" si="8"/>
        <v>0</v>
      </c>
      <c r="C81">
        <f t="shared" ca="1" si="8"/>
        <v>68</v>
      </c>
      <c r="D81">
        <f t="shared" ca="1" si="8"/>
        <v>0</v>
      </c>
      <c r="F81" t="s">
        <v>2</v>
      </c>
      <c r="G81">
        <f t="shared" ca="1" si="9"/>
        <v>0</v>
      </c>
      <c r="H81">
        <f t="shared" ca="1" si="9"/>
        <v>161</v>
      </c>
      <c r="I81">
        <f t="shared" ca="1" si="9"/>
        <v>29</v>
      </c>
    </row>
    <row r="82" spans="1:9">
      <c r="A82" t="s">
        <v>3</v>
      </c>
      <c r="B82">
        <f ca="1">SUM(B79:D81)</f>
        <v>1500</v>
      </c>
      <c r="F82" t="s">
        <v>3</v>
      </c>
      <c r="G82">
        <f ca="1">SUM(G79:I81)</f>
        <v>1500</v>
      </c>
    </row>
    <row r="83" spans="1:9">
      <c r="A83" t="s">
        <v>4</v>
      </c>
      <c r="B83">
        <f ca="1">(B79+C80+D81)/B82</f>
        <v>0.95266666666666666</v>
      </c>
      <c r="F83" t="s">
        <v>4</v>
      </c>
      <c r="G83">
        <f ca="1">(G79+H80+I81)/G82</f>
        <v>0.89266666666666672</v>
      </c>
    </row>
    <row r="84" spans="1:9">
      <c r="A84" t="s">
        <v>5</v>
      </c>
      <c r="B84">
        <f ca="1">((SUM(B79:D79)*SUM(B79:B81))+(SUM(B80:D80)*SUM(C79:C81))+(SUM(B81:D81)*SUM(D79:D81)))/(B82^2)</f>
        <v>0.66086400000000001</v>
      </c>
      <c r="F84" t="s">
        <v>5</v>
      </c>
      <c r="G84">
        <f ca="1">((SUM(G79:I79)*SUM(G79:G81))+(SUM(G80:I80)*SUM(H79:H81))+(SUM(G81:I81)*SUM(I79:I81)))/(G82^2)</f>
        <v>0.58584666666666663</v>
      </c>
    </row>
    <row r="85" spans="1:9">
      <c r="A85" t="s">
        <v>6</v>
      </c>
      <c r="B85">
        <f ca="1">(B83-B84)/(1-B84)</f>
        <v>0.86042964081273199</v>
      </c>
      <c r="F85" t="s">
        <v>6</v>
      </c>
      <c r="G85">
        <f ca="1">(G83-G84)/(1-G84)</f>
        <v>0.74083672713809712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zoomScaleNormal="100" workbookViewId="0">
      <selection activeCell="E30" sqref="E30"/>
    </sheetView>
  </sheetViews>
  <sheetFormatPr defaultColWidth="8.5703125" defaultRowHeight="15"/>
  <cols>
    <col min="1" max="1" width="43.42578125" customWidth="1"/>
    <col min="2" max="2" width="32.85546875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21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27</v>
      </c>
      <c r="C4" t="b">
        <f>FALSE()</f>
        <v>0</v>
      </c>
      <c r="E4" t="b">
        <f>FALSE()</f>
        <v>0</v>
      </c>
    </row>
    <row r="5" spans="1:5">
      <c r="A5" t="s">
        <v>28</v>
      </c>
      <c r="B5" t="s">
        <v>29</v>
      </c>
      <c r="C5" t="b">
        <f>FALSE()</f>
        <v>0</v>
      </c>
      <c r="E5" t="b">
        <f>FALSE()</f>
        <v>0</v>
      </c>
    </row>
    <row r="6" spans="1:5">
      <c r="A6" t="s">
        <v>30</v>
      </c>
      <c r="B6" t="s">
        <v>31</v>
      </c>
      <c r="C6" t="b">
        <f>TRUE()</f>
        <v>1</v>
      </c>
      <c r="E6" t="b">
        <f>TRUE()</f>
        <v>1</v>
      </c>
    </row>
    <row r="7" spans="1:5">
      <c r="A7" t="s">
        <v>32</v>
      </c>
      <c r="B7" t="s">
        <v>33</v>
      </c>
      <c r="C7" t="b">
        <f>FALSE()</f>
        <v>0</v>
      </c>
      <c r="E7" t="b">
        <f>FALSE()</f>
        <v>0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39</v>
      </c>
      <c r="C10" t="b">
        <f>TRUE()</f>
        <v>1</v>
      </c>
      <c r="E10" t="b">
        <f>TRUE()</f>
        <v>1</v>
      </c>
    </row>
    <row r="11" spans="1:5">
      <c r="A11" t="s">
        <v>40</v>
      </c>
      <c r="B11" t="s">
        <v>41</v>
      </c>
      <c r="C11" t="b">
        <f>TRUE()</f>
        <v>1</v>
      </c>
      <c r="E11" t="b">
        <f>TRUE()</f>
        <v>1</v>
      </c>
    </row>
    <row r="12" spans="1:5">
      <c r="A12" t="s">
        <v>42</v>
      </c>
      <c r="B12" t="s">
        <v>43</v>
      </c>
      <c r="C12" t="b">
        <f>TRUE()</f>
        <v>1</v>
      </c>
      <c r="E12" t="b">
        <f>TRUE()</f>
        <v>1</v>
      </c>
    </row>
    <row r="13" spans="1:5">
      <c r="A13" t="s">
        <v>44</v>
      </c>
      <c r="B13" t="s">
        <v>45</v>
      </c>
      <c r="C13" t="b">
        <f>TRUE()</f>
        <v>1</v>
      </c>
      <c r="E13" t="b">
        <f>TRUE()</f>
        <v>1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51</v>
      </c>
      <c r="C16" t="b">
        <f>FALSE()</f>
        <v>0</v>
      </c>
      <c r="E16" t="b">
        <f>FALSE()</f>
        <v>0</v>
      </c>
    </row>
    <row r="17" spans="1:5">
      <c r="A17" t="s">
        <v>52</v>
      </c>
      <c r="B17" t="s">
        <v>53</v>
      </c>
      <c r="C17" t="s">
        <v>2</v>
      </c>
      <c r="E17" t="s">
        <v>2</v>
      </c>
    </row>
    <row r="18" spans="1:5">
      <c r="A18" t="s">
        <v>54</v>
      </c>
      <c r="B18" t="s">
        <v>55</v>
      </c>
      <c r="C18" t="b">
        <f>TRUE()</f>
        <v>1</v>
      </c>
      <c r="E18" t="b">
        <f>TRUE()</f>
        <v>1</v>
      </c>
    </row>
    <row r="19" spans="1:5">
      <c r="A19" t="s">
        <v>56</v>
      </c>
      <c r="B19" t="s">
        <v>45</v>
      </c>
      <c r="C19" t="b">
        <f>TRUE()</f>
        <v>1</v>
      </c>
      <c r="E19" t="b">
        <f>TRUE()</f>
        <v>1</v>
      </c>
    </row>
    <row r="20" spans="1:5">
      <c r="A20" t="s">
        <v>57</v>
      </c>
      <c r="B20" t="s">
        <v>58</v>
      </c>
      <c r="C20" t="b">
        <f>TRUE()</f>
        <v>1</v>
      </c>
      <c r="E20" t="b">
        <f>TRUE()</f>
        <v>1</v>
      </c>
    </row>
    <row r="21" spans="1:5">
      <c r="A21" t="s">
        <v>59</v>
      </c>
      <c r="B21" t="s">
        <v>60</v>
      </c>
      <c r="C21" t="b">
        <f>TRUE()</f>
        <v>1</v>
      </c>
      <c r="E21" t="b">
        <f>TRUE()</f>
        <v>1</v>
      </c>
    </row>
    <row r="22" spans="1:5">
      <c r="A22" t="s">
        <v>61</v>
      </c>
      <c r="B22" t="s">
        <v>62</v>
      </c>
      <c r="C22" t="b">
        <f>FALSE()</f>
        <v>0</v>
      </c>
      <c r="E22" t="b">
        <f>FALSE()</f>
        <v>0</v>
      </c>
    </row>
    <row r="23" spans="1:5">
      <c r="A23" t="s">
        <v>63</v>
      </c>
      <c r="B23" t="s">
        <v>64</v>
      </c>
      <c r="C23" t="b">
        <f>FALSE()</f>
        <v>0</v>
      </c>
      <c r="E23" t="b">
        <f>FALSE()</f>
        <v>0</v>
      </c>
    </row>
    <row r="24" spans="1:5">
      <c r="A24" t="s">
        <v>65</v>
      </c>
      <c r="B24" t="s">
        <v>66</v>
      </c>
      <c r="C24" t="b">
        <f>TRUE()</f>
        <v>1</v>
      </c>
      <c r="E24" t="b">
        <f>TRUE()</f>
        <v>1</v>
      </c>
    </row>
    <row r="25" spans="1:5">
      <c r="A25" t="s">
        <v>67</v>
      </c>
      <c r="B25" t="s">
        <v>68</v>
      </c>
      <c r="C25" t="b">
        <f>FALSE()</f>
        <v>0</v>
      </c>
      <c r="E25" t="b">
        <f>FALSE()</f>
        <v>0</v>
      </c>
    </row>
    <row r="26" spans="1:5">
      <c r="A26" t="s">
        <v>69</v>
      </c>
      <c r="B26" t="s">
        <v>70</v>
      </c>
      <c r="C26" t="b">
        <f>TRUE()</f>
        <v>1</v>
      </c>
      <c r="E26" t="b">
        <f>TRUE()</f>
        <v>1</v>
      </c>
    </row>
    <row r="27" spans="1:5">
      <c r="A27" t="s">
        <v>71</v>
      </c>
      <c r="B27" t="s">
        <v>72</v>
      </c>
      <c r="C27" t="b">
        <f>TRUE()</f>
        <v>1</v>
      </c>
      <c r="E27" t="b">
        <f>TRUE()</f>
        <v>1</v>
      </c>
    </row>
    <row r="28" spans="1:5">
      <c r="A28" t="s">
        <v>73</v>
      </c>
      <c r="B28" t="s">
        <v>74</v>
      </c>
      <c r="C28" t="b">
        <f>TRUE()</f>
        <v>1</v>
      </c>
      <c r="E28" t="b">
        <f>TRUE()</f>
        <v>1</v>
      </c>
    </row>
    <row r="29" spans="1:5">
      <c r="A29" t="s">
        <v>75</v>
      </c>
      <c r="B29" t="s">
        <v>76</v>
      </c>
      <c r="C29" t="b">
        <f>TRUE()</f>
        <v>1</v>
      </c>
      <c r="E29" t="b">
        <f>TRUE()</f>
        <v>1</v>
      </c>
    </row>
    <row r="30" spans="1:5">
      <c r="A30" t="s">
        <v>77</v>
      </c>
      <c r="B30" t="s">
        <v>78</v>
      </c>
      <c r="C30" t="b">
        <f>TRUE()</f>
        <v>1</v>
      </c>
      <c r="E30" t="b">
        <f>TRUE()</f>
        <v>1</v>
      </c>
    </row>
    <row r="31" spans="1:5">
      <c r="A31" t="s">
        <v>79</v>
      </c>
      <c r="B31" t="s">
        <v>45</v>
      </c>
      <c r="C31" t="b">
        <f>TRUE()</f>
        <v>1</v>
      </c>
      <c r="E31" t="b">
        <f>TRUE()</f>
        <v>1</v>
      </c>
    </row>
    <row r="32" spans="1:5">
      <c r="A32" t="s">
        <v>80</v>
      </c>
      <c r="B32" t="s">
        <v>81</v>
      </c>
      <c r="C32" t="b">
        <f>TRUE()</f>
        <v>1</v>
      </c>
      <c r="E32" t="b">
        <f>TRUE()</f>
        <v>1</v>
      </c>
    </row>
    <row r="33" spans="1:5">
      <c r="A33" t="s">
        <v>82</v>
      </c>
      <c r="B33" t="s">
        <v>83</v>
      </c>
      <c r="C33" t="b">
        <f>TRUE()</f>
        <v>1</v>
      </c>
      <c r="E33" t="b">
        <f>TRUE()</f>
        <v>1</v>
      </c>
    </row>
    <row r="34" spans="1:5">
      <c r="A34" t="s">
        <v>84</v>
      </c>
      <c r="B34" t="s">
        <v>85</v>
      </c>
      <c r="C34" t="b">
        <f>TRUE()</f>
        <v>1</v>
      </c>
      <c r="E34" t="b">
        <f>TRUE()</f>
        <v>1</v>
      </c>
    </row>
    <row r="35" spans="1:5">
      <c r="A35" t="s">
        <v>86</v>
      </c>
      <c r="B35" t="s">
        <v>87</v>
      </c>
      <c r="C35" t="b">
        <f>TRUE()</f>
        <v>1</v>
      </c>
      <c r="E35" t="b">
        <f>TRUE()</f>
        <v>1</v>
      </c>
    </row>
    <row r="36" spans="1:5">
      <c r="A36" t="s">
        <v>88</v>
      </c>
      <c r="B36" t="s">
        <v>89</v>
      </c>
      <c r="C36" t="b">
        <f>TRUE()</f>
        <v>1</v>
      </c>
      <c r="E36" t="b">
        <f>TRUE()</f>
        <v>1</v>
      </c>
    </row>
    <row r="37" spans="1:5">
      <c r="A37" t="s">
        <v>90</v>
      </c>
      <c r="B37" t="s">
        <v>45</v>
      </c>
      <c r="C37" t="b">
        <f>TRUE()</f>
        <v>1</v>
      </c>
      <c r="E37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1"/>
  <sheetViews>
    <sheetView topLeftCell="B1" zoomScaleNormal="100" workbookViewId="0">
      <selection activeCell="E82" sqref="E82"/>
    </sheetView>
  </sheetViews>
  <sheetFormatPr defaultColWidth="8.5703125" defaultRowHeight="15"/>
  <cols>
    <col min="1" max="1" width="44" customWidth="1"/>
    <col min="2" max="2" width="32.7109375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19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27</v>
      </c>
      <c r="C4" t="b">
        <f>FALSE()</f>
        <v>0</v>
      </c>
      <c r="E4" t="b">
        <f>FALSE()</f>
        <v>0</v>
      </c>
    </row>
    <row r="5" spans="1:5">
      <c r="A5" t="s">
        <v>28</v>
      </c>
      <c r="B5" t="s">
        <v>29</v>
      </c>
      <c r="C5" t="b">
        <f>FALSE()</f>
        <v>0</v>
      </c>
      <c r="E5" t="b">
        <f>FALSE()</f>
        <v>0</v>
      </c>
    </row>
    <row r="6" spans="1:5">
      <c r="A6" t="s">
        <v>30</v>
      </c>
      <c r="B6" t="s">
        <v>91</v>
      </c>
      <c r="C6" t="s">
        <v>2</v>
      </c>
      <c r="E6" t="b">
        <v>0</v>
      </c>
    </row>
    <row r="7" spans="1:5">
      <c r="A7" t="s">
        <v>32</v>
      </c>
      <c r="B7" t="s">
        <v>33</v>
      </c>
      <c r="C7" t="b">
        <f>FALSE()</f>
        <v>0</v>
      </c>
      <c r="E7" t="b">
        <f>FALSE()</f>
        <v>0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92</v>
      </c>
      <c r="C10" t="b">
        <f>FALSE()</f>
        <v>0</v>
      </c>
      <c r="E10" t="b">
        <f>FALSE()</f>
        <v>0</v>
      </c>
    </row>
    <row r="11" spans="1:5">
      <c r="A11" t="s">
        <v>40</v>
      </c>
      <c r="B11" t="s">
        <v>41</v>
      </c>
      <c r="C11" t="b">
        <f>TRUE()</f>
        <v>1</v>
      </c>
      <c r="E11" t="b">
        <f>TRUE()</f>
        <v>1</v>
      </c>
    </row>
    <row r="12" spans="1:5">
      <c r="A12" t="s">
        <v>42</v>
      </c>
      <c r="B12" t="s">
        <v>93</v>
      </c>
      <c r="C12" t="s">
        <v>2</v>
      </c>
      <c r="E12" t="b">
        <v>0</v>
      </c>
    </row>
    <row r="13" spans="1:5">
      <c r="A13" t="s">
        <v>44</v>
      </c>
      <c r="B13" t="s">
        <v>94</v>
      </c>
      <c r="C13" t="b">
        <f>TRUE()</f>
        <v>1</v>
      </c>
      <c r="E13" t="b">
        <f>TRUE()</f>
        <v>1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95</v>
      </c>
      <c r="C16" t="b">
        <f>TRUE()</f>
        <v>1</v>
      </c>
      <c r="E16" t="b">
        <f>TRUE()</f>
        <v>1</v>
      </c>
    </row>
    <row r="17" spans="1:5">
      <c r="A17" t="s">
        <v>52</v>
      </c>
      <c r="B17" t="s">
        <v>53</v>
      </c>
      <c r="C17" t="s">
        <v>2</v>
      </c>
      <c r="E17" t="s">
        <v>2</v>
      </c>
    </row>
    <row r="18" spans="1:5">
      <c r="A18" t="s">
        <v>54</v>
      </c>
      <c r="B18" t="s">
        <v>96</v>
      </c>
      <c r="C18" t="s">
        <v>2</v>
      </c>
      <c r="E18" t="b">
        <v>0</v>
      </c>
    </row>
    <row r="19" spans="1:5">
      <c r="A19" t="s">
        <v>56</v>
      </c>
      <c r="B19" t="s">
        <v>97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103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105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107</v>
      </c>
      <c r="C24" t="s">
        <v>2</v>
      </c>
      <c r="E24" t="b">
        <v>0</v>
      </c>
    </row>
    <row r="25" spans="1:5">
      <c r="A25" t="s">
        <v>108</v>
      </c>
      <c r="B25" t="s">
        <v>109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115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117</v>
      </c>
      <c r="C29" t="s">
        <v>2</v>
      </c>
      <c r="E29" t="b">
        <v>0</v>
      </c>
    </row>
    <row r="30" spans="1:5">
      <c r="A30" t="s">
        <v>118</v>
      </c>
      <c r="B30" t="s">
        <v>119</v>
      </c>
      <c r="C30" t="s">
        <v>2</v>
      </c>
      <c r="E30" t="b">
        <v>0</v>
      </c>
    </row>
    <row r="31" spans="1:5">
      <c r="A31" t="s">
        <v>120</v>
      </c>
      <c r="B31" t="s">
        <v>121</v>
      </c>
      <c r="C31" t="b">
        <f>TRUE()</f>
        <v>1</v>
      </c>
      <c r="E31" t="b">
        <f>TRUE()</f>
        <v>1</v>
      </c>
    </row>
    <row r="32" spans="1:5">
      <c r="A32" t="s">
        <v>57</v>
      </c>
      <c r="B32" t="s">
        <v>58</v>
      </c>
      <c r="C32" t="b">
        <f>TRUE()</f>
        <v>1</v>
      </c>
      <c r="E32" t="b">
        <f>TRUE()</f>
        <v>1</v>
      </c>
    </row>
    <row r="33" spans="1:5">
      <c r="A33" t="s">
        <v>59</v>
      </c>
      <c r="B33" t="s">
        <v>60</v>
      </c>
      <c r="C33" t="b">
        <f>TRUE()</f>
        <v>1</v>
      </c>
      <c r="E33" t="b">
        <f>TRUE()</f>
        <v>1</v>
      </c>
    </row>
    <row r="34" spans="1:5">
      <c r="A34" t="s">
        <v>61</v>
      </c>
      <c r="B34" t="s">
        <v>62</v>
      </c>
      <c r="C34" t="b">
        <f>FALSE()</f>
        <v>0</v>
      </c>
      <c r="E34" t="b">
        <f>FALSE()</f>
        <v>0</v>
      </c>
    </row>
    <row r="35" spans="1:5">
      <c r="A35" t="s">
        <v>63</v>
      </c>
      <c r="B35" t="s">
        <v>64</v>
      </c>
      <c r="C35" t="b">
        <f>FALSE()</f>
        <v>0</v>
      </c>
      <c r="E35" t="b">
        <f>FALSE()</f>
        <v>0</v>
      </c>
    </row>
    <row r="36" spans="1:5">
      <c r="A36" t="s">
        <v>65</v>
      </c>
      <c r="B36" t="s">
        <v>93</v>
      </c>
      <c r="C36" t="b">
        <f>TRUE()</f>
        <v>1</v>
      </c>
      <c r="E36" t="b">
        <f>TRUE()</f>
        <v>1</v>
      </c>
    </row>
    <row r="37" spans="1:5">
      <c r="A37" t="s">
        <v>67</v>
      </c>
      <c r="B37" t="s">
        <v>68</v>
      </c>
      <c r="C37" t="b">
        <f>FALSE()</f>
        <v>0</v>
      </c>
      <c r="E37" t="b">
        <f>FALSE()</f>
        <v>0</v>
      </c>
    </row>
    <row r="38" spans="1:5">
      <c r="A38" t="s">
        <v>69</v>
      </c>
      <c r="B38" t="s">
        <v>70</v>
      </c>
      <c r="C38" t="b">
        <f>TRUE()</f>
        <v>1</v>
      </c>
      <c r="E38" t="b">
        <f>TRUE()</f>
        <v>1</v>
      </c>
    </row>
    <row r="39" spans="1:5">
      <c r="A39" t="s">
        <v>71</v>
      </c>
      <c r="B39" t="s">
        <v>72</v>
      </c>
      <c r="C39" t="b">
        <f>TRUE()</f>
        <v>1</v>
      </c>
      <c r="E39" t="b">
        <f>TRUE()</f>
        <v>1</v>
      </c>
    </row>
    <row r="40" spans="1:5">
      <c r="A40" t="s">
        <v>73</v>
      </c>
      <c r="B40" t="s">
        <v>122</v>
      </c>
      <c r="C40" t="b">
        <f>TRUE()</f>
        <v>1</v>
      </c>
      <c r="E40" t="b">
        <f>TRUE()</f>
        <v>1</v>
      </c>
    </row>
    <row r="41" spans="1:5">
      <c r="A41" t="s">
        <v>75</v>
      </c>
      <c r="B41" t="s">
        <v>76</v>
      </c>
      <c r="C41" t="b">
        <f>TRUE()</f>
        <v>1</v>
      </c>
      <c r="E41" t="b">
        <f>TRUE()</f>
        <v>1</v>
      </c>
    </row>
    <row r="42" spans="1:5">
      <c r="A42" t="s">
        <v>77</v>
      </c>
      <c r="B42" t="s">
        <v>107</v>
      </c>
      <c r="C42" t="b">
        <f>TRUE()</f>
        <v>1</v>
      </c>
      <c r="E42" t="b">
        <f>TRUE()</f>
        <v>1</v>
      </c>
    </row>
    <row r="43" spans="1:5">
      <c r="A43" t="s">
        <v>79</v>
      </c>
      <c r="B43" t="s">
        <v>123</v>
      </c>
      <c r="C43" t="b">
        <f>TRUE()</f>
        <v>1</v>
      </c>
      <c r="E43" t="b">
        <f>TRUE()</f>
        <v>1</v>
      </c>
    </row>
    <row r="44" spans="1:5">
      <c r="A44" t="s">
        <v>80</v>
      </c>
      <c r="B44" t="s">
        <v>81</v>
      </c>
      <c r="C44" t="b">
        <f>TRUE()</f>
        <v>1</v>
      </c>
      <c r="E44" t="b">
        <f>TRUE()</f>
        <v>1</v>
      </c>
    </row>
    <row r="45" spans="1:5">
      <c r="A45" t="s">
        <v>82</v>
      </c>
      <c r="B45" t="s">
        <v>83</v>
      </c>
      <c r="C45" t="b">
        <f>TRUE()</f>
        <v>1</v>
      </c>
      <c r="E45" t="b">
        <f>TRUE()</f>
        <v>1</v>
      </c>
    </row>
    <row r="46" spans="1:5">
      <c r="A46" t="s">
        <v>84</v>
      </c>
      <c r="B46" t="s">
        <v>124</v>
      </c>
      <c r="C46" t="b">
        <f>TRUE()</f>
        <v>1</v>
      </c>
      <c r="E46" t="b">
        <f>TRUE()</f>
        <v>1</v>
      </c>
    </row>
    <row r="47" spans="1:5">
      <c r="A47" t="s">
        <v>86</v>
      </c>
      <c r="B47" t="s">
        <v>87</v>
      </c>
      <c r="C47" t="b">
        <f>TRUE()</f>
        <v>1</v>
      </c>
      <c r="E47" t="b">
        <f>TRUE()</f>
        <v>1</v>
      </c>
    </row>
    <row r="48" spans="1:5">
      <c r="A48" t="s">
        <v>88</v>
      </c>
      <c r="B48" t="s">
        <v>125</v>
      </c>
      <c r="C48" t="b">
        <f>TRUE()</f>
        <v>1</v>
      </c>
      <c r="E48" t="b">
        <f>TRUE()</f>
        <v>1</v>
      </c>
    </row>
    <row r="49" spans="1:5">
      <c r="A49" t="s">
        <v>90</v>
      </c>
      <c r="B49" t="s">
        <v>45</v>
      </c>
      <c r="C49" t="b">
        <f>TRUE()</f>
        <v>1</v>
      </c>
      <c r="E49" t="b">
        <f>TRUE()</f>
        <v>1</v>
      </c>
    </row>
    <row r="50" spans="1:5">
      <c r="A50" t="s">
        <v>126</v>
      </c>
      <c r="B50" t="s">
        <v>127</v>
      </c>
      <c r="C50" t="b">
        <f>TRUE()</f>
        <v>1</v>
      </c>
      <c r="E50" t="b">
        <f>TRUE()</f>
        <v>1</v>
      </c>
    </row>
    <row r="51" spans="1:5">
      <c r="A51" t="s">
        <v>128</v>
      </c>
      <c r="B51" t="s">
        <v>129</v>
      </c>
      <c r="C51" t="b">
        <f>TRUE()</f>
        <v>1</v>
      </c>
      <c r="E51" t="b">
        <f>TRUE()</f>
        <v>1</v>
      </c>
    </row>
    <row r="52" spans="1:5">
      <c r="A52" t="s">
        <v>130</v>
      </c>
      <c r="B52" t="s">
        <v>131</v>
      </c>
      <c r="C52" t="b">
        <f>TRUE()</f>
        <v>1</v>
      </c>
      <c r="E52" t="b">
        <f>TRUE()</f>
        <v>1</v>
      </c>
    </row>
    <row r="53" spans="1:5">
      <c r="A53" t="s">
        <v>132</v>
      </c>
      <c r="B53" t="s">
        <v>133</v>
      </c>
      <c r="C53" t="b">
        <f>TRUE()</f>
        <v>1</v>
      </c>
      <c r="E53" t="b">
        <f>TRUE()</f>
        <v>1</v>
      </c>
    </row>
    <row r="54" spans="1:5">
      <c r="A54" t="s">
        <v>134</v>
      </c>
      <c r="B54" t="s">
        <v>89</v>
      </c>
      <c r="C54" t="b">
        <f>TRUE()</f>
        <v>1</v>
      </c>
      <c r="E54" t="b">
        <f>TRUE()</f>
        <v>1</v>
      </c>
    </row>
    <row r="55" spans="1:5">
      <c r="A55" t="s">
        <v>135</v>
      </c>
      <c r="B55" t="s">
        <v>45</v>
      </c>
      <c r="C55" t="b">
        <f>TRUE()</f>
        <v>1</v>
      </c>
      <c r="E55" t="b">
        <f>TRUE()</f>
        <v>1</v>
      </c>
    </row>
    <row r="56" spans="1:5">
      <c r="A56" t="s">
        <v>136</v>
      </c>
      <c r="B56" t="s">
        <v>137</v>
      </c>
      <c r="C56" t="b">
        <f>TRUE()</f>
        <v>1</v>
      </c>
      <c r="E56" t="b">
        <f>TRUE()</f>
        <v>1</v>
      </c>
    </row>
    <row r="57" spans="1:5">
      <c r="A57" t="s">
        <v>138</v>
      </c>
      <c r="B57" t="s">
        <v>139</v>
      </c>
      <c r="C57" t="b">
        <f>TRUE()</f>
        <v>1</v>
      </c>
      <c r="E57" t="b">
        <f>TRUE()</f>
        <v>1</v>
      </c>
    </row>
    <row r="58" spans="1:5">
      <c r="A58" t="s">
        <v>140</v>
      </c>
      <c r="B58" t="s">
        <v>141</v>
      </c>
      <c r="C58" t="b">
        <f>TRUE()</f>
        <v>1</v>
      </c>
      <c r="E58" t="b">
        <f>TRUE()</f>
        <v>1</v>
      </c>
    </row>
    <row r="59" spans="1:5">
      <c r="A59" t="s">
        <v>142</v>
      </c>
      <c r="B59" t="s">
        <v>143</v>
      </c>
      <c r="C59" t="b">
        <f>TRUE()</f>
        <v>1</v>
      </c>
      <c r="E59" t="b">
        <f>TRUE()</f>
        <v>1</v>
      </c>
    </row>
    <row r="60" spans="1:5">
      <c r="A60" t="s">
        <v>144</v>
      </c>
      <c r="B60" t="s">
        <v>145</v>
      </c>
      <c r="C60" t="b">
        <f>TRUE()</f>
        <v>1</v>
      </c>
      <c r="E60" t="b">
        <f>TRUE()</f>
        <v>1</v>
      </c>
    </row>
    <row r="61" spans="1:5">
      <c r="A61" t="s">
        <v>146</v>
      </c>
      <c r="B61" t="s">
        <v>147</v>
      </c>
      <c r="C61" t="b">
        <f>TRUE()</f>
        <v>1</v>
      </c>
      <c r="E6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5"/>
  <sheetViews>
    <sheetView topLeftCell="B10" zoomScaleNormal="100" workbookViewId="0">
      <selection activeCell="E85" sqref="E85"/>
    </sheetView>
  </sheetViews>
  <sheetFormatPr defaultColWidth="8.5703125" defaultRowHeight="15"/>
  <cols>
    <col min="1" max="1" width="46.42578125" customWidth="1"/>
    <col min="2" max="2" width="31.140625" customWidth="1"/>
    <col min="5" max="5" width="10.5703125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21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27</v>
      </c>
      <c r="C4" t="b">
        <f>FALSE()</f>
        <v>0</v>
      </c>
      <c r="E4" t="b">
        <f>FALSE()</f>
        <v>0</v>
      </c>
    </row>
    <row r="5" spans="1:5">
      <c r="A5" t="s">
        <v>28</v>
      </c>
      <c r="B5" t="s">
        <v>29</v>
      </c>
      <c r="C5" t="b">
        <f>FALSE()</f>
        <v>0</v>
      </c>
      <c r="E5" t="b">
        <f>FALSE()</f>
        <v>0</v>
      </c>
    </row>
    <row r="6" spans="1:5">
      <c r="A6" t="s">
        <v>30</v>
      </c>
      <c r="B6" t="s">
        <v>148</v>
      </c>
      <c r="C6" t="b">
        <f>TRUE()</f>
        <v>1</v>
      </c>
      <c r="E6" t="b">
        <f>TRUE()</f>
        <v>1</v>
      </c>
    </row>
    <row r="7" spans="1:5">
      <c r="A7" t="s">
        <v>32</v>
      </c>
      <c r="B7" t="s">
        <v>33</v>
      </c>
      <c r="C7" t="b">
        <f>FALSE()</f>
        <v>0</v>
      </c>
      <c r="E7" t="b">
        <f>FALSE()</f>
        <v>0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149</v>
      </c>
      <c r="C10" t="b">
        <f>TRUE()</f>
        <v>1</v>
      </c>
      <c r="E10" t="b">
        <f>TRUE()</f>
        <v>1</v>
      </c>
    </row>
    <row r="11" spans="1:5">
      <c r="A11" t="s">
        <v>40</v>
      </c>
      <c r="B11" t="s">
        <v>41</v>
      </c>
      <c r="C11" t="b">
        <f>TRUE()</f>
        <v>1</v>
      </c>
      <c r="E11" t="b">
        <f>TRUE()</f>
        <v>1</v>
      </c>
    </row>
    <row r="12" spans="1:5">
      <c r="A12" t="s">
        <v>42</v>
      </c>
      <c r="B12" t="s">
        <v>150</v>
      </c>
      <c r="C12" t="b">
        <f>TRUE()</f>
        <v>1</v>
      </c>
      <c r="E12" t="b">
        <f>TRUE()</f>
        <v>1</v>
      </c>
    </row>
    <row r="13" spans="1:5">
      <c r="A13" t="s">
        <v>44</v>
      </c>
      <c r="B13" t="s">
        <v>45</v>
      </c>
      <c r="C13" t="b">
        <f>TRUE()</f>
        <v>1</v>
      </c>
      <c r="E13" t="b">
        <f>TRUE()</f>
        <v>1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151</v>
      </c>
      <c r="C16" t="b">
        <f>TRUE()</f>
        <v>1</v>
      </c>
      <c r="E16" t="b">
        <f>TRUE()</f>
        <v>1</v>
      </c>
    </row>
    <row r="17" spans="1:5">
      <c r="A17" t="s">
        <v>52</v>
      </c>
      <c r="B17" t="s">
        <v>53</v>
      </c>
      <c r="C17" t="s">
        <v>2</v>
      </c>
      <c r="E17" t="s">
        <v>2</v>
      </c>
    </row>
    <row r="18" spans="1:5">
      <c r="A18" t="s">
        <v>54</v>
      </c>
      <c r="B18" t="s">
        <v>152</v>
      </c>
      <c r="C18" t="s">
        <v>2</v>
      </c>
      <c r="E18" t="b">
        <v>0</v>
      </c>
    </row>
    <row r="19" spans="1:5">
      <c r="A19" t="s">
        <v>56</v>
      </c>
      <c r="B19" t="s">
        <v>153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154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105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155</v>
      </c>
      <c r="C24" t="s">
        <v>2</v>
      </c>
      <c r="E24" t="b">
        <v>0</v>
      </c>
    </row>
    <row r="25" spans="1:5">
      <c r="A25" t="s">
        <v>108</v>
      </c>
      <c r="B25" t="s">
        <v>156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157</v>
      </c>
      <c r="C28" t="b">
        <f>FALSE()</f>
        <v>0</v>
      </c>
      <c r="E28" t="b">
        <f>FALSE()</f>
        <v>0</v>
      </c>
    </row>
    <row r="29" spans="1:5">
      <c r="A29" t="s">
        <v>116</v>
      </c>
      <c r="B29" t="s">
        <v>117</v>
      </c>
      <c r="C29" t="s">
        <v>2</v>
      </c>
      <c r="E29" t="s">
        <v>2</v>
      </c>
    </row>
    <row r="30" spans="1:5">
      <c r="A30" t="s">
        <v>118</v>
      </c>
      <c r="B30" t="s">
        <v>158</v>
      </c>
      <c r="C30" t="s">
        <v>2</v>
      </c>
      <c r="E30" t="b">
        <v>0</v>
      </c>
    </row>
    <row r="31" spans="1:5">
      <c r="A31" t="s">
        <v>120</v>
      </c>
      <c r="B31" t="s">
        <v>159</v>
      </c>
      <c r="C31" t="b">
        <f>TRUE()</f>
        <v>1</v>
      </c>
      <c r="E31" t="b">
        <f>TRUE()</f>
        <v>1</v>
      </c>
    </row>
    <row r="32" spans="1:5">
      <c r="A32" t="s">
        <v>160</v>
      </c>
      <c r="B32" t="s">
        <v>161</v>
      </c>
      <c r="C32" t="b">
        <f>TRUE()</f>
        <v>1</v>
      </c>
      <c r="E32" t="b">
        <f>TRUE()</f>
        <v>1</v>
      </c>
    </row>
    <row r="33" spans="1:5">
      <c r="A33" t="s">
        <v>162</v>
      </c>
      <c r="B33" t="s">
        <v>163</v>
      </c>
      <c r="C33" t="b">
        <f>TRUE()</f>
        <v>1</v>
      </c>
      <c r="E33" t="b">
        <f>TRUE()</f>
        <v>1</v>
      </c>
    </row>
    <row r="34" spans="1:5">
      <c r="A34" t="s">
        <v>164</v>
      </c>
      <c r="B34" t="s">
        <v>165</v>
      </c>
      <c r="C34" t="b">
        <f>TRUE()</f>
        <v>1</v>
      </c>
      <c r="E34" t="b">
        <f>TRUE()</f>
        <v>1</v>
      </c>
    </row>
    <row r="35" spans="1:5">
      <c r="A35" t="s">
        <v>166</v>
      </c>
      <c r="B35" t="s">
        <v>167</v>
      </c>
      <c r="C35" t="b">
        <f>TRUE()</f>
        <v>1</v>
      </c>
      <c r="E35" t="b">
        <f>TRUE()</f>
        <v>1</v>
      </c>
    </row>
    <row r="36" spans="1:5">
      <c r="A36" t="s">
        <v>168</v>
      </c>
      <c r="B36" t="s">
        <v>169</v>
      </c>
      <c r="C36" t="s">
        <v>2</v>
      </c>
      <c r="E36" t="b">
        <v>0</v>
      </c>
    </row>
    <row r="37" spans="1:5">
      <c r="A37" t="s">
        <v>170</v>
      </c>
      <c r="B37" t="s">
        <v>171</v>
      </c>
      <c r="C37" t="b">
        <f>TRUE()</f>
        <v>1</v>
      </c>
      <c r="E37" t="b">
        <f>TRUE()</f>
        <v>1</v>
      </c>
    </row>
    <row r="38" spans="1:5">
      <c r="A38" t="s">
        <v>172</v>
      </c>
      <c r="B38" t="s">
        <v>173</v>
      </c>
      <c r="C38" t="b">
        <f>TRUE()</f>
        <v>1</v>
      </c>
      <c r="E38" t="b">
        <f>TRUE()</f>
        <v>1</v>
      </c>
    </row>
    <row r="39" spans="1:5">
      <c r="A39" t="s">
        <v>174</v>
      </c>
      <c r="B39" t="s">
        <v>175</v>
      </c>
      <c r="C39" t="b">
        <f>TRUE()</f>
        <v>1</v>
      </c>
      <c r="E39" t="b">
        <f>TRUE()</f>
        <v>1</v>
      </c>
    </row>
    <row r="40" spans="1:5">
      <c r="A40" t="s">
        <v>176</v>
      </c>
      <c r="B40" t="s">
        <v>149</v>
      </c>
      <c r="C40" t="b">
        <f>TRUE()</f>
        <v>1</v>
      </c>
      <c r="E40" t="b">
        <f>TRUE()</f>
        <v>1</v>
      </c>
    </row>
    <row r="41" spans="1:5">
      <c r="A41" t="s">
        <v>177</v>
      </c>
      <c r="B41" t="s">
        <v>178</v>
      </c>
      <c r="C41" t="s">
        <v>2</v>
      </c>
      <c r="E41" t="s">
        <v>2</v>
      </c>
    </row>
    <row r="42" spans="1:5">
      <c r="A42" t="s">
        <v>179</v>
      </c>
      <c r="B42" t="s">
        <v>180</v>
      </c>
      <c r="C42" t="s">
        <v>2</v>
      </c>
      <c r="E42" t="b">
        <v>0</v>
      </c>
    </row>
    <row r="43" spans="1:5">
      <c r="A43" t="s">
        <v>181</v>
      </c>
      <c r="B43" t="s">
        <v>182</v>
      </c>
      <c r="C43" t="b">
        <f>FALSE()</f>
        <v>0</v>
      </c>
      <c r="E43" t="b">
        <f>FALSE()</f>
        <v>0</v>
      </c>
    </row>
    <row r="44" spans="1:5">
      <c r="A44" t="s">
        <v>57</v>
      </c>
      <c r="B44" t="s">
        <v>58</v>
      </c>
      <c r="C44" t="b">
        <f>TRUE()</f>
        <v>1</v>
      </c>
      <c r="E44" t="b">
        <f>TRUE()</f>
        <v>1</v>
      </c>
    </row>
    <row r="45" spans="1:5">
      <c r="A45" t="s">
        <v>59</v>
      </c>
      <c r="B45" t="s">
        <v>60</v>
      </c>
      <c r="C45" t="b">
        <f>TRUE()</f>
        <v>1</v>
      </c>
      <c r="E45" t="b">
        <f>TRUE()</f>
        <v>1</v>
      </c>
    </row>
    <row r="46" spans="1:5">
      <c r="A46" t="s">
        <v>61</v>
      </c>
      <c r="B46" t="s">
        <v>62</v>
      </c>
      <c r="C46" t="b">
        <f>FALSE()</f>
        <v>0</v>
      </c>
      <c r="E46" t="b">
        <f>FALSE()</f>
        <v>0</v>
      </c>
    </row>
    <row r="47" spans="1:5">
      <c r="A47" t="s">
        <v>63</v>
      </c>
      <c r="B47" t="s">
        <v>64</v>
      </c>
      <c r="C47" t="b">
        <f>FALSE()</f>
        <v>0</v>
      </c>
      <c r="E47" t="b">
        <f>FALSE()</f>
        <v>0</v>
      </c>
    </row>
    <row r="48" spans="1:5" ht="31.35">
      <c r="A48" t="s">
        <v>65</v>
      </c>
      <c r="B48" s="2" t="s">
        <v>183</v>
      </c>
      <c r="C48" t="s">
        <v>2</v>
      </c>
      <c r="E48" t="b">
        <v>0</v>
      </c>
    </row>
    <row r="49" spans="1:5">
      <c r="A49" t="s">
        <v>67</v>
      </c>
      <c r="B49" t="s">
        <v>68</v>
      </c>
      <c r="C49" t="b">
        <f>FALSE()</f>
        <v>0</v>
      </c>
      <c r="E49" t="b">
        <f>FALSE()</f>
        <v>0</v>
      </c>
    </row>
    <row r="50" spans="1:5">
      <c r="A50" t="s">
        <v>69</v>
      </c>
      <c r="B50" t="s">
        <v>70</v>
      </c>
      <c r="C50" t="b">
        <f>TRUE()</f>
        <v>1</v>
      </c>
      <c r="E50" t="b">
        <f>TRUE()</f>
        <v>1</v>
      </c>
    </row>
    <row r="51" spans="1:5">
      <c r="A51" t="s">
        <v>71</v>
      </c>
      <c r="B51" t="s">
        <v>72</v>
      </c>
      <c r="C51" t="b">
        <f>TRUE()</f>
        <v>1</v>
      </c>
      <c r="E51" t="b">
        <f>TRUE()</f>
        <v>1</v>
      </c>
    </row>
    <row r="52" spans="1:5">
      <c r="A52" t="s">
        <v>73</v>
      </c>
      <c r="B52" t="s">
        <v>184</v>
      </c>
      <c r="C52" t="b">
        <f>TRUE()</f>
        <v>1</v>
      </c>
      <c r="E52" t="b">
        <f>TRUE()</f>
        <v>1</v>
      </c>
    </row>
    <row r="53" spans="1:5">
      <c r="A53" t="s">
        <v>75</v>
      </c>
      <c r="B53" t="s">
        <v>76</v>
      </c>
      <c r="C53" t="b">
        <f>TRUE()</f>
        <v>1</v>
      </c>
      <c r="E53" t="b">
        <f>TRUE()</f>
        <v>1</v>
      </c>
    </row>
    <row r="54" spans="1:5">
      <c r="A54" t="s">
        <v>77</v>
      </c>
      <c r="B54" t="s">
        <v>185</v>
      </c>
      <c r="C54" t="b">
        <f>TRUE()</f>
        <v>1</v>
      </c>
      <c r="E54" t="b">
        <f>TRUE()</f>
        <v>1</v>
      </c>
    </row>
    <row r="55" spans="1:5">
      <c r="A55" t="s">
        <v>79</v>
      </c>
      <c r="B55" t="s">
        <v>123</v>
      </c>
      <c r="C55" t="b">
        <f>TRUE()</f>
        <v>1</v>
      </c>
      <c r="E55" t="b">
        <f>TRUE()</f>
        <v>1</v>
      </c>
    </row>
    <row r="56" spans="1:5">
      <c r="A56" t="s">
        <v>80</v>
      </c>
      <c r="B56" t="s">
        <v>81</v>
      </c>
      <c r="C56" t="b">
        <f>TRUE()</f>
        <v>1</v>
      </c>
      <c r="E56" t="b">
        <f>TRUE()</f>
        <v>1</v>
      </c>
    </row>
    <row r="57" spans="1:5">
      <c r="A57" t="s">
        <v>82</v>
      </c>
      <c r="B57" t="s">
        <v>83</v>
      </c>
      <c r="C57" t="b">
        <f>TRUE()</f>
        <v>1</v>
      </c>
      <c r="E57" t="b">
        <f>TRUE()</f>
        <v>1</v>
      </c>
    </row>
    <row r="58" spans="1:5">
      <c r="A58" t="s">
        <v>84</v>
      </c>
      <c r="B58" t="s">
        <v>186</v>
      </c>
      <c r="C58" t="b">
        <f>TRUE()</f>
        <v>1</v>
      </c>
      <c r="E58" t="b">
        <f>TRUE()</f>
        <v>1</v>
      </c>
    </row>
    <row r="59" spans="1:5">
      <c r="A59" t="s">
        <v>86</v>
      </c>
      <c r="B59" t="s">
        <v>87</v>
      </c>
      <c r="C59" t="b">
        <f>TRUE()</f>
        <v>1</v>
      </c>
      <c r="E59" t="b">
        <f>TRUE()</f>
        <v>1</v>
      </c>
    </row>
    <row r="60" spans="1:5">
      <c r="A60" t="s">
        <v>88</v>
      </c>
      <c r="B60" t="s">
        <v>187</v>
      </c>
      <c r="C60" t="s">
        <v>2</v>
      </c>
      <c r="E60" t="b">
        <v>0</v>
      </c>
    </row>
    <row r="61" spans="1:5">
      <c r="A61" t="s">
        <v>90</v>
      </c>
      <c r="B61" t="s">
        <v>188</v>
      </c>
      <c r="C61" t="b">
        <f>TRUE()</f>
        <v>1</v>
      </c>
      <c r="E61" t="b">
        <f>TRUE()</f>
        <v>1</v>
      </c>
    </row>
    <row r="62" spans="1:5">
      <c r="A62" t="s">
        <v>126</v>
      </c>
      <c r="B62" t="s">
        <v>127</v>
      </c>
      <c r="C62" t="b">
        <f>TRUE()</f>
        <v>1</v>
      </c>
      <c r="E62" t="b">
        <f>TRUE()</f>
        <v>1</v>
      </c>
    </row>
    <row r="63" spans="1:5">
      <c r="A63" t="s">
        <v>128</v>
      </c>
      <c r="B63" t="s">
        <v>129</v>
      </c>
      <c r="C63" t="b">
        <f>TRUE()</f>
        <v>1</v>
      </c>
      <c r="E63" t="b">
        <f>TRUE()</f>
        <v>1</v>
      </c>
    </row>
    <row r="64" spans="1:5">
      <c r="A64" t="s">
        <v>130</v>
      </c>
      <c r="B64" t="s">
        <v>189</v>
      </c>
      <c r="C64" t="b">
        <f>TRUE()</f>
        <v>1</v>
      </c>
      <c r="E64" t="b">
        <f>TRUE()</f>
        <v>1</v>
      </c>
    </row>
    <row r="65" spans="1:5">
      <c r="A65" t="s">
        <v>132</v>
      </c>
      <c r="B65" t="s">
        <v>190</v>
      </c>
      <c r="C65" t="b">
        <f>TRUE()</f>
        <v>1</v>
      </c>
      <c r="E65" t="b">
        <f>TRUE()</f>
        <v>1</v>
      </c>
    </row>
    <row r="66" spans="1:5">
      <c r="A66" t="s">
        <v>134</v>
      </c>
      <c r="B66" t="s">
        <v>191</v>
      </c>
      <c r="C66" t="s">
        <v>2</v>
      </c>
      <c r="E66" t="b">
        <v>0</v>
      </c>
    </row>
    <row r="67" spans="1:5">
      <c r="A67" t="s">
        <v>135</v>
      </c>
      <c r="B67" t="s">
        <v>192</v>
      </c>
      <c r="C67" t="b">
        <f>TRUE()</f>
        <v>1</v>
      </c>
      <c r="E67" t="b">
        <f>TRUE()</f>
        <v>1</v>
      </c>
    </row>
    <row r="68" spans="1:5">
      <c r="A68" t="s">
        <v>136</v>
      </c>
      <c r="B68" t="s">
        <v>137</v>
      </c>
      <c r="C68" t="b">
        <f>TRUE()</f>
        <v>1</v>
      </c>
      <c r="E68" t="b">
        <f>TRUE()</f>
        <v>1</v>
      </c>
    </row>
    <row r="69" spans="1:5">
      <c r="A69" t="s">
        <v>138</v>
      </c>
      <c r="B69" t="s">
        <v>139</v>
      </c>
      <c r="C69" t="b">
        <f>TRUE()</f>
        <v>1</v>
      </c>
      <c r="E69" t="b">
        <f>TRUE()</f>
        <v>1</v>
      </c>
    </row>
    <row r="70" spans="1:5">
      <c r="A70" t="s">
        <v>140</v>
      </c>
      <c r="B70" t="s">
        <v>193</v>
      </c>
      <c r="C70" t="b">
        <f>TRUE()</f>
        <v>1</v>
      </c>
      <c r="E70" t="b">
        <f>TRUE()</f>
        <v>1</v>
      </c>
    </row>
    <row r="71" spans="1:5">
      <c r="A71" t="s">
        <v>142</v>
      </c>
      <c r="B71" t="s">
        <v>143</v>
      </c>
      <c r="C71" t="b">
        <f>TRUE()</f>
        <v>1</v>
      </c>
      <c r="E71" t="b">
        <f>TRUE()</f>
        <v>1</v>
      </c>
    </row>
    <row r="72" spans="1:5" ht="31.35">
      <c r="A72" t="s">
        <v>144</v>
      </c>
      <c r="B72" s="2" t="s">
        <v>194</v>
      </c>
      <c r="C72" t="b">
        <f>FALSE()</f>
        <v>0</v>
      </c>
      <c r="E72" t="b">
        <f>FALSE()</f>
        <v>0</v>
      </c>
    </row>
    <row r="73" spans="1:5">
      <c r="A73" t="s">
        <v>146</v>
      </c>
      <c r="B73" t="s">
        <v>195</v>
      </c>
      <c r="C73" t="b">
        <f>TRUE()</f>
        <v>1</v>
      </c>
      <c r="E73" t="b">
        <f>TRUE()</f>
        <v>1</v>
      </c>
    </row>
    <row r="74" spans="1:5">
      <c r="A74" t="s">
        <v>196</v>
      </c>
      <c r="B74" t="s">
        <v>197</v>
      </c>
      <c r="C74" t="b">
        <f>TRUE()</f>
        <v>1</v>
      </c>
      <c r="E74" t="b">
        <f>TRUE()</f>
        <v>1</v>
      </c>
    </row>
    <row r="75" spans="1:5">
      <c r="A75" t="s">
        <v>198</v>
      </c>
      <c r="B75" t="s">
        <v>199</v>
      </c>
      <c r="C75" t="b">
        <f>TRUE()</f>
        <v>1</v>
      </c>
      <c r="E75" t="b">
        <f>TRUE()</f>
        <v>1</v>
      </c>
    </row>
    <row r="76" spans="1:5">
      <c r="A76" t="s">
        <v>200</v>
      </c>
      <c r="B76" t="s">
        <v>201</v>
      </c>
      <c r="C76" t="b">
        <f>FALSE()</f>
        <v>0</v>
      </c>
      <c r="E76" t="b">
        <f>FALSE()</f>
        <v>0</v>
      </c>
    </row>
    <row r="77" spans="1:5">
      <c r="A77" t="s">
        <v>202</v>
      </c>
      <c r="B77" t="s">
        <v>203</v>
      </c>
      <c r="C77" t="b">
        <f>TRUE()</f>
        <v>1</v>
      </c>
      <c r="E77" t="b">
        <f>TRUE()</f>
        <v>1</v>
      </c>
    </row>
    <row r="78" spans="1:5">
      <c r="A78" t="s">
        <v>204</v>
      </c>
      <c r="B78" t="s">
        <v>205</v>
      </c>
      <c r="C78" t="s">
        <v>2</v>
      </c>
      <c r="E78" t="b">
        <v>0</v>
      </c>
    </row>
    <row r="79" spans="1:5">
      <c r="A79" t="s">
        <v>206</v>
      </c>
      <c r="B79" t="s">
        <v>207</v>
      </c>
      <c r="C79" t="b">
        <f>TRUE()</f>
        <v>1</v>
      </c>
      <c r="E79" t="b">
        <f>TRUE()</f>
        <v>1</v>
      </c>
    </row>
    <row r="80" spans="1:5">
      <c r="A80" t="s">
        <v>208</v>
      </c>
      <c r="B80" t="s">
        <v>209</v>
      </c>
      <c r="C80" t="b">
        <f>TRUE()</f>
        <v>1</v>
      </c>
      <c r="E80" t="b">
        <f>TRUE()</f>
        <v>1</v>
      </c>
    </row>
    <row r="81" spans="1:5">
      <c r="A81" t="s">
        <v>210</v>
      </c>
      <c r="B81" t="s">
        <v>211</v>
      </c>
      <c r="C81" t="b">
        <f>TRUE()</f>
        <v>1</v>
      </c>
      <c r="E81" t="b">
        <f>TRUE()</f>
        <v>1</v>
      </c>
    </row>
    <row r="82" spans="1:5">
      <c r="A82" t="s">
        <v>212</v>
      </c>
      <c r="B82" t="s">
        <v>95</v>
      </c>
      <c r="C82" t="b">
        <f>TRUE()</f>
        <v>1</v>
      </c>
      <c r="E82" t="b">
        <f>TRUE()</f>
        <v>1</v>
      </c>
    </row>
    <row r="83" spans="1:5">
      <c r="A83" t="s">
        <v>213</v>
      </c>
      <c r="B83" t="s">
        <v>190</v>
      </c>
      <c r="C83" t="b">
        <f>TRUE()</f>
        <v>1</v>
      </c>
      <c r="E83" t="b">
        <f>TRUE()</f>
        <v>1</v>
      </c>
    </row>
    <row r="84" spans="1:5">
      <c r="A84" t="s">
        <v>214</v>
      </c>
      <c r="B84" t="s">
        <v>169</v>
      </c>
      <c r="C84" t="s">
        <v>2</v>
      </c>
      <c r="E84" t="b">
        <v>0</v>
      </c>
    </row>
    <row r="85" spans="1:5">
      <c r="A85" t="s">
        <v>215</v>
      </c>
      <c r="B85" t="s">
        <v>216</v>
      </c>
      <c r="C85" t="b">
        <f>TRUE()</f>
        <v>1</v>
      </c>
      <c r="E85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1"/>
  <sheetViews>
    <sheetView topLeftCell="A102" zoomScaleNormal="100" workbookViewId="0">
      <selection activeCell="E131" sqref="E131"/>
    </sheetView>
  </sheetViews>
  <sheetFormatPr defaultColWidth="8.5703125" defaultRowHeight="15"/>
  <cols>
    <col min="1" max="1" width="44.140625" customWidth="1"/>
    <col min="2" max="2" width="30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21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27</v>
      </c>
      <c r="C4" t="b">
        <f>FALSE()</f>
        <v>0</v>
      </c>
      <c r="E4" t="b">
        <f>FALSE()</f>
        <v>0</v>
      </c>
    </row>
    <row r="5" spans="1:5">
      <c r="A5" t="s">
        <v>28</v>
      </c>
      <c r="B5" t="s">
        <v>29</v>
      </c>
      <c r="C5" t="b">
        <f>FALSE()</f>
        <v>0</v>
      </c>
      <c r="E5" t="b">
        <f>FALSE()</f>
        <v>0</v>
      </c>
    </row>
    <row r="6" spans="1:5">
      <c r="A6" t="s">
        <v>30</v>
      </c>
      <c r="B6" t="s">
        <v>217</v>
      </c>
      <c r="C6" t="s">
        <v>2</v>
      </c>
      <c r="E6" t="b">
        <v>0</v>
      </c>
    </row>
    <row r="7" spans="1:5">
      <c r="A7" t="s">
        <v>32</v>
      </c>
      <c r="B7" t="s">
        <v>33</v>
      </c>
      <c r="C7" t="b">
        <f>FALSE()</f>
        <v>0</v>
      </c>
      <c r="E7" t="b">
        <f>FALSE()</f>
        <v>0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218</v>
      </c>
      <c r="C10" t="b">
        <f>TRUE()</f>
        <v>1</v>
      </c>
      <c r="E10" t="b">
        <f>TRUE()</f>
        <v>1</v>
      </c>
    </row>
    <row r="11" spans="1:5">
      <c r="A11" t="s">
        <v>40</v>
      </c>
      <c r="B11" t="s">
        <v>219</v>
      </c>
      <c r="C11" t="b">
        <f>TRUE()</f>
        <v>1</v>
      </c>
      <c r="E11" t="b">
        <f>TRUE()</f>
        <v>1</v>
      </c>
    </row>
    <row r="12" spans="1:5">
      <c r="A12" t="s">
        <v>42</v>
      </c>
      <c r="B12" t="s">
        <v>220</v>
      </c>
      <c r="C12" t="s">
        <v>2</v>
      </c>
      <c r="E12" t="b">
        <v>0</v>
      </c>
    </row>
    <row r="13" spans="1:5">
      <c r="A13" t="s">
        <v>44</v>
      </c>
      <c r="B13" t="s">
        <v>221</v>
      </c>
      <c r="C13" t="b">
        <f>TRUE()</f>
        <v>1</v>
      </c>
      <c r="E13" t="b">
        <f>TRUE()</f>
        <v>1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222</v>
      </c>
      <c r="C16" t="b">
        <f>TRUE()</f>
        <v>1</v>
      </c>
      <c r="E16" t="b">
        <f>TRUE()</f>
        <v>1</v>
      </c>
    </row>
    <row r="17" spans="1:5">
      <c r="A17" t="s">
        <v>52</v>
      </c>
      <c r="B17" t="s">
        <v>53</v>
      </c>
      <c r="C17" t="s">
        <v>2</v>
      </c>
      <c r="E17" t="s">
        <v>2</v>
      </c>
    </row>
    <row r="18" spans="1:5">
      <c r="A18" t="s">
        <v>54</v>
      </c>
      <c r="B18" t="s">
        <v>91</v>
      </c>
      <c r="C18" t="s">
        <v>2</v>
      </c>
      <c r="E18" t="b">
        <v>0</v>
      </c>
    </row>
    <row r="19" spans="1:5">
      <c r="A19" t="s">
        <v>56</v>
      </c>
      <c r="B19" t="s">
        <v>223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224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105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107</v>
      </c>
      <c r="C24" t="s">
        <v>2</v>
      </c>
      <c r="E24" t="b">
        <v>0</v>
      </c>
    </row>
    <row r="25" spans="1:5">
      <c r="A25" t="s">
        <v>108</v>
      </c>
      <c r="B25" t="s">
        <v>225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226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117</v>
      </c>
      <c r="C29" t="s">
        <v>2</v>
      </c>
      <c r="E29" t="s">
        <v>2</v>
      </c>
    </row>
    <row r="30" spans="1:5">
      <c r="A30" t="s">
        <v>118</v>
      </c>
      <c r="B30" t="s">
        <v>169</v>
      </c>
      <c r="C30" t="s">
        <v>2</v>
      </c>
      <c r="E30" t="b">
        <v>0</v>
      </c>
    </row>
    <row r="31" spans="1:5">
      <c r="A31" t="s">
        <v>120</v>
      </c>
      <c r="B31" t="s">
        <v>227</v>
      </c>
      <c r="C31" t="b">
        <f>TRUE()</f>
        <v>1</v>
      </c>
      <c r="E31" t="b">
        <f>TRUE()</f>
        <v>1</v>
      </c>
    </row>
    <row r="32" spans="1:5">
      <c r="A32" t="s">
        <v>160</v>
      </c>
      <c r="B32" t="s">
        <v>161</v>
      </c>
      <c r="C32" t="b">
        <f>TRUE()</f>
        <v>1</v>
      </c>
      <c r="E32" t="b">
        <f>TRUE()</f>
        <v>1</v>
      </c>
    </row>
    <row r="33" spans="1:5">
      <c r="A33" t="s">
        <v>162</v>
      </c>
      <c r="B33" t="s">
        <v>163</v>
      </c>
      <c r="C33" t="b">
        <f>TRUE()</f>
        <v>1</v>
      </c>
      <c r="E33" t="b">
        <f>TRUE()</f>
        <v>1</v>
      </c>
    </row>
    <row r="34" spans="1:5">
      <c r="A34" t="s">
        <v>164</v>
      </c>
      <c r="B34" t="s">
        <v>228</v>
      </c>
      <c r="C34" t="b">
        <f>TRUE()</f>
        <v>1</v>
      </c>
      <c r="E34" t="b">
        <f>TRUE()</f>
        <v>1</v>
      </c>
    </row>
    <row r="35" spans="1:5">
      <c r="A35" t="s">
        <v>166</v>
      </c>
      <c r="B35" t="s">
        <v>167</v>
      </c>
      <c r="C35" t="b">
        <f>TRUE()</f>
        <v>1</v>
      </c>
      <c r="E35" t="b">
        <f>TRUE()</f>
        <v>1</v>
      </c>
    </row>
    <row r="36" spans="1:5">
      <c r="A36" t="s">
        <v>168</v>
      </c>
      <c r="B36" t="s">
        <v>119</v>
      </c>
      <c r="C36" t="s">
        <v>2</v>
      </c>
      <c r="E36" t="b">
        <v>0</v>
      </c>
    </row>
    <row r="37" spans="1:5">
      <c r="A37" t="s">
        <v>170</v>
      </c>
      <c r="B37" t="s">
        <v>229</v>
      </c>
      <c r="C37" t="b">
        <f>TRUE()</f>
        <v>1</v>
      </c>
      <c r="E37" t="b">
        <f>TRUE()</f>
        <v>1</v>
      </c>
    </row>
    <row r="38" spans="1:5">
      <c r="A38" t="s">
        <v>172</v>
      </c>
      <c r="B38" t="s">
        <v>173</v>
      </c>
      <c r="C38" t="b">
        <f>TRUE()</f>
        <v>1</v>
      </c>
      <c r="E38" t="b">
        <f>TRUE()</f>
        <v>1</v>
      </c>
    </row>
    <row r="39" spans="1:5">
      <c r="A39" t="s">
        <v>174</v>
      </c>
      <c r="B39" t="s">
        <v>175</v>
      </c>
      <c r="C39" t="b">
        <f>TRUE()</f>
        <v>1</v>
      </c>
      <c r="E39" t="b">
        <f>TRUE()</f>
        <v>1</v>
      </c>
    </row>
    <row r="40" spans="1:5">
      <c r="A40" t="s">
        <v>176</v>
      </c>
      <c r="B40" t="s">
        <v>228</v>
      </c>
      <c r="C40" t="b">
        <f>TRUE()</f>
        <v>1</v>
      </c>
      <c r="E40" t="b">
        <f>TRUE()</f>
        <v>1</v>
      </c>
    </row>
    <row r="41" spans="1:5">
      <c r="A41" t="s">
        <v>177</v>
      </c>
      <c r="B41" t="s">
        <v>178</v>
      </c>
      <c r="C41" t="b">
        <f>FALSE()</f>
        <v>0</v>
      </c>
      <c r="E41" t="b">
        <f>FALSE()</f>
        <v>0</v>
      </c>
    </row>
    <row r="42" spans="1:5">
      <c r="A42" t="s">
        <v>179</v>
      </c>
      <c r="B42" t="s">
        <v>230</v>
      </c>
      <c r="C42" t="s">
        <v>2</v>
      </c>
      <c r="E42" t="b">
        <v>0</v>
      </c>
    </row>
    <row r="43" spans="1:5">
      <c r="A43" t="s">
        <v>181</v>
      </c>
      <c r="B43" t="s">
        <v>182</v>
      </c>
      <c r="C43" t="b">
        <f>FALSE()</f>
        <v>0</v>
      </c>
      <c r="E43" t="b">
        <f>FALSE()</f>
        <v>0</v>
      </c>
    </row>
    <row r="44" spans="1:5">
      <c r="A44" t="s">
        <v>231</v>
      </c>
      <c r="B44" t="s">
        <v>232</v>
      </c>
      <c r="C44" t="b">
        <f>TRUE()</f>
        <v>1</v>
      </c>
      <c r="E44" t="b">
        <f>TRUE()</f>
        <v>1</v>
      </c>
    </row>
    <row r="45" spans="1:5">
      <c r="A45" t="s">
        <v>233</v>
      </c>
      <c r="B45" t="s">
        <v>234</v>
      </c>
      <c r="C45" t="b">
        <f>TRUE()</f>
        <v>1</v>
      </c>
      <c r="E45" t="b">
        <f>TRUE()</f>
        <v>1</v>
      </c>
    </row>
    <row r="46" spans="1:5">
      <c r="A46" t="s">
        <v>235</v>
      </c>
      <c r="B46" t="s">
        <v>236</v>
      </c>
      <c r="C46" t="b">
        <f>TRUE()</f>
        <v>1</v>
      </c>
      <c r="E46" t="b">
        <f>TRUE()</f>
        <v>1</v>
      </c>
    </row>
    <row r="47" spans="1:5">
      <c r="A47" t="s">
        <v>237</v>
      </c>
      <c r="B47" t="s">
        <v>238</v>
      </c>
      <c r="C47" t="s">
        <v>2</v>
      </c>
      <c r="E47" t="s">
        <v>2</v>
      </c>
    </row>
    <row r="48" spans="1:5">
      <c r="A48" t="s">
        <v>239</v>
      </c>
      <c r="B48" t="s">
        <v>91</v>
      </c>
      <c r="C48" t="s">
        <v>2</v>
      </c>
      <c r="E48" t="b">
        <v>0</v>
      </c>
    </row>
    <row r="49" spans="1:5">
      <c r="A49" t="s">
        <v>240</v>
      </c>
      <c r="B49" t="s">
        <v>241</v>
      </c>
      <c r="C49" t="b">
        <f>TRUE()</f>
        <v>1</v>
      </c>
      <c r="E49" t="b">
        <f>TRUE()</f>
        <v>1</v>
      </c>
    </row>
    <row r="50" spans="1:5">
      <c r="A50" t="s">
        <v>242</v>
      </c>
      <c r="B50" t="s">
        <v>243</v>
      </c>
      <c r="C50" t="b">
        <f>TRUE()</f>
        <v>1</v>
      </c>
      <c r="E50" t="b">
        <f>TRUE()</f>
        <v>1</v>
      </c>
    </row>
    <row r="51" spans="1:5">
      <c r="A51" t="s">
        <v>244</v>
      </c>
      <c r="B51" t="s">
        <v>245</v>
      </c>
      <c r="C51" t="b">
        <f>TRUE()</f>
        <v>1</v>
      </c>
      <c r="E51" t="b">
        <f>TRUE()</f>
        <v>1</v>
      </c>
    </row>
    <row r="52" spans="1:5">
      <c r="A52" t="s">
        <v>246</v>
      </c>
      <c r="B52" t="s">
        <v>247</v>
      </c>
      <c r="C52" t="b">
        <f>TRUE()</f>
        <v>1</v>
      </c>
      <c r="E52" t="b">
        <f>TRUE()</f>
        <v>1</v>
      </c>
    </row>
    <row r="53" spans="1:5">
      <c r="A53" t="s">
        <v>248</v>
      </c>
      <c r="B53" t="s">
        <v>249</v>
      </c>
      <c r="C53" t="b">
        <f>FALSE()</f>
        <v>0</v>
      </c>
      <c r="E53" t="b">
        <f>FALSE()</f>
        <v>0</v>
      </c>
    </row>
    <row r="54" spans="1:5">
      <c r="A54" t="s">
        <v>250</v>
      </c>
      <c r="B54" t="s">
        <v>249</v>
      </c>
      <c r="C54" t="b">
        <f>FALSE()</f>
        <v>0</v>
      </c>
      <c r="E54" t="b">
        <f>FALSE()</f>
        <v>0</v>
      </c>
    </row>
    <row r="55" spans="1:5">
      <c r="A55" t="s">
        <v>251</v>
      </c>
      <c r="B55" t="s">
        <v>252</v>
      </c>
      <c r="C55" t="b">
        <f>FALSE()</f>
        <v>0</v>
      </c>
      <c r="E55" t="b">
        <f>FALSE()</f>
        <v>0</v>
      </c>
    </row>
    <row r="56" spans="1:5">
      <c r="A56" t="s">
        <v>253</v>
      </c>
      <c r="B56" t="s">
        <v>254</v>
      </c>
      <c r="C56" t="b">
        <f>TRUE()</f>
        <v>1</v>
      </c>
      <c r="E56" t="b">
        <f>TRUE()</f>
        <v>1</v>
      </c>
    </row>
    <row r="57" spans="1:5">
      <c r="A57" t="s">
        <v>255</v>
      </c>
      <c r="B57" t="s">
        <v>256</v>
      </c>
      <c r="C57" t="b">
        <f>TRUE()</f>
        <v>1</v>
      </c>
      <c r="E57" t="b">
        <f>TRUE()</f>
        <v>1</v>
      </c>
    </row>
    <row r="58" spans="1:5">
      <c r="A58" t="s">
        <v>257</v>
      </c>
      <c r="B58" t="s">
        <v>226</v>
      </c>
      <c r="C58" t="b">
        <f>TRUE()</f>
        <v>1</v>
      </c>
      <c r="E58" t="b">
        <f>TRUE()</f>
        <v>1</v>
      </c>
    </row>
    <row r="59" spans="1:5">
      <c r="A59" t="s">
        <v>258</v>
      </c>
      <c r="B59" t="s">
        <v>259</v>
      </c>
      <c r="C59" t="b">
        <f>FALSE()</f>
        <v>0</v>
      </c>
      <c r="E59" t="b">
        <f>FALSE()</f>
        <v>0</v>
      </c>
    </row>
    <row r="60" spans="1:5">
      <c r="A60" t="s">
        <v>260</v>
      </c>
      <c r="B60" t="s">
        <v>261</v>
      </c>
      <c r="C60" t="s">
        <v>2</v>
      </c>
      <c r="E60" t="b">
        <v>0</v>
      </c>
    </row>
    <row r="61" spans="1:5">
      <c r="A61" t="s">
        <v>262</v>
      </c>
      <c r="B61" t="s">
        <v>263</v>
      </c>
      <c r="C61" t="b">
        <f>FALSE()</f>
        <v>0</v>
      </c>
      <c r="E61" t="b">
        <f>FALSE()</f>
        <v>0</v>
      </c>
    </row>
    <row r="62" spans="1:5">
      <c r="A62" t="s">
        <v>57</v>
      </c>
      <c r="B62" t="s">
        <v>58</v>
      </c>
      <c r="C62" t="b">
        <f>TRUE()</f>
        <v>1</v>
      </c>
      <c r="E62" t="b">
        <f>TRUE()</f>
        <v>1</v>
      </c>
    </row>
    <row r="63" spans="1:5">
      <c r="A63" t="s">
        <v>59</v>
      </c>
      <c r="B63" t="s">
        <v>60</v>
      </c>
      <c r="C63" t="b">
        <f>TRUE()</f>
        <v>1</v>
      </c>
      <c r="E63" t="b">
        <f>TRUE()</f>
        <v>1</v>
      </c>
    </row>
    <row r="64" spans="1:5">
      <c r="A64" t="s">
        <v>61</v>
      </c>
      <c r="B64" t="s">
        <v>62</v>
      </c>
      <c r="C64" t="b">
        <f>FALSE()</f>
        <v>0</v>
      </c>
      <c r="E64" t="b">
        <f>FALSE()</f>
        <v>0</v>
      </c>
    </row>
    <row r="65" spans="1:5">
      <c r="A65" t="s">
        <v>63</v>
      </c>
      <c r="B65" t="s">
        <v>64</v>
      </c>
      <c r="C65" t="b">
        <f>FALSE()</f>
        <v>0</v>
      </c>
      <c r="E65" t="b">
        <f>FALSE()</f>
        <v>0</v>
      </c>
    </row>
    <row r="66" spans="1:5">
      <c r="A66" t="s">
        <v>65</v>
      </c>
      <c r="B66" t="s">
        <v>264</v>
      </c>
      <c r="C66" t="b">
        <f>FALSE()</f>
        <v>0</v>
      </c>
      <c r="E66" t="b">
        <f>FALSE()</f>
        <v>0</v>
      </c>
    </row>
    <row r="67" spans="1:5">
      <c r="A67" t="s">
        <v>67</v>
      </c>
      <c r="B67" t="s">
        <v>68</v>
      </c>
      <c r="C67" t="b">
        <f>FALSE()</f>
        <v>0</v>
      </c>
      <c r="E67" t="b">
        <f>FALSE()</f>
        <v>0</v>
      </c>
    </row>
    <row r="68" spans="1:5">
      <c r="A68" t="s">
        <v>69</v>
      </c>
      <c r="B68" t="s">
        <v>70</v>
      </c>
      <c r="C68" t="b">
        <f>TRUE()</f>
        <v>1</v>
      </c>
      <c r="E68" t="b">
        <f>TRUE()</f>
        <v>1</v>
      </c>
    </row>
    <row r="69" spans="1:5">
      <c r="A69" t="s">
        <v>71</v>
      </c>
      <c r="B69" t="s">
        <v>72</v>
      </c>
      <c r="C69" t="b">
        <f>TRUE()</f>
        <v>1</v>
      </c>
      <c r="E69" t="b">
        <f>TRUE()</f>
        <v>1</v>
      </c>
    </row>
    <row r="70" spans="1:5">
      <c r="A70" t="s">
        <v>73</v>
      </c>
      <c r="B70" t="s">
        <v>265</v>
      </c>
      <c r="C70" t="b">
        <f>TRUE()</f>
        <v>1</v>
      </c>
      <c r="E70" t="b">
        <f>TRUE()</f>
        <v>1</v>
      </c>
    </row>
    <row r="71" spans="1:5">
      <c r="A71" t="s">
        <v>75</v>
      </c>
      <c r="B71" t="s">
        <v>76</v>
      </c>
      <c r="C71" t="b">
        <f>TRUE()</f>
        <v>1</v>
      </c>
      <c r="E71" t="b">
        <f>TRUE()</f>
        <v>1</v>
      </c>
    </row>
    <row r="72" spans="1:5">
      <c r="A72" t="s">
        <v>77</v>
      </c>
      <c r="B72" t="s">
        <v>266</v>
      </c>
      <c r="C72" t="s">
        <v>2</v>
      </c>
      <c r="E72" t="b">
        <v>0</v>
      </c>
    </row>
    <row r="73" spans="1:5">
      <c r="A73" t="s">
        <v>79</v>
      </c>
      <c r="B73" t="s">
        <v>267</v>
      </c>
      <c r="C73" t="b">
        <f>TRUE()</f>
        <v>1</v>
      </c>
      <c r="E73" t="b">
        <f>TRUE()</f>
        <v>1</v>
      </c>
    </row>
    <row r="74" spans="1:5">
      <c r="A74" t="s">
        <v>80</v>
      </c>
      <c r="B74" t="s">
        <v>81</v>
      </c>
      <c r="C74" t="b">
        <f>TRUE()</f>
        <v>1</v>
      </c>
      <c r="E74" t="b">
        <f>TRUE()</f>
        <v>1</v>
      </c>
    </row>
    <row r="75" spans="1:5">
      <c r="A75" t="s">
        <v>82</v>
      </c>
      <c r="B75" t="s">
        <v>83</v>
      </c>
      <c r="C75" t="b">
        <f>TRUE()</f>
        <v>1</v>
      </c>
      <c r="E75" t="b">
        <f>TRUE()</f>
        <v>1</v>
      </c>
    </row>
    <row r="76" spans="1:5">
      <c r="A76" t="s">
        <v>84</v>
      </c>
      <c r="B76" t="s">
        <v>268</v>
      </c>
      <c r="C76" t="b">
        <f>TRUE()</f>
        <v>1</v>
      </c>
      <c r="E76" t="b">
        <f>TRUE()</f>
        <v>1</v>
      </c>
    </row>
    <row r="77" spans="1:5">
      <c r="A77" t="s">
        <v>86</v>
      </c>
      <c r="B77" t="s">
        <v>87</v>
      </c>
      <c r="C77" t="b">
        <f>TRUE()</f>
        <v>1</v>
      </c>
      <c r="E77" t="b">
        <f>TRUE()</f>
        <v>1</v>
      </c>
    </row>
    <row r="78" spans="1:5">
      <c r="A78" t="s">
        <v>88</v>
      </c>
      <c r="B78" t="s">
        <v>269</v>
      </c>
      <c r="C78" t="s">
        <v>2</v>
      </c>
      <c r="E78" t="b">
        <v>0</v>
      </c>
    </row>
    <row r="79" spans="1:5">
      <c r="A79" t="s">
        <v>90</v>
      </c>
      <c r="B79" t="s">
        <v>188</v>
      </c>
      <c r="C79" t="b">
        <f>TRUE()</f>
        <v>1</v>
      </c>
      <c r="E79" t="b">
        <f>TRUE()</f>
        <v>1</v>
      </c>
    </row>
    <row r="80" spans="1:5">
      <c r="A80" t="s">
        <v>126</v>
      </c>
      <c r="B80" t="s">
        <v>127</v>
      </c>
      <c r="C80" t="b">
        <f>TRUE()</f>
        <v>1</v>
      </c>
      <c r="E80" t="b">
        <f>TRUE()</f>
        <v>1</v>
      </c>
    </row>
    <row r="81" spans="1:5">
      <c r="A81" t="s">
        <v>128</v>
      </c>
      <c r="B81" t="s">
        <v>129</v>
      </c>
      <c r="C81" t="b">
        <f>TRUE()</f>
        <v>1</v>
      </c>
      <c r="E81" t="b">
        <f>TRUE()</f>
        <v>1</v>
      </c>
    </row>
    <row r="82" spans="1:5">
      <c r="A82" t="s">
        <v>130</v>
      </c>
      <c r="B82" t="s">
        <v>270</v>
      </c>
      <c r="C82" t="b">
        <f>TRUE()</f>
        <v>1</v>
      </c>
      <c r="E82" t="b">
        <f>TRUE()</f>
        <v>1</v>
      </c>
    </row>
    <row r="83" spans="1:5">
      <c r="A83" t="s">
        <v>132</v>
      </c>
      <c r="B83" t="s">
        <v>190</v>
      </c>
      <c r="C83" t="b">
        <f>TRUE()</f>
        <v>1</v>
      </c>
      <c r="E83" t="b">
        <f>TRUE()</f>
        <v>1</v>
      </c>
    </row>
    <row r="84" spans="1:5">
      <c r="A84" t="s">
        <v>134</v>
      </c>
      <c r="B84" t="s">
        <v>271</v>
      </c>
      <c r="C84" t="s">
        <v>2</v>
      </c>
      <c r="E84" t="b">
        <v>0</v>
      </c>
    </row>
    <row r="85" spans="1:5">
      <c r="A85" t="s">
        <v>135</v>
      </c>
      <c r="B85" t="s">
        <v>272</v>
      </c>
      <c r="C85" t="b">
        <f>TRUE()</f>
        <v>1</v>
      </c>
      <c r="E85" t="b">
        <f>TRUE()</f>
        <v>1</v>
      </c>
    </row>
    <row r="86" spans="1:5">
      <c r="A86" t="s">
        <v>136</v>
      </c>
      <c r="B86" t="s">
        <v>137</v>
      </c>
      <c r="C86" t="b">
        <f>TRUE()</f>
        <v>1</v>
      </c>
      <c r="E86" t="b">
        <f>TRUE()</f>
        <v>1</v>
      </c>
    </row>
    <row r="87" spans="1:5">
      <c r="A87" t="s">
        <v>138</v>
      </c>
      <c r="B87" t="s">
        <v>139</v>
      </c>
      <c r="C87" t="b">
        <f>TRUE()</f>
        <v>1</v>
      </c>
      <c r="E87" t="b">
        <f>TRUE()</f>
        <v>1</v>
      </c>
    </row>
    <row r="88" spans="1:5">
      <c r="A88" t="s">
        <v>140</v>
      </c>
      <c r="B88" t="s">
        <v>273</v>
      </c>
      <c r="C88" t="b">
        <f>TRUE()</f>
        <v>1</v>
      </c>
      <c r="E88" t="b">
        <f>TRUE()</f>
        <v>1</v>
      </c>
    </row>
    <row r="89" spans="1:5">
      <c r="A89" t="s">
        <v>142</v>
      </c>
      <c r="B89" t="s">
        <v>143</v>
      </c>
      <c r="C89" t="b">
        <f>TRUE()</f>
        <v>1</v>
      </c>
      <c r="E89" t="b">
        <f>TRUE()</f>
        <v>1</v>
      </c>
    </row>
    <row r="90" spans="1:5" ht="31.35">
      <c r="A90" t="s">
        <v>144</v>
      </c>
      <c r="B90" s="2" t="s">
        <v>274</v>
      </c>
      <c r="C90" t="s">
        <v>2</v>
      </c>
      <c r="E90" t="b">
        <v>0</v>
      </c>
    </row>
    <row r="91" spans="1:5">
      <c r="A91" t="s">
        <v>146</v>
      </c>
      <c r="B91" t="s">
        <v>275</v>
      </c>
      <c r="C91" t="b">
        <f>TRUE()</f>
        <v>1</v>
      </c>
      <c r="E91" t="b">
        <f>TRUE()</f>
        <v>1</v>
      </c>
    </row>
    <row r="92" spans="1:5">
      <c r="A92" t="s">
        <v>196</v>
      </c>
      <c r="B92" t="s">
        <v>197</v>
      </c>
      <c r="C92" t="b">
        <f>TRUE()</f>
        <v>1</v>
      </c>
      <c r="E92" t="b">
        <f>TRUE()</f>
        <v>1</v>
      </c>
    </row>
    <row r="93" spans="1:5">
      <c r="A93" t="s">
        <v>198</v>
      </c>
      <c r="B93" t="s">
        <v>199</v>
      </c>
      <c r="C93" t="b">
        <f>TRUE()</f>
        <v>1</v>
      </c>
      <c r="E93" t="b">
        <f>TRUE()</f>
        <v>1</v>
      </c>
    </row>
    <row r="94" spans="1:5">
      <c r="A94" t="s">
        <v>200</v>
      </c>
      <c r="B94" t="s">
        <v>276</v>
      </c>
      <c r="C94" t="b">
        <f>TRUE()</f>
        <v>1</v>
      </c>
      <c r="E94" t="b">
        <f>TRUE()</f>
        <v>1</v>
      </c>
    </row>
    <row r="95" spans="1:5">
      <c r="A95" t="s">
        <v>202</v>
      </c>
      <c r="B95" t="s">
        <v>203</v>
      </c>
      <c r="C95" t="b">
        <f>TRUE()</f>
        <v>1</v>
      </c>
      <c r="E95" t="b">
        <f>TRUE()</f>
        <v>1</v>
      </c>
    </row>
    <row r="96" spans="1:5" ht="31.35">
      <c r="A96" t="s">
        <v>204</v>
      </c>
      <c r="B96" s="2" t="s">
        <v>277</v>
      </c>
      <c r="C96" t="s">
        <v>2</v>
      </c>
      <c r="E96" t="b">
        <v>0</v>
      </c>
    </row>
    <row r="97" spans="1:5">
      <c r="A97" t="s">
        <v>206</v>
      </c>
      <c r="B97" t="s">
        <v>278</v>
      </c>
      <c r="C97" t="b">
        <f>TRUE()</f>
        <v>1</v>
      </c>
      <c r="E97" t="b">
        <f>TRUE()</f>
        <v>1</v>
      </c>
    </row>
    <row r="98" spans="1:5">
      <c r="A98" t="s">
        <v>208</v>
      </c>
      <c r="B98" t="s">
        <v>209</v>
      </c>
      <c r="C98" t="b">
        <f>TRUE()</f>
        <v>1</v>
      </c>
      <c r="E98" t="b">
        <f>TRUE()</f>
        <v>1</v>
      </c>
    </row>
    <row r="99" spans="1:5">
      <c r="A99" t="s">
        <v>210</v>
      </c>
      <c r="B99" t="s">
        <v>211</v>
      </c>
      <c r="C99" t="b">
        <f>TRUE()</f>
        <v>1</v>
      </c>
      <c r="E99" t="b">
        <f>TRUE()</f>
        <v>1</v>
      </c>
    </row>
    <row r="100" spans="1:5">
      <c r="A100" t="s">
        <v>212</v>
      </c>
      <c r="B100" t="s">
        <v>103</v>
      </c>
      <c r="C100" t="b">
        <f>TRUE()</f>
        <v>1</v>
      </c>
      <c r="E100" t="b">
        <f>TRUE()</f>
        <v>1</v>
      </c>
    </row>
    <row r="101" spans="1:5">
      <c r="A101" t="s">
        <v>213</v>
      </c>
      <c r="B101" t="s">
        <v>190</v>
      </c>
      <c r="C101" t="b">
        <f>TRUE()</f>
        <v>1</v>
      </c>
      <c r="E101" t="b">
        <f>TRUE()</f>
        <v>1</v>
      </c>
    </row>
    <row r="102" spans="1:5">
      <c r="A102" t="s">
        <v>214</v>
      </c>
      <c r="B102" t="s">
        <v>279</v>
      </c>
      <c r="C102" t="b">
        <f>TRUE()</f>
        <v>1</v>
      </c>
      <c r="E102" t="b">
        <f>TRUE()</f>
        <v>1</v>
      </c>
    </row>
    <row r="103" spans="1:5">
      <c r="A103" t="s">
        <v>215</v>
      </c>
      <c r="B103" t="s">
        <v>280</v>
      </c>
      <c r="C103" t="b">
        <f>TRUE()</f>
        <v>1</v>
      </c>
      <c r="E103" t="b">
        <f>TRUE()</f>
        <v>1</v>
      </c>
    </row>
    <row r="104" spans="1:5">
      <c r="A104" t="s">
        <v>281</v>
      </c>
      <c r="B104" t="s">
        <v>282</v>
      </c>
      <c r="C104" t="b">
        <f>TRUE()</f>
        <v>1</v>
      </c>
      <c r="E104" t="b">
        <f>TRUE()</f>
        <v>1</v>
      </c>
    </row>
    <row r="105" spans="1:5">
      <c r="A105" t="s">
        <v>283</v>
      </c>
      <c r="B105" t="s">
        <v>284</v>
      </c>
      <c r="C105" t="b">
        <f>TRUE()</f>
        <v>1</v>
      </c>
      <c r="E105" t="b">
        <f>TRUE()</f>
        <v>1</v>
      </c>
    </row>
    <row r="106" spans="1:5">
      <c r="A106" t="s">
        <v>285</v>
      </c>
      <c r="B106" t="s">
        <v>149</v>
      </c>
      <c r="C106" t="b">
        <f>TRUE()</f>
        <v>1</v>
      </c>
      <c r="E106" t="b">
        <f>TRUE()</f>
        <v>1</v>
      </c>
    </row>
    <row r="107" spans="1:5">
      <c r="A107" t="s">
        <v>286</v>
      </c>
      <c r="B107" t="s">
        <v>190</v>
      </c>
      <c r="C107" t="b">
        <f>TRUE()</f>
        <v>1</v>
      </c>
      <c r="E107" t="b">
        <f>TRUE()</f>
        <v>1</v>
      </c>
    </row>
    <row r="108" spans="1:5">
      <c r="A108" t="s">
        <v>287</v>
      </c>
      <c r="B108" t="s">
        <v>288</v>
      </c>
      <c r="C108" t="s">
        <v>2</v>
      </c>
      <c r="E108" t="b">
        <v>0</v>
      </c>
    </row>
    <row r="109" spans="1:5">
      <c r="A109" t="s">
        <v>289</v>
      </c>
      <c r="B109" t="s">
        <v>290</v>
      </c>
      <c r="C109" t="b">
        <f>FALSE()</f>
        <v>0</v>
      </c>
      <c r="E109" t="b">
        <f>FALSE()</f>
        <v>0</v>
      </c>
    </row>
    <row r="110" spans="1:5">
      <c r="A110" t="s">
        <v>291</v>
      </c>
      <c r="B110" t="s">
        <v>292</v>
      </c>
      <c r="C110" t="b">
        <f>TRUE()</f>
        <v>1</v>
      </c>
      <c r="E110" t="b">
        <f>TRUE()</f>
        <v>1</v>
      </c>
    </row>
    <row r="111" spans="1:5">
      <c r="A111" t="s">
        <v>293</v>
      </c>
      <c r="B111" t="s">
        <v>294</v>
      </c>
      <c r="C111" t="b">
        <f>TRUE()</f>
        <v>1</v>
      </c>
      <c r="E111" t="b">
        <f>TRUE()</f>
        <v>1</v>
      </c>
    </row>
    <row r="112" spans="1:5">
      <c r="A112" t="s">
        <v>295</v>
      </c>
      <c r="B112" t="s">
        <v>296</v>
      </c>
      <c r="C112" t="b">
        <f>TRUE()</f>
        <v>1</v>
      </c>
      <c r="E112" t="b">
        <f>TRUE()</f>
        <v>1</v>
      </c>
    </row>
    <row r="113" spans="1:5">
      <c r="A113" t="s">
        <v>297</v>
      </c>
      <c r="B113" t="s">
        <v>298</v>
      </c>
      <c r="C113" t="b">
        <f>TRUE()</f>
        <v>1</v>
      </c>
      <c r="E113" t="b">
        <f>TRUE()</f>
        <v>1</v>
      </c>
    </row>
    <row r="114" spans="1:5">
      <c r="A114" t="s">
        <v>299</v>
      </c>
      <c r="B114" t="s">
        <v>300</v>
      </c>
      <c r="C114" t="s">
        <v>2</v>
      </c>
      <c r="E114" t="b">
        <v>0</v>
      </c>
    </row>
    <row r="115" spans="1:5">
      <c r="A115" t="s">
        <v>301</v>
      </c>
      <c r="B115" t="s">
        <v>302</v>
      </c>
      <c r="C115" t="b">
        <f>TRUE()</f>
        <v>1</v>
      </c>
      <c r="E115" t="b">
        <f>TRUE()</f>
        <v>1</v>
      </c>
    </row>
    <row r="116" spans="1:5">
      <c r="A116" t="s">
        <v>303</v>
      </c>
      <c r="B116" t="s">
        <v>304</v>
      </c>
      <c r="C116" t="b">
        <f>TRUE()</f>
        <v>1</v>
      </c>
      <c r="E116" t="b">
        <f>TRUE()</f>
        <v>1</v>
      </c>
    </row>
    <row r="117" spans="1:5">
      <c r="A117" t="s">
        <v>305</v>
      </c>
      <c r="B117" t="s">
        <v>306</v>
      </c>
      <c r="C117" t="b">
        <f>TRUE()</f>
        <v>1</v>
      </c>
      <c r="E117" t="b">
        <f>TRUE()</f>
        <v>1</v>
      </c>
    </row>
    <row r="118" spans="1:5">
      <c r="A118" t="s">
        <v>307</v>
      </c>
      <c r="B118" t="s">
        <v>308</v>
      </c>
      <c r="C118" t="b">
        <f>FALSE()</f>
        <v>0</v>
      </c>
      <c r="E118" t="b">
        <f>FALSE()</f>
        <v>0</v>
      </c>
    </row>
    <row r="119" spans="1:5">
      <c r="A119" t="s">
        <v>309</v>
      </c>
      <c r="B119" t="s">
        <v>310</v>
      </c>
      <c r="C119" t="b">
        <f>FALSE()</f>
        <v>0</v>
      </c>
      <c r="E119" t="b">
        <f>FALSE()</f>
        <v>0</v>
      </c>
    </row>
    <row r="120" spans="1:5">
      <c r="A120" t="s">
        <v>311</v>
      </c>
      <c r="B120" t="s">
        <v>312</v>
      </c>
      <c r="C120" t="b">
        <f>TRUE()</f>
        <v>1</v>
      </c>
      <c r="E120" t="b">
        <f>TRUE()</f>
        <v>1</v>
      </c>
    </row>
    <row r="121" spans="1:5">
      <c r="A121" t="s">
        <v>313</v>
      </c>
      <c r="B121" t="s">
        <v>314</v>
      </c>
      <c r="C121" t="b">
        <f>TRUE()</f>
        <v>1</v>
      </c>
      <c r="E1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7"/>
  <sheetViews>
    <sheetView topLeftCell="B13" zoomScaleNormal="100" workbookViewId="0">
      <selection activeCell="E38" sqref="E38"/>
    </sheetView>
  </sheetViews>
  <sheetFormatPr defaultColWidth="8.5703125" defaultRowHeight="15"/>
  <cols>
    <col min="1" max="1" width="43.7109375" customWidth="1"/>
    <col min="2" max="2" width="32.140625" customWidth="1"/>
    <col min="5" max="5" width="10.5703125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21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27</v>
      </c>
      <c r="C4" t="b">
        <f>FALSE()</f>
        <v>0</v>
      </c>
      <c r="E4" t="b">
        <f>FALSE()</f>
        <v>0</v>
      </c>
    </row>
    <row r="5" spans="1:5">
      <c r="A5" t="s">
        <v>28</v>
      </c>
      <c r="B5" t="s">
        <v>315</v>
      </c>
      <c r="C5" t="b">
        <f>TRUE()</f>
        <v>1</v>
      </c>
      <c r="E5" t="b">
        <f>TRUE()</f>
        <v>1</v>
      </c>
    </row>
    <row r="6" spans="1:5">
      <c r="A6" t="s">
        <v>30</v>
      </c>
      <c r="B6" t="s">
        <v>31</v>
      </c>
      <c r="C6" t="b">
        <f>TRUE()</f>
        <v>1</v>
      </c>
      <c r="E6" t="b">
        <f>TRUE()</f>
        <v>1</v>
      </c>
    </row>
    <row r="7" spans="1:5">
      <c r="A7" t="s">
        <v>32</v>
      </c>
      <c r="B7" t="s">
        <v>316</v>
      </c>
      <c r="C7" t="b">
        <f>FALSE()</f>
        <v>0</v>
      </c>
      <c r="E7" t="b">
        <f>FALSE()</f>
        <v>0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317</v>
      </c>
      <c r="C10" t="b">
        <f>TRUE()</f>
        <v>1</v>
      </c>
      <c r="E10" t="b">
        <f>TRUE()</f>
        <v>1</v>
      </c>
    </row>
    <row r="11" spans="1:5">
      <c r="A11" t="s">
        <v>40</v>
      </c>
      <c r="B11" t="s">
        <v>318</v>
      </c>
      <c r="C11" t="b">
        <f>TRUE()</f>
        <v>1</v>
      </c>
      <c r="E11" t="b">
        <f>TRUE()</f>
        <v>1</v>
      </c>
    </row>
    <row r="12" spans="1:5">
      <c r="A12" t="s">
        <v>42</v>
      </c>
      <c r="B12" t="s">
        <v>43</v>
      </c>
      <c r="C12" t="b">
        <f>TRUE()</f>
        <v>1</v>
      </c>
      <c r="E12" t="b">
        <f>TRUE()</f>
        <v>1</v>
      </c>
    </row>
    <row r="13" spans="1:5">
      <c r="A13" t="s">
        <v>44</v>
      </c>
      <c r="B13" t="s">
        <v>316</v>
      </c>
      <c r="C13" t="b">
        <f>FALSE()</f>
        <v>0</v>
      </c>
      <c r="E13" t="b">
        <f>FALSE()</f>
        <v>0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319</v>
      </c>
      <c r="C16" t="b">
        <f>TRUE()</f>
        <v>1</v>
      </c>
      <c r="E16" t="b">
        <f>TRUE()</f>
        <v>1</v>
      </c>
    </row>
    <row r="17" spans="1:5">
      <c r="A17" t="s">
        <v>52</v>
      </c>
      <c r="B17" t="s">
        <v>318</v>
      </c>
      <c r="C17" t="b">
        <f>TRUE()</f>
        <v>1</v>
      </c>
      <c r="E17" t="b">
        <f>TRUE()</f>
        <v>1</v>
      </c>
    </row>
    <row r="18" spans="1:5">
      <c r="A18" t="s">
        <v>54</v>
      </c>
      <c r="B18" t="s">
        <v>55</v>
      </c>
      <c r="C18" t="b">
        <f>TRUE()</f>
        <v>1</v>
      </c>
      <c r="E18" t="b">
        <f>TRUE()</f>
        <v>1</v>
      </c>
    </row>
    <row r="19" spans="1:5">
      <c r="A19" t="s">
        <v>56</v>
      </c>
      <c r="B19" t="s">
        <v>320</v>
      </c>
      <c r="C19" t="b">
        <f>FALSE()</f>
        <v>0</v>
      </c>
      <c r="E19" t="b">
        <f>FALSE()</f>
        <v>0</v>
      </c>
    </row>
    <row r="20" spans="1:5">
      <c r="A20" t="s">
        <v>57</v>
      </c>
      <c r="B20" t="s">
        <v>58</v>
      </c>
      <c r="C20" t="b">
        <f>TRUE()</f>
        <v>1</v>
      </c>
      <c r="E20" t="b">
        <f>TRUE()</f>
        <v>1</v>
      </c>
    </row>
    <row r="21" spans="1:5">
      <c r="A21" t="s">
        <v>59</v>
      </c>
      <c r="B21" t="s">
        <v>60</v>
      </c>
      <c r="C21" t="b">
        <f>TRUE()</f>
        <v>1</v>
      </c>
      <c r="E21" t="b">
        <f>TRUE()</f>
        <v>1</v>
      </c>
    </row>
    <row r="22" spans="1:5">
      <c r="A22" t="s">
        <v>61</v>
      </c>
      <c r="B22" t="s">
        <v>62</v>
      </c>
      <c r="C22" t="b">
        <f>FALSE()</f>
        <v>0</v>
      </c>
      <c r="E22" t="b">
        <f>FALSE()</f>
        <v>0</v>
      </c>
    </row>
    <row r="23" spans="1:5">
      <c r="A23" t="s">
        <v>63</v>
      </c>
      <c r="B23" t="s">
        <v>321</v>
      </c>
      <c r="C23" t="b">
        <f>TRUE()</f>
        <v>1</v>
      </c>
      <c r="E23" t="b">
        <f>TRUE()</f>
        <v>1</v>
      </c>
    </row>
    <row r="24" spans="1:5">
      <c r="A24" t="s">
        <v>65</v>
      </c>
      <c r="B24" t="s">
        <v>66</v>
      </c>
      <c r="C24" t="b">
        <f>TRUE()</f>
        <v>1</v>
      </c>
      <c r="E24" t="b">
        <f>TRUE()</f>
        <v>1</v>
      </c>
    </row>
    <row r="25" spans="1:5">
      <c r="A25" t="s">
        <v>67</v>
      </c>
      <c r="B25" t="s">
        <v>316</v>
      </c>
      <c r="C25" t="b">
        <f>FALSE()</f>
        <v>0</v>
      </c>
      <c r="E25" t="b">
        <f>FALSE()</f>
        <v>0</v>
      </c>
    </row>
    <row r="26" spans="1:5">
      <c r="A26" t="s">
        <v>69</v>
      </c>
      <c r="B26" t="s">
        <v>70</v>
      </c>
      <c r="C26" t="b">
        <f>TRUE()</f>
        <v>1</v>
      </c>
      <c r="E26" t="b">
        <f>TRUE()</f>
        <v>1</v>
      </c>
    </row>
    <row r="27" spans="1:5">
      <c r="A27" t="s">
        <v>71</v>
      </c>
      <c r="B27" t="s">
        <v>72</v>
      </c>
      <c r="C27" t="b">
        <f>TRUE()</f>
        <v>1</v>
      </c>
      <c r="E27" t="b">
        <f>TRUE()</f>
        <v>1</v>
      </c>
    </row>
    <row r="28" spans="1:5">
      <c r="A28" t="s">
        <v>73</v>
      </c>
      <c r="B28" t="s">
        <v>74</v>
      </c>
      <c r="C28" t="b">
        <f>TRUE()</f>
        <v>1</v>
      </c>
      <c r="E28" t="b">
        <f>TRUE()</f>
        <v>1</v>
      </c>
    </row>
    <row r="29" spans="1:5">
      <c r="A29" t="s">
        <v>75</v>
      </c>
      <c r="B29" t="s">
        <v>322</v>
      </c>
      <c r="C29" t="b">
        <f>TRUE()</f>
        <v>1</v>
      </c>
      <c r="E29" t="b">
        <f>TRUE()</f>
        <v>1</v>
      </c>
    </row>
    <row r="30" spans="1:5">
      <c r="A30" t="s">
        <v>77</v>
      </c>
      <c r="B30" t="s">
        <v>78</v>
      </c>
      <c r="C30" t="b">
        <f>TRUE()</f>
        <v>1</v>
      </c>
      <c r="E30" t="b">
        <f>TRUE()</f>
        <v>1</v>
      </c>
    </row>
    <row r="31" spans="1:5">
      <c r="A31" t="s">
        <v>79</v>
      </c>
      <c r="B31" t="s">
        <v>316</v>
      </c>
      <c r="C31" t="b">
        <f>FALSE()</f>
        <v>0</v>
      </c>
      <c r="E31" t="b">
        <f>FALSE()</f>
        <v>0</v>
      </c>
    </row>
    <row r="32" spans="1:5">
      <c r="A32" t="s">
        <v>80</v>
      </c>
      <c r="B32" t="s">
        <v>81</v>
      </c>
      <c r="C32" t="b">
        <f>TRUE()</f>
        <v>1</v>
      </c>
      <c r="E32" t="b">
        <f>TRUE()</f>
        <v>1</v>
      </c>
    </row>
    <row r="33" spans="1:5">
      <c r="A33" t="s">
        <v>82</v>
      </c>
      <c r="B33" t="s">
        <v>83</v>
      </c>
      <c r="C33" t="b">
        <f>TRUE()</f>
        <v>1</v>
      </c>
      <c r="E33" t="b">
        <f>TRUE()</f>
        <v>1</v>
      </c>
    </row>
    <row r="34" spans="1:5">
      <c r="A34" t="s">
        <v>84</v>
      </c>
      <c r="B34" t="s">
        <v>85</v>
      </c>
      <c r="C34" t="b">
        <f>TRUE()</f>
        <v>1</v>
      </c>
      <c r="E34" t="b">
        <f>TRUE()</f>
        <v>1</v>
      </c>
    </row>
    <row r="35" spans="1:5">
      <c r="A35" t="s">
        <v>86</v>
      </c>
      <c r="B35" t="s">
        <v>321</v>
      </c>
      <c r="C35" t="b">
        <f>TRUE()</f>
        <v>1</v>
      </c>
      <c r="E35" t="b">
        <f>TRUE()</f>
        <v>1</v>
      </c>
    </row>
    <row r="36" spans="1:5">
      <c r="A36" t="s">
        <v>88</v>
      </c>
      <c r="B36" t="s">
        <v>89</v>
      </c>
      <c r="C36" t="b">
        <f>TRUE()</f>
        <v>1</v>
      </c>
      <c r="E36" t="b">
        <f>TRUE()</f>
        <v>1</v>
      </c>
    </row>
    <row r="37" spans="1:5">
      <c r="A37" t="s">
        <v>90</v>
      </c>
      <c r="B37" t="s">
        <v>316</v>
      </c>
      <c r="C37" t="b">
        <f>FALSE()</f>
        <v>0</v>
      </c>
      <c r="E37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1"/>
  <sheetViews>
    <sheetView topLeftCell="B1" zoomScaleNormal="100" workbookViewId="0">
      <selection activeCell="E66" sqref="E66"/>
    </sheetView>
  </sheetViews>
  <sheetFormatPr defaultColWidth="8.5703125" defaultRowHeight="15"/>
  <cols>
    <col min="1" max="1" width="45.42578125" customWidth="1"/>
    <col min="2" max="2" width="27.5703125" customWidth="1"/>
    <col min="5" max="5" width="10.5703125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21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27</v>
      </c>
      <c r="C4" t="b">
        <f>FALSE()</f>
        <v>0</v>
      </c>
      <c r="E4" t="b">
        <f>FALSE()</f>
        <v>0</v>
      </c>
    </row>
    <row r="5" spans="1:5">
      <c r="A5" t="s">
        <v>28</v>
      </c>
      <c r="B5" t="s">
        <v>315</v>
      </c>
      <c r="C5" t="b">
        <f>TRUE()</f>
        <v>1</v>
      </c>
      <c r="E5" t="b">
        <f>TRUE()</f>
        <v>1</v>
      </c>
    </row>
    <row r="6" spans="1:5">
      <c r="A6" t="s">
        <v>30</v>
      </c>
      <c r="B6" t="s">
        <v>261</v>
      </c>
      <c r="C6" t="s">
        <v>2</v>
      </c>
      <c r="E6" t="b">
        <v>0</v>
      </c>
    </row>
    <row r="7" spans="1:5">
      <c r="A7" t="s">
        <v>32</v>
      </c>
      <c r="B7" t="s">
        <v>323</v>
      </c>
      <c r="C7" t="b">
        <f>TRUE()</f>
        <v>1</v>
      </c>
      <c r="E7" t="b">
        <f>TRUE()</f>
        <v>1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324</v>
      </c>
      <c r="C10" t="b">
        <f>TRUE()</f>
        <v>1</v>
      </c>
      <c r="E10" t="b">
        <f>TRUE()</f>
        <v>1</v>
      </c>
    </row>
    <row r="11" spans="1:5">
      <c r="A11" t="s">
        <v>40</v>
      </c>
      <c r="B11" t="s">
        <v>318</v>
      </c>
      <c r="C11" t="b">
        <f>TRUE()</f>
        <v>1</v>
      </c>
      <c r="E11" t="b">
        <f>TRUE()</f>
        <v>1</v>
      </c>
    </row>
    <row r="12" spans="1:5" ht="31.35">
      <c r="A12" t="s">
        <v>42</v>
      </c>
      <c r="B12" s="2" t="s">
        <v>325</v>
      </c>
      <c r="C12" t="b">
        <f>FALSE()</f>
        <v>0</v>
      </c>
      <c r="E12" t="b">
        <f>FALSE()</f>
        <v>0</v>
      </c>
    </row>
    <row r="13" spans="1:5">
      <c r="A13" t="s">
        <v>44</v>
      </c>
      <c r="B13" t="s">
        <v>326</v>
      </c>
      <c r="C13" t="b">
        <f>TRUE()</f>
        <v>1</v>
      </c>
      <c r="E13" t="b">
        <f>TRUE()</f>
        <v>1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327</v>
      </c>
      <c r="C16" t="b">
        <f>TRUE()</f>
        <v>1</v>
      </c>
      <c r="E16" t="b">
        <f>TRUE()</f>
        <v>1</v>
      </c>
    </row>
    <row r="17" spans="1:5">
      <c r="A17" t="s">
        <v>52</v>
      </c>
      <c r="B17" t="s">
        <v>315</v>
      </c>
      <c r="C17" t="b">
        <f>TRUE()</f>
        <v>1</v>
      </c>
      <c r="E17" t="b">
        <f>TRUE()</f>
        <v>1</v>
      </c>
    </row>
    <row r="18" spans="1:5">
      <c r="A18" t="s">
        <v>54</v>
      </c>
      <c r="B18" t="s">
        <v>328</v>
      </c>
      <c r="C18" t="b">
        <f>FALSE()</f>
        <v>0</v>
      </c>
      <c r="E18" t="b">
        <f>FALSE()</f>
        <v>0</v>
      </c>
    </row>
    <row r="19" spans="1:5">
      <c r="A19" t="s">
        <v>56</v>
      </c>
      <c r="B19" t="s">
        <v>329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330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318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107</v>
      </c>
      <c r="C24" t="b">
        <f>TRUE()</f>
        <v>1</v>
      </c>
      <c r="E24" t="b">
        <f>TRUE()</f>
        <v>1</v>
      </c>
    </row>
    <row r="25" spans="1:5">
      <c r="A25" t="s">
        <v>108</v>
      </c>
      <c r="B25" t="s">
        <v>316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331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318</v>
      </c>
      <c r="C29" t="b">
        <f>TRUE()</f>
        <v>1</v>
      </c>
      <c r="E29" t="b">
        <f>TRUE()</f>
        <v>1</v>
      </c>
    </row>
    <row r="30" spans="1:5">
      <c r="A30" t="s">
        <v>118</v>
      </c>
      <c r="B30" t="s">
        <v>332</v>
      </c>
      <c r="C30" t="b">
        <f>FALSE()</f>
        <v>0</v>
      </c>
      <c r="E30" t="b">
        <f>FALSE()</f>
        <v>0</v>
      </c>
    </row>
    <row r="31" spans="1:5">
      <c r="A31" t="s">
        <v>120</v>
      </c>
      <c r="B31" t="s">
        <v>326</v>
      </c>
      <c r="C31" t="b">
        <f>TRUE()</f>
        <v>1</v>
      </c>
      <c r="E31" t="b">
        <f>TRUE()</f>
        <v>1</v>
      </c>
    </row>
    <row r="32" spans="1:5">
      <c r="A32" t="s">
        <v>57</v>
      </c>
      <c r="B32" t="s">
        <v>58</v>
      </c>
      <c r="C32" t="b">
        <f>TRUE()</f>
        <v>1</v>
      </c>
      <c r="E32" t="b">
        <f>TRUE()</f>
        <v>1</v>
      </c>
    </row>
    <row r="33" spans="1:5">
      <c r="A33" t="s">
        <v>59</v>
      </c>
      <c r="B33" t="s">
        <v>60</v>
      </c>
      <c r="C33" t="b">
        <f>TRUE()</f>
        <v>1</v>
      </c>
      <c r="E33" t="b">
        <f>TRUE()</f>
        <v>1</v>
      </c>
    </row>
    <row r="34" spans="1:5">
      <c r="A34" t="s">
        <v>61</v>
      </c>
      <c r="B34" t="s">
        <v>62</v>
      </c>
      <c r="C34" t="b">
        <f>FALSE()</f>
        <v>0</v>
      </c>
      <c r="E34" t="b">
        <f>FALSE()</f>
        <v>0</v>
      </c>
    </row>
    <row r="35" spans="1:5">
      <c r="A35" t="s">
        <v>63</v>
      </c>
      <c r="B35" t="s">
        <v>321</v>
      </c>
      <c r="C35" t="b">
        <f>TRUE()</f>
        <v>1</v>
      </c>
      <c r="E35" t="b">
        <f>TRUE()</f>
        <v>1</v>
      </c>
    </row>
    <row r="36" spans="1:5">
      <c r="A36" t="s">
        <v>65</v>
      </c>
      <c r="B36" t="s">
        <v>93</v>
      </c>
      <c r="C36" t="b">
        <f>TRUE()</f>
        <v>1</v>
      </c>
      <c r="E36" t="b">
        <f>TRUE()</f>
        <v>1</v>
      </c>
    </row>
    <row r="37" spans="1:5">
      <c r="A37" t="s">
        <v>67</v>
      </c>
      <c r="B37" t="s">
        <v>316</v>
      </c>
      <c r="C37" t="b">
        <f>TRUE()</f>
        <v>1</v>
      </c>
      <c r="E37" t="b">
        <f>TRUE()</f>
        <v>1</v>
      </c>
    </row>
    <row r="38" spans="1:5">
      <c r="A38" t="s">
        <v>69</v>
      </c>
      <c r="B38" t="s">
        <v>70</v>
      </c>
      <c r="C38" t="b">
        <f>TRUE()</f>
        <v>1</v>
      </c>
      <c r="E38" t="b">
        <f>TRUE()</f>
        <v>1</v>
      </c>
    </row>
    <row r="39" spans="1:5">
      <c r="A39" t="s">
        <v>71</v>
      </c>
      <c r="B39" t="s">
        <v>333</v>
      </c>
      <c r="C39" t="b">
        <f>TRUE()</f>
        <v>1</v>
      </c>
      <c r="E39" t="b">
        <f>TRUE()</f>
        <v>1</v>
      </c>
    </row>
    <row r="40" spans="1:5">
      <c r="A40" t="s">
        <v>73</v>
      </c>
      <c r="B40" t="s">
        <v>122</v>
      </c>
      <c r="C40" t="b">
        <f>TRUE()</f>
        <v>1</v>
      </c>
      <c r="E40" t="b">
        <f>TRUE()</f>
        <v>1</v>
      </c>
    </row>
    <row r="41" spans="1:5">
      <c r="A41" t="s">
        <v>75</v>
      </c>
      <c r="B41" t="s">
        <v>322</v>
      </c>
      <c r="C41" t="b">
        <f>TRUE()</f>
        <v>1</v>
      </c>
      <c r="E41" t="b">
        <f>TRUE()</f>
        <v>1</v>
      </c>
    </row>
    <row r="42" spans="1:5">
      <c r="A42" t="s">
        <v>77</v>
      </c>
      <c r="B42" t="s">
        <v>107</v>
      </c>
      <c r="C42" t="b">
        <f>TRUE()</f>
        <v>1</v>
      </c>
      <c r="E42" t="b">
        <f>TRUE()</f>
        <v>1</v>
      </c>
    </row>
    <row r="43" spans="1:5">
      <c r="A43" t="s">
        <v>79</v>
      </c>
      <c r="B43" t="s">
        <v>316</v>
      </c>
      <c r="C43" t="b">
        <f>TRUE()</f>
        <v>1</v>
      </c>
      <c r="E43" t="b">
        <f>TRUE()</f>
        <v>1</v>
      </c>
    </row>
    <row r="44" spans="1:5">
      <c r="A44" t="s">
        <v>80</v>
      </c>
      <c r="B44" t="s">
        <v>81</v>
      </c>
      <c r="C44" t="b">
        <f>TRUE()</f>
        <v>1</v>
      </c>
      <c r="E44" t="b">
        <f>TRUE()</f>
        <v>1</v>
      </c>
    </row>
    <row r="45" spans="1:5">
      <c r="A45" t="s">
        <v>82</v>
      </c>
      <c r="B45" t="s">
        <v>83</v>
      </c>
      <c r="C45" t="b">
        <f>TRUE()</f>
        <v>1</v>
      </c>
      <c r="E45" t="b">
        <f>TRUE()</f>
        <v>1</v>
      </c>
    </row>
    <row r="46" spans="1:5">
      <c r="A46" t="s">
        <v>84</v>
      </c>
      <c r="B46" t="s">
        <v>124</v>
      </c>
      <c r="C46" t="b">
        <f>TRUE()</f>
        <v>1</v>
      </c>
      <c r="E46" t="b">
        <f>TRUE()</f>
        <v>1</v>
      </c>
    </row>
    <row r="47" spans="1:5">
      <c r="A47" t="s">
        <v>86</v>
      </c>
      <c r="B47" t="s">
        <v>321</v>
      </c>
      <c r="C47" t="b">
        <f>TRUE()</f>
        <v>1</v>
      </c>
      <c r="E47" t="b">
        <f>TRUE()</f>
        <v>1</v>
      </c>
    </row>
    <row r="48" spans="1:5">
      <c r="A48" t="s">
        <v>88</v>
      </c>
      <c r="B48" t="s">
        <v>125</v>
      </c>
      <c r="C48" t="b">
        <f>TRUE()</f>
        <v>1</v>
      </c>
      <c r="E48" t="b">
        <f>TRUE()</f>
        <v>1</v>
      </c>
    </row>
    <row r="49" spans="1:5">
      <c r="A49" t="s">
        <v>90</v>
      </c>
      <c r="B49" t="s">
        <v>316</v>
      </c>
      <c r="C49" t="b">
        <f>FALSE()</f>
        <v>0</v>
      </c>
      <c r="E49" t="b">
        <f>FALSE()</f>
        <v>0</v>
      </c>
    </row>
    <row r="50" spans="1:5">
      <c r="A50" t="s">
        <v>126</v>
      </c>
      <c r="B50" t="s">
        <v>127</v>
      </c>
      <c r="C50" t="b">
        <f>TRUE()</f>
        <v>1</v>
      </c>
      <c r="E50" t="b">
        <f>TRUE()</f>
        <v>1</v>
      </c>
    </row>
    <row r="51" spans="1:5">
      <c r="A51" t="s">
        <v>128</v>
      </c>
      <c r="B51" t="s">
        <v>129</v>
      </c>
      <c r="C51" t="b">
        <f>TRUE()</f>
        <v>1</v>
      </c>
      <c r="E51" t="b">
        <f>TRUE()</f>
        <v>1</v>
      </c>
    </row>
    <row r="52" spans="1:5">
      <c r="A52" t="s">
        <v>130</v>
      </c>
      <c r="B52" t="s">
        <v>334</v>
      </c>
      <c r="C52" t="b">
        <f>TRUE()</f>
        <v>1</v>
      </c>
      <c r="E52" t="b">
        <f>TRUE()</f>
        <v>1</v>
      </c>
    </row>
    <row r="53" spans="1:5">
      <c r="A53" t="s">
        <v>132</v>
      </c>
      <c r="B53" t="s">
        <v>335</v>
      </c>
      <c r="C53" t="b">
        <f>TRUE()</f>
        <v>1</v>
      </c>
      <c r="E53" t="b">
        <f>TRUE()</f>
        <v>1</v>
      </c>
    </row>
    <row r="54" spans="1:5">
      <c r="A54" t="s">
        <v>134</v>
      </c>
      <c r="B54" t="s">
        <v>89</v>
      </c>
      <c r="C54" t="b">
        <f>TRUE()</f>
        <v>1</v>
      </c>
      <c r="E54" t="b">
        <f>TRUE()</f>
        <v>1</v>
      </c>
    </row>
    <row r="55" spans="1:5">
      <c r="A55" t="s">
        <v>135</v>
      </c>
      <c r="B55" t="s">
        <v>336</v>
      </c>
      <c r="C55" t="b">
        <f>TRUE()</f>
        <v>1</v>
      </c>
      <c r="E55" t="b">
        <f>TRUE()</f>
        <v>1</v>
      </c>
    </row>
    <row r="56" spans="1:5">
      <c r="A56" t="s">
        <v>136</v>
      </c>
      <c r="B56" t="s">
        <v>137</v>
      </c>
      <c r="C56" t="b">
        <f>TRUE()</f>
        <v>1</v>
      </c>
      <c r="E56" t="b">
        <f>TRUE()</f>
        <v>1</v>
      </c>
    </row>
    <row r="57" spans="1:5">
      <c r="A57" t="s">
        <v>138</v>
      </c>
      <c r="B57" t="s">
        <v>139</v>
      </c>
      <c r="C57" t="b">
        <f>TRUE()</f>
        <v>1</v>
      </c>
      <c r="E57" t="b">
        <f>TRUE()</f>
        <v>1</v>
      </c>
    </row>
    <row r="58" spans="1:5">
      <c r="A58" t="s">
        <v>140</v>
      </c>
      <c r="B58" t="s">
        <v>337</v>
      </c>
      <c r="C58" t="b">
        <f>TRUE()</f>
        <v>1</v>
      </c>
      <c r="E58" t="b">
        <f>TRUE()</f>
        <v>1</v>
      </c>
    </row>
    <row r="59" spans="1:5">
      <c r="A59" t="s">
        <v>142</v>
      </c>
      <c r="B59" t="s">
        <v>321</v>
      </c>
      <c r="C59" t="b">
        <f>TRUE()</f>
        <v>1</v>
      </c>
      <c r="E59" t="b">
        <f>TRUE()</f>
        <v>1</v>
      </c>
    </row>
    <row r="60" spans="1:5">
      <c r="A60" t="s">
        <v>144</v>
      </c>
      <c r="B60" t="s">
        <v>145</v>
      </c>
      <c r="C60" t="b">
        <f>TRUE()</f>
        <v>1</v>
      </c>
      <c r="E60" t="b">
        <f>TRUE()</f>
        <v>1</v>
      </c>
    </row>
    <row r="61" spans="1:5">
      <c r="A61" t="s">
        <v>146</v>
      </c>
      <c r="B61" t="s">
        <v>316</v>
      </c>
      <c r="C61" t="b">
        <f>TRUE()</f>
        <v>1</v>
      </c>
      <c r="E6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5"/>
  <sheetViews>
    <sheetView topLeftCell="B1" zoomScaleNormal="100" workbookViewId="0">
      <selection activeCell="F85" sqref="F85"/>
    </sheetView>
  </sheetViews>
  <sheetFormatPr defaultColWidth="8.5703125" defaultRowHeight="15"/>
  <cols>
    <col min="1" max="1" width="45" customWidth="1"/>
    <col min="2" max="2" width="38.7109375" customWidth="1"/>
    <col min="5" max="5" width="10.5703125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21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27</v>
      </c>
      <c r="C4" t="b">
        <f>FALSE()</f>
        <v>0</v>
      </c>
      <c r="E4" t="b">
        <f>FALSE()</f>
        <v>0</v>
      </c>
    </row>
    <row r="5" spans="1:5">
      <c r="A5" t="s">
        <v>28</v>
      </c>
      <c r="B5" t="s">
        <v>315</v>
      </c>
      <c r="C5" t="b">
        <f>TRUE()</f>
        <v>1</v>
      </c>
      <c r="E5" t="b">
        <f>TRUE()</f>
        <v>1</v>
      </c>
    </row>
    <row r="6" spans="1:5">
      <c r="A6" t="s">
        <v>30</v>
      </c>
      <c r="B6" t="s">
        <v>148</v>
      </c>
      <c r="C6" t="b">
        <f>TRUE()</f>
        <v>1</v>
      </c>
      <c r="E6" t="b">
        <f>TRUE()</f>
        <v>1</v>
      </c>
    </row>
    <row r="7" spans="1:5">
      <c r="A7" t="s">
        <v>32</v>
      </c>
      <c r="B7" t="s">
        <v>316</v>
      </c>
      <c r="C7" t="b">
        <f>TRUE()</f>
        <v>1</v>
      </c>
      <c r="E7" t="b">
        <f>TRUE()</f>
        <v>1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338</v>
      </c>
      <c r="C10" t="b">
        <f>TRUE()</f>
        <v>1</v>
      </c>
      <c r="E10" t="b">
        <f>TRUE()</f>
        <v>1</v>
      </c>
    </row>
    <row r="11" spans="1:5">
      <c r="A11" t="s">
        <v>40</v>
      </c>
      <c r="B11" t="s">
        <v>315</v>
      </c>
      <c r="C11" t="b">
        <f>TRUE()</f>
        <v>1</v>
      </c>
      <c r="E11" t="b">
        <f>TRUE()</f>
        <v>1</v>
      </c>
    </row>
    <row r="12" spans="1:5">
      <c r="A12" t="s">
        <v>42</v>
      </c>
      <c r="B12" t="s">
        <v>150</v>
      </c>
      <c r="C12" t="b">
        <f>TRUE()</f>
        <v>1</v>
      </c>
      <c r="E12" t="b">
        <f>TRUE()</f>
        <v>1</v>
      </c>
    </row>
    <row r="13" spans="1:5">
      <c r="A13" t="s">
        <v>44</v>
      </c>
      <c r="B13" t="s">
        <v>316</v>
      </c>
      <c r="C13" t="b">
        <f>FALSE()</f>
        <v>0</v>
      </c>
      <c r="E13" t="b">
        <f>FALSE()</f>
        <v>0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151</v>
      </c>
      <c r="C16" t="b">
        <f>TRUE()</f>
        <v>1</v>
      </c>
      <c r="E16" t="b">
        <f>TRUE()</f>
        <v>1</v>
      </c>
    </row>
    <row r="17" spans="1:5">
      <c r="A17" t="s">
        <v>52</v>
      </c>
      <c r="B17" t="s">
        <v>315</v>
      </c>
      <c r="C17" t="b">
        <f>TRUE()</f>
        <v>1</v>
      </c>
      <c r="E17" t="b">
        <f>TRUE()</f>
        <v>1</v>
      </c>
    </row>
    <row r="18" spans="1:5">
      <c r="A18" t="s">
        <v>54</v>
      </c>
      <c r="B18" t="s">
        <v>328</v>
      </c>
      <c r="C18" t="b">
        <f>FALSE()</f>
        <v>0</v>
      </c>
      <c r="E18" t="b">
        <f>FALSE()</f>
        <v>0</v>
      </c>
    </row>
    <row r="19" spans="1:5">
      <c r="A19" t="s">
        <v>56</v>
      </c>
      <c r="B19" t="s">
        <v>236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339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318</v>
      </c>
      <c r="C23" t="b">
        <f>TRUE()</f>
        <v>1</v>
      </c>
      <c r="E23" t="b">
        <f>TRUE()</f>
        <v>1</v>
      </c>
    </row>
    <row r="24" spans="1:5" ht="31.35">
      <c r="A24" t="s">
        <v>106</v>
      </c>
      <c r="B24" s="2" t="s">
        <v>340</v>
      </c>
      <c r="C24" t="s">
        <v>2</v>
      </c>
      <c r="E24" t="b">
        <v>0</v>
      </c>
    </row>
    <row r="25" spans="1:5">
      <c r="A25" t="s">
        <v>108</v>
      </c>
      <c r="B25" t="s">
        <v>341</v>
      </c>
      <c r="C25" t="b">
        <f>FALSE()</f>
        <v>0</v>
      </c>
      <c r="E25" t="b">
        <f>FALSE()</f>
        <v>0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342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318</v>
      </c>
      <c r="C29" t="b">
        <f>TRUE()</f>
        <v>1</v>
      </c>
      <c r="E29" t="b">
        <f>TRUE()</f>
        <v>1</v>
      </c>
    </row>
    <row r="30" spans="1:5">
      <c r="A30" t="s">
        <v>118</v>
      </c>
      <c r="B30" t="s">
        <v>343</v>
      </c>
      <c r="C30" t="b">
        <f>FALSE()</f>
        <v>0</v>
      </c>
      <c r="E30" t="b">
        <f>FALSE()</f>
        <v>0</v>
      </c>
    </row>
    <row r="31" spans="1:5">
      <c r="A31" t="s">
        <v>120</v>
      </c>
      <c r="B31" t="s">
        <v>344</v>
      </c>
      <c r="C31" t="b">
        <f>FALSE()</f>
        <v>0</v>
      </c>
      <c r="E31" t="b">
        <f>FALSE()</f>
        <v>0</v>
      </c>
    </row>
    <row r="32" spans="1:5">
      <c r="A32" t="s">
        <v>160</v>
      </c>
      <c r="B32" t="s">
        <v>161</v>
      </c>
      <c r="C32" t="b">
        <f>TRUE()</f>
        <v>1</v>
      </c>
      <c r="E32" t="b">
        <f>TRUE()</f>
        <v>1</v>
      </c>
    </row>
    <row r="33" spans="1:5">
      <c r="A33" t="s">
        <v>162</v>
      </c>
      <c r="B33" t="s">
        <v>163</v>
      </c>
      <c r="C33" t="b">
        <f>TRUE()</f>
        <v>1</v>
      </c>
      <c r="E33" t="b">
        <f>TRUE()</f>
        <v>1</v>
      </c>
    </row>
    <row r="34" spans="1:5">
      <c r="A34" t="s">
        <v>164</v>
      </c>
      <c r="B34" t="s">
        <v>345</v>
      </c>
      <c r="C34" t="b">
        <f>TRUE()</f>
        <v>1</v>
      </c>
      <c r="E34" t="b">
        <f>TRUE()</f>
        <v>1</v>
      </c>
    </row>
    <row r="35" spans="1:5">
      <c r="A35" t="s">
        <v>166</v>
      </c>
      <c r="B35" t="s">
        <v>318</v>
      </c>
      <c r="C35" t="b">
        <f>TRUE()</f>
        <v>1</v>
      </c>
      <c r="E35" t="b">
        <f>TRUE()</f>
        <v>1</v>
      </c>
    </row>
    <row r="36" spans="1:5" ht="31.35">
      <c r="A36" t="s">
        <v>168</v>
      </c>
      <c r="B36" s="2" t="s">
        <v>346</v>
      </c>
      <c r="C36" t="b">
        <f>FALSE()</f>
        <v>0</v>
      </c>
      <c r="E36" t="b">
        <f>FALSE()</f>
        <v>0</v>
      </c>
    </row>
    <row r="37" spans="1:5">
      <c r="A37" t="s">
        <v>170</v>
      </c>
      <c r="B37" t="s">
        <v>326</v>
      </c>
      <c r="C37" t="b">
        <f>TRUE()</f>
        <v>1</v>
      </c>
      <c r="E37" t="b">
        <f>TRUE()</f>
        <v>1</v>
      </c>
    </row>
    <row r="38" spans="1:5">
      <c r="A38" t="s">
        <v>172</v>
      </c>
      <c r="B38" t="s">
        <v>173</v>
      </c>
      <c r="C38" t="b">
        <f>TRUE()</f>
        <v>1</v>
      </c>
      <c r="E38" t="b">
        <f>TRUE()</f>
        <v>1</v>
      </c>
    </row>
    <row r="39" spans="1:5">
      <c r="A39" t="s">
        <v>174</v>
      </c>
      <c r="B39" t="s">
        <v>175</v>
      </c>
      <c r="C39" t="b">
        <f>TRUE()</f>
        <v>1</v>
      </c>
      <c r="E39" t="b">
        <f>TRUE()</f>
        <v>1</v>
      </c>
    </row>
    <row r="40" spans="1:5">
      <c r="A40" t="s">
        <v>176</v>
      </c>
      <c r="B40" t="s">
        <v>347</v>
      </c>
      <c r="C40" t="b">
        <f>TRUE()</f>
        <v>1</v>
      </c>
      <c r="E40" t="b">
        <f>TRUE()</f>
        <v>1</v>
      </c>
    </row>
    <row r="41" spans="1:5">
      <c r="A41" t="s">
        <v>177</v>
      </c>
      <c r="B41" t="s">
        <v>315</v>
      </c>
      <c r="C41" t="b">
        <f>TRUE()</f>
        <v>1</v>
      </c>
      <c r="E41" t="b">
        <f>TRUE()</f>
        <v>1</v>
      </c>
    </row>
    <row r="42" spans="1:5">
      <c r="A42" t="s">
        <v>179</v>
      </c>
      <c r="B42" t="s">
        <v>348</v>
      </c>
      <c r="C42" t="b">
        <f>FALSE()</f>
        <v>0</v>
      </c>
      <c r="E42" t="b">
        <f>FALSE()</f>
        <v>0</v>
      </c>
    </row>
    <row r="43" spans="1:5">
      <c r="A43" t="s">
        <v>181</v>
      </c>
      <c r="B43" t="s">
        <v>326</v>
      </c>
      <c r="C43" t="b">
        <f>TRUE()</f>
        <v>1</v>
      </c>
      <c r="E43" t="b">
        <f>TRUE()</f>
        <v>1</v>
      </c>
    </row>
    <row r="44" spans="1:5">
      <c r="A44" t="s">
        <v>57</v>
      </c>
      <c r="B44" t="s">
        <v>58</v>
      </c>
      <c r="C44" t="b">
        <f>TRUE()</f>
        <v>1</v>
      </c>
      <c r="E44" t="b">
        <f>TRUE()</f>
        <v>1</v>
      </c>
    </row>
    <row r="45" spans="1:5">
      <c r="A45" t="s">
        <v>59</v>
      </c>
      <c r="B45" t="s">
        <v>60</v>
      </c>
      <c r="C45" t="b">
        <f>TRUE()</f>
        <v>1</v>
      </c>
      <c r="E45" t="b">
        <f>TRUE()</f>
        <v>1</v>
      </c>
    </row>
    <row r="46" spans="1:5">
      <c r="A46" t="s">
        <v>61</v>
      </c>
      <c r="B46" t="s">
        <v>62</v>
      </c>
      <c r="C46" t="b">
        <f>FALSE()</f>
        <v>0</v>
      </c>
      <c r="E46" t="b">
        <f>FALSE()</f>
        <v>0</v>
      </c>
    </row>
    <row r="47" spans="1:5">
      <c r="A47" t="s">
        <v>63</v>
      </c>
      <c r="B47" t="s">
        <v>321</v>
      </c>
      <c r="C47" t="b">
        <f>TRUE()</f>
        <v>1</v>
      </c>
      <c r="E47" t="b">
        <f>TRUE()</f>
        <v>1</v>
      </c>
    </row>
    <row r="48" spans="1:5">
      <c r="A48" t="s">
        <v>65</v>
      </c>
      <c r="B48" t="s">
        <v>349</v>
      </c>
      <c r="C48" t="b">
        <f>FALSE()</f>
        <v>0</v>
      </c>
      <c r="E48" t="b">
        <f>FALSE()</f>
        <v>0</v>
      </c>
    </row>
    <row r="49" spans="1:5">
      <c r="A49" t="s">
        <v>67</v>
      </c>
      <c r="B49" t="s">
        <v>329</v>
      </c>
      <c r="C49" t="b">
        <f>TRUE()</f>
        <v>1</v>
      </c>
      <c r="E49" t="b">
        <f>TRUE()</f>
        <v>1</v>
      </c>
    </row>
    <row r="50" spans="1:5">
      <c r="A50" t="s">
        <v>69</v>
      </c>
      <c r="B50" t="s">
        <v>70</v>
      </c>
      <c r="C50" t="b">
        <f>TRUE()</f>
        <v>1</v>
      </c>
      <c r="E50" t="b">
        <f>TRUE()</f>
        <v>1</v>
      </c>
    </row>
    <row r="51" spans="1:5">
      <c r="A51" t="s">
        <v>71</v>
      </c>
      <c r="B51" t="s">
        <v>72</v>
      </c>
      <c r="C51" t="b">
        <f>TRUE()</f>
        <v>1</v>
      </c>
      <c r="E51" t="b">
        <f>TRUE()</f>
        <v>1</v>
      </c>
    </row>
    <row r="52" spans="1:5">
      <c r="A52" t="s">
        <v>73</v>
      </c>
      <c r="B52" t="s">
        <v>350</v>
      </c>
      <c r="C52" t="b">
        <f>TRUE()</f>
        <v>1</v>
      </c>
      <c r="E52" t="b">
        <f>TRUE()</f>
        <v>1</v>
      </c>
    </row>
    <row r="53" spans="1:5">
      <c r="A53" t="s">
        <v>75</v>
      </c>
      <c r="B53" t="s">
        <v>322</v>
      </c>
      <c r="C53" t="b">
        <f>TRUE()</f>
        <v>1</v>
      </c>
      <c r="E53" t="b">
        <f>TRUE()</f>
        <v>1</v>
      </c>
    </row>
    <row r="54" spans="1:5">
      <c r="A54" t="s">
        <v>77</v>
      </c>
      <c r="B54" t="s">
        <v>351</v>
      </c>
      <c r="C54" t="s">
        <v>2</v>
      </c>
      <c r="E54" t="b">
        <v>0</v>
      </c>
    </row>
    <row r="55" spans="1:5">
      <c r="A55" t="s">
        <v>79</v>
      </c>
      <c r="B55" t="s">
        <v>316</v>
      </c>
      <c r="C55" t="b">
        <f>TRUE()</f>
        <v>1</v>
      </c>
      <c r="E55" t="b">
        <f>TRUE()</f>
        <v>1</v>
      </c>
    </row>
    <row r="56" spans="1:5">
      <c r="A56" t="s">
        <v>80</v>
      </c>
      <c r="B56" t="s">
        <v>81</v>
      </c>
      <c r="C56" t="b">
        <f>TRUE()</f>
        <v>1</v>
      </c>
      <c r="E56" t="b">
        <f>TRUE()</f>
        <v>1</v>
      </c>
    </row>
    <row r="57" spans="1:5">
      <c r="A57" t="s">
        <v>82</v>
      </c>
      <c r="B57" t="s">
        <v>83</v>
      </c>
      <c r="C57" t="b">
        <f>TRUE()</f>
        <v>1</v>
      </c>
      <c r="E57" t="b">
        <f>TRUE()</f>
        <v>1</v>
      </c>
    </row>
    <row r="58" spans="1:5">
      <c r="A58" t="s">
        <v>84</v>
      </c>
      <c r="B58" t="s">
        <v>352</v>
      </c>
      <c r="C58" t="b">
        <f>TRUE()</f>
        <v>1</v>
      </c>
      <c r="E58" t="b">
        <f>TRUE()</f>
        <v>1</v>
      </c>
    </row>
    <row r="59" spans="1:5">
      <c r="A59" t="s">
        <v>86</v>
      </c>
      <c r="B59" t="s">
        <v>321</v>
      </c>
      <c r="C59" t="b">
        <f>TRUE()</f>
        <v>1</v>
      </c>
      <c r="E59" t="b">
        <f>TRUE()</f>
        <v>1</v>
      </c>
    </row>
    <row r="60" spans="1:5">
      <c r="A60" t="s">
        <v>88</v>
      </c>
      <c r="B60" t="s">
        <v>187</v>
      </c>
      <c r="C60" t="s">
        <v>2</v>
      </c>
      <c r="E60" t="b">
        <v>0</v>
      </c>
    </row>
    <row r="61" spans="1:5">
      <c r="A61" t="s">
        <v>90</v>
      </c>
      <c r="B61" t="s">
        <v>236</v>
      </c>
      <c r="C61" t="b">
        <f>TRUE()</f>
        <v>1</v>
      </c>
      <c r="E61" t="b">
        <f>TRUE()</f>
        <v>1</v>
      </c>
    </row>
    <row r="62" spans="1:5">
      <c r="A62" t="s">
        <v>126</v>
      </c>
      <c r="B62" t="s">
        <v>127</v>
      </c>
      <c r="C62" t="b">
        <f>TRUE()</f>
        <v>1</v>
      </c>
      <c r="E62" t="b">
        <f>TRUE()</f>
        <v>1</v>
      </c>
    </row>
    <row r="63" spans="1:5">
      <c r="A63" t="s">
        <v>128</v>
      </c>
      <c r="B63" t="s">
        <v>129</v>
      </c>
      <c r="C63" t="b">
        <f>TRUE()</f>
        <v>1</v>
      </c>
      <c r="E63" t="b">
        <f>TRUE()</f>
        <v>1</v>
      </c>
    </row>
    <row r="64" spans="1:5">
      <c r="A64" t="s">
        <v>130</v>
      </c>
      <c r="B64" t="s">
        <v>353</v>
      </c>
      <c r="C64" t="b">
        <f>TRUE()</f>
        <v>1</v>
      </c>
      <c r="E64" t="b">
        <f>TRUE()</f>
        <v>1</v>
      </c>
    </row>
    <row r="65" spans="1:5">
      <c r="A65" t="s">
        <v>132</v>
      </c>
      <c r="B65" t="s">
        <v>321</v>
      </c>
      <c r="C65" t="b">
        <f>TRUE()</f>
        <v>1</v>
      </c>
      <c r="E65" t="b">
        <f>TRUE()</f>
        <v>1</v>
      </c>
    </row>
    <row r="66" spans="1:5">
      <c r="A66" t="s">
        <v>134</v>
      </c>
      <c r="B66" t="s">
        <v>354</v>
      </c>
      <c r="C66" t="s">
        <v>2</v>
      </c>
      <c r="E66" t="b">
        <v>0</v>
      </c>
    </row>
    <row r="67" spans="1:5">
      <c r="A67" t="s">
        <v>135</v>
      </c>
      <c r="B67" t="s">
        <v>355</v>
      </c>
      <c r="C67" t="b">
        <f>FALSE()</f>
        <v>0</v>
      </c>
      <c r="E67" t="b">
        <f>FALSE()</f>
        <v>0</v>
      </c>
    </row>
    <row r="68" spans="1:5">
      <c r="A68" t="s">
        <v>136</v>
      </c>
      <c r="B68" t="s">
        <v>137</v>
      </c>
      <c r="C68" t="b">
        <f>TRUE()</f>
        <v>1</v>
      </c>
      <c r="E68" t="b">
        <f>TRUE()</f>
        <v>1</v>
      </c>
    </row>
    <row r="69" spans="1:5">
      <c r="A69" t="s">
        <v>138</v>
      </c>
      <c r="B69" t="s">
        <v>139</v>
      </c>
      <c r="C69" t="b">
        <f>TRUE()</f>
        <v>1</v>
      </c>
      <c r="E69" t="b">
        <f>TRUE()</f>
        <v>1</v>
      </c>
    </row>
    <row r="70" spans="1:5">
      <c r="A70" t="s">
        <v>140</v>
      </c>
      <c r="B70" t="s">
        <v>356</v>
      </c>
      <c r="C70" t="b">
        <f>TRUE()</f>
        <v>1</v>
      </c>
      <c r="E70" t="b">
        <f>TRUE()</f>
        <v>1</v>
      </c>
    </row>
    <row r="71" spans="1:5">
      <c r="A71" t="s">
        <v>142</v>
      </c>
      <c r="B71" t="s">
        <v>321</v>
      </c>
      <c r="C71" t="b">
        <f>TRUE()</f>
        <v>1</v>
      </c>
      <c r="E71" t="b">
        <f>TRUE()</f>
        <v>1</v>
      </c>
    </row>
    <row r="72" spans="1:5">
      <c r="A72" t="s">
        <v>144</v>
      </c>
      <c r="B72" t="s">
        <v>357</v>
      </c>
      <c r="C72" t="s">
        <v>2</v>
      </c>
      <c r="E72" t="b">
        <v>0</v>
      </c>
    </row>
    <row r="73" spans="1:5">
      <c r="A73" t="s">
        <v>146</v>
      </c>
      <c r="B73" t="s">
        <v>329</v>
      </c>
      <c r="C73" t="b">
        <f>TRUE()</f>
        <v>1</v>
      </c>
      <c r="E73" t="b">
        <f>TRUE()</f>
        <v>1</v>
      </c>
    </row>
    <row r="74" spans="1:5">
      <c r="A74" t="s">
        <v>196</v>
      </c>
      <c r="B74" t="s">
        <v>197</v>
      </c>
      <c r="C74" t="b">
        <f>TRUE()</f>
        <v>1</v>
      </c>
      <c r="E74" t="b">
        <f>TRUE()</f>
        <v>1</v>
      </c>
    </row>
    <row r="75" spans="1:5">
      <c r="A75" t="s">
        <v>198</v>
      </c>
      <c r="B75" t="s">
        <v>199</v>
      </c>
      <c r="C75" t="b">
        <f>TRUE()</f>
        <v>1</v>
      </c>
      <c r="E75" t="b">
        <f>TRUE()</f>
        <v>1</v>
      </c>
    </row>
    <row r="76" spans="1:5">
      <c r="A76" t="s">
        <v>200</v>
      </c>
      <c r="B76" t="s">
        <v>358</v>
      </c>
      <c r="C76" t="b">
        <f>TRUE()</f>
        <v>1</v>
      </c>
      <c r="E76" t="b">
        <f>TRUE()</f>
        <v>1</v>
      </c>
    </row>
    <row r="77" spans="1:5">
      <c r="A77" t="s">
        <v>202</v>
      </c>
      <c r="B77" t="s">
        <v>321</v>
      </c>
      <c r="C77" t="b">
        <f>TRUE()</f>
        <v>1</v>
      </c>
      <c r="E77" t="b">
        <f>TRUE()</f>
        <v>1</v>
      </c>
    </row>
    <row r="78" spans="1:5">
      <c r="A78" t="s">
        <v>204</v>
      </c>
      <c r="B78" t="s">
        <v>359</v>
      </c>
      <c r="C78" t="s">
        <v>2</v>
      </c>
      <c r="E78" t="b">
        <v>0</v>
      </c>
    </row>
    <row r="79" spans="1:5">
      <c r="A79" t="s">
        <v>206</v>
      </c>
      <c r="B79" t="s">
        <v>326</v>
      </c>
      <c r="C79" t="b">
        <f>TRUE()</f>
        <v>1</v>
      </c>
      <c r="E79" t="b">
        <f>TRUE()</f>
        <v>1</v>
      </c>
    </row>
    <row r="80" spans="1:5">
      <c r="A80" t="s">
        <v>208</v>
      </c>
      <c r="B80" t="s">
        <v>209</v>
      </c>
      <c r="C80" t="b">
        <f>TRUE()</f>
        <v>1</v>
      </c>
      <c r="E80" t="b">
        <f>TRUE()</f>
        <v>1</v>
      </c>
    </row>
    <row r="81" spans="1:5">
      <c r="A81" t="s">
        <v>210</v>
      </c>
      <c r="B81" t="s">
        <v>211</v>
      </c>
      <c r="C81" t="b">
        <f>TRUE()</f>
        <v>1</v>
      </c>
      <c r="E81" t="b">
        <f>TRUE()</f>
        <v>1</v>
      </c>
    </row>
    <row r="82" spans="1:5">
      <c r="A82" t="s">
        <v>212</v>
      </c>
      <c r="B82" t="s">
        <v>360</v>
      </c>
      <c r="C82" t="b">
        <f>TRUE()</f>
        <v>1</v>
      </c>
      <c r="E82" t="b">
        <f>TRUE()</f>
        <v>1</v>
      </c>
    </row>
    <row r="83" spans="1:5">
      <c r="A83" t="s">
        <v>213</v>
      </c>
      <c r="B83" t="s">
        <v>321</v>
      </c>
      <c r="C83" t="b">
        <f>TRUE()</f>
        <v>1</v>
      </c>
      <c r="E83" t="b">
        <f>TRUE()</f>
        <v>1</v>
      </c>
    </row>
    <row r="84" spans="1:5">
      <c r="A84" t="s">
        <v>214</v>
      </c>
      <c r="B84" t="s">
        <v>169</v>
      </c>
      <c r="C84" t="s">
        <v>2</v>
      </c>
      <c r="E84" t="b">
        <v>0</v>
      </c>
    </row>
    <row r="85" spans="1:5">
      <c r="A85" t="s">
        <v>215</v>
      </c>
      <c r="B85" t="s">
        <v>341</v>
      </c>
      <c r="C85" t="b">
        <f>TRUE()</f>
        <v>1</v>
      </c>
      <c r="E85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1"/>
  <sheetViews>
    <sheetView topLeftCell="B102" zoomScaleNormal="100" workbookViewId="0">
      <selection activeCell="E121" sqref="E121"/>
    </sheetView>
  </sheetViews>
  <sheetFormatPr defaultColWidth="8.5703125" defaultRowHeight="15"/>
  <cols>
    <col min="1" max="1" width="44.28515625" customWidth="1"/>
    <col min="2" max="2" width="33.28515625" customWidth="1"/>
  </cols>
  <sheetData>
    <row r="1" spans="1:5">
      <c r="A1" s="1" t="s">
        <v>17</v>
      </c>
      <c r="B1" s="1" t="s">
        <v>18</v>
      </c>
      <c r="C1" t="s">
        <v>19</v>
      </c>
      <c r="D1" t="s">
        <v>20</v>
      </c>
      <c r="E1" t="s">
        <v>21</v>
      </c>
    </row>
    <row r="2" spans="1:5">
      <c r="A2" t="s">
        <v>22</v>
      </c>
      <c r="B2" t="s">
        <v>23</v>
      </c>
      <c r="C2" t="b">
        <f>TRUE()</f>
        <v>1</v>
      </c>
      <c r="E2" t="b">
        <f>TRUE()</f>
        <v>1</v>
      </c>
    </row>
    <row r="3" spans="1:5">
      <c r="A3" t="s">
        <v>24</v>
      </c>
      <c r="B3" t="s">
        <v>25</v>
      </c>
      <c r="C3" t="b">
        <f>TRUE()</f>
        <v>1</v>
      </c>
      <c r="E3" t="b">
        <f>TRUE()</f>
        <v>1</v>
      </c>
    </row>
    <row r="4" spans="1:5">
      <c r="A4" t="s">
        <v>26</v>
      </c>
      <c r="B4" t="s">
        <v>361</v>
      </c>
      <c r="C4" t="b">
        <f>TRUE()</f>
        <v>1</v>
      </c>
      <c r="E4" t="b">
        <f>TRUE()</f>
        <v>1</v>
      </c>
    </row>
    <row r="5" spans="1:5">
      <c r="A5" t="s">
        <v>28</v>
      </c>
      <c r="B5" t="s">
        <v>315</v>
      </c>
      <c r="C5" t="b">
        <f>TRUE()</f>
        <v>1</v>
      </c>
      <c r="E5" t="b">
        <f>TRUE()</f>
        <v>1</v>
      </c>
    </row>
    <row r="6" spans="1:5">
      <c r="A6" t="s">
        <v>30</v>
      </c>
      <c r="B6" t="s">
        <v>362</v>
      </c>
      <c r="C6" t="b">
        <f>FALSE()</f>
        <v>0</v>
      </c>
      <c r="E6" t="b">
        <f>FALSE()</f>
        <v>0</v>
      </c>
    </row>
    <row r="7" spans="1:5">
      <c r="A7" t="s">
        <v>32</v>
      </c>
      <c r="B7" t="s">
        <v>236</v>
      </c>
      <c r="C7" t="b">
        <f>TRUE()</f>
        <v>1</v>
      </c>
      <c r="E7" t="b">
        <f>TRUE()</f>
        <v>1</v>
      </c>
    </row>
    <row r="8" spans="1:5">
      <c r="A8" t="s">
        <v>34</v>
      </c>
      <c r="B8" t="s">
        <v>35</v>
      </c>
      <c r="C8" t="b">
        <f>TRUE()</f>
        <v>1</v>
      </c>
      <c r="E8" t="b">
        <f>TRUE()</f>
        <v>1</v>
      </c>
    </row>
    <row r="9" spans="1:5">
      <c r="A9" t="s">
        <v>36</v>
      </c>
      <c r="B9" t="s">
        <v>37</v>
      </c>
      <c r="C9" t="b">
        <f>TRUE()</f>
        <v>1</v>
      </c>
      <c r="E9" t="b">
        <f>TRUE()</f>
        <v>1</v>
      </c>
    </row>
    <row r="10" spans="1:5">
      <c r="A10" t="s">
        <v>38</v>
      </c>
      <c r="B10" t="s">
        <v>324</v>
      </c>
      <c r="C10" t="b">
        <f>TRUE()</f>
        <v>1</v>
      </c>
      <c r="E10" t="b">
        <f>TRUE()</f>
        <v>1</v>
      </c>
    </row>
    <row r="11" spans="1:5">
      <c r="A11" t="s">
        <v>40</v>
      </c>
      <c r="B11" t="s">
        <v>315</v>
      </c>
      <c r="C11" t="b">
        <f>TRUE()</f>
        <v>1</v>
      </c>
      <c r="E11" t="b">
        <f>TRUE()</f>
        <v>1</v>
      </c>
    </row>
    <row r="12" spans="1:5" ht="31.35">
      <c r="A12" t="s">
        <v>42</v>
      </c>
      <c r="B12" s="2" t="s">
        <v>363</v>
      </c>
      <c r="C12" t="b">
        <f>FALSE()</f>
        <v>0</v>
      </c>
      <c r="E12" t="b">
        <f>FALSE()</f>
        <v>0</v>
      </c>
    </row>
    <row r="13" spans="1:5">
      <c r="A13" t="s">
        <v>44</v>
      </c>
      <c r="B13" t="s">
        <v>364</v>
      </c>
      <c r="C13" t="b">
        <f>FALSE()</f>
        <v>0</v>
      </c>
      <c r="E13" t="b">
        <f>FALSE()</f>
        <v>0</v>
      </c>
    </row>
    <row r="14" spans="1:5">
      <c r="A14" t="s">
        <v>46</v>
      </c>
      <c r="B14" t="s">
        <v>47</v>
      </c>
      <c r="C14" t="b">
        <f>TRUE()</f>
        <v>1</v>
      </c>
      <c r="E14" t="b">
        <f>TRUE()</f>
        <v>1</v>
      </c>
    </row>
    <row r="15" spans="1:5">
      <c r="A15" t="s">
        <v>48</v>
      </c>
      <c r="B15" t="s">
        <v>49</v>
      </c>
      <c r="C15" t="b">
        <f>TRUE()</f>
        <v>1</v>
      </c>
      <c r="E15" t="b">
        <f>TRUE()</f>
        <v>1</v>
      </c>
    </row>
    <row r="16" spans="1:5">
      <c r="A16" t="s">
        <v>50</v>
      </c>
      <c r="B16" t="s">
        <v>365</v>
      </c>
      <c r="C16" t="b">
        <f>TRUE()</f>
        <v>1</v>
      </c>
      <c r="E16" t="b">
        <f>TRUE()</f>
        <v>1</v>
      </c>
    </row>
    <row r="17" spans="1:5">
      <c r="A17" t="s">
        <v>52</v>
      </c>
      <c r="B17" t="s">
        <v>315</v>
      </c>
      <c r="C17" t="b">
        <f>TRUE()</f>
        <v>1</v>
      </c>
      <c r="E17" t="b">
        <f>TRUE()</f>
        <v>1</v>
      </c>
    </row>
    <row r="18" spans="1:5">
      <c r="A18" t="s">
        <v>54</v>
      </c>
      <c r="B18" t="s">
        <v>328</v>
      </c>
      <c r="C18" t="b">
        <f>FALSE()</f>
        <v>0</v>
      </c>
      <c r="E18" t="b">
        <f>FALSE()</f>
        <v>0</v>
      </c>
    </row>
    <row r="19" spans="1:5">
      <c r="A19" t="s">
        <v>56</v>
      </c>
      <c r="B19" t="s">
        <v>366</v>
      </c>
      <c r="C19" t="b">
        <f>TRUE()</f>
        <v>1</v>
      </c>
      <c r="E19" t="b">
        <f>TRUE()</f>
        <v>1</v>
      </c>
    </row>
    <row r="20" spans="1:5">
      <c r="A20" t="s">
        <v>98</v>
      </c>
      <c r="B20" t="s">
        <v>99</v>
      </c>
      <c r="C20" t="b">
        <f>TRUE()</f>
        <v>1</v>
      </c>
      <c r="E20" t="b">
        <f>TRUE()</f>
        <v>1</v>
      </c>
    </row>
    <row r="21" spans="1:5">
      <c r="A21" t="s">
        <v>100</v>
      </c>
      <c r="B21" t="s">
        <v>101</v>
      </c>
      <c r="C21" t="b">
        <f>TRUE()</f>
        <v>1</v>
      </c>
      <c r="E21" t="b">
        <f>TRUE()</f>
        <v>1</v>
      </c>
    </row>
    <row r="22" spans="1:5">
      <c r="A22" t="s">
        <v>102</v>
      </c>
      <c r="B22" t="s">
        <v>367</v>
      </c>
      <c r="C22" t="b">
        <f>TRUE()</f>
        <v>1</v>
      </c>
      <c r="E22" t="b">
        <f>TRUE()</f>
        <v>1</v>
      </c>
    </row>
    <row r="23" spans="1:5">
      <c r="A23" t="s">
        <v>104</v>
      </c>
      <c r="B23" t="s">
        <v>315</v>
      </c>
      <c r="C23" t="b">
        <f>TRUE()</f>
        <v>1</v>
      </c>
      <c r="E23" t="b">
        <f>TRUE()</f>
        <v>1</v>
      </c>
    </row>
    <row r="24" spans="1:5">
      <c r="A24" t="s">
        <v>106</v>
      </c>
      <c r="B24" t="s">
        <v>368</v>
      </c>
      <c r="C24" t="s">
        <v>2</v>
      </c>
      <c r="E24" t="b">
        <v>0</v>
      </c>
    </row>
    <row r="25" spans="1:5">
      <c r="A25" t="s">
        <v>108</v>
      </c>
      <c r="B25" t="s">
        <v>341</v>
      </c>
      <c r="C25" t="b">
        <f>TRUE()</f>
        <v>1</v>
      </c>
      <c r="E25" t="b">
        <f>TRUE()</f>
        <v>1</v>
      </c>
    </row>
    <row r="26" spans="1:5">
      <c r="A26" t="s">
        <v>110</v>
      </c>
      <c r="B26" t="s">
        <v>111</v>
      </c>
      <c r="C26" t="b">
        <f>TRUE()</f>
        <v>1</v>
      </c>
      <c r="E26" t="b">
        <f>TRUE()</f>
        <v>1</v>
      </c>
    </row>
    <row r="27" spans="1:5">
      <c r="A27" t="s">
        <v>112</v>
      </c>
      <c r="B27" t="s">
        <v>113</v>
      </c>
      <c r="C27" t="b">
        <f>TRUE()</f>
        <v>1</v>
      </c>
      <c r="E27" t="b">
        <f>TRUE()</f>
        <v>1</v>
      </c>
    </row>
    <row r="28" spans="1:5">
      <c r="A28" t="s">
        <v>114</v>
      </c>
      <c r="B28" t="s">
        <v>369</v>
      </c>
      <c r="C28" t="b">
        <f>TRUE()</f>
        <v>1</v>
      </c>
      <c r="E28" t="b">
        <f>TRUE()</f>
        <v>1</v>
      </c>
    </row>
    <row r="29" spans="1:5">
      <c r="A29" t="s">
        <v>116</v>
      </c>
      <c r="B29" t="s">
        <v>318</v>
      </c>
      <c r="C29" t="b">
        <f>TRUE()</f>
        <v>1</v>
      </c>
      <c r="E29" t="b">
        <f>TRUE()</f>
        <v>1</v>
      </c>
    </row>
    <row r="30" spans="1:5">
      <c r="A30" t="s">
        <v>118</v>
      </c>
      <c r="B30" t="s">
        <v>332</v>
      </c>
      <c r="C30" t="b">
        <f>FALSE()</f>
        <v>0</v>
      </c>
      <c r="E30" t="b">
        <f>FALSE()</f>
        <v>0</v>
      </c>
    </row>
    <row r="31" spans="1:5">
      <c r="A31" t="s">
        <v>120</v>
      </c>
      <c r="B31" t="s">
        <v>355</v>
      </c>
      <c r="C31" t="b">
        <f>FALSE()</f>
        <v>0</v>
      </c>
      <c r="E31" t="b">
        <f>FALSE()</f>
        <v>0</v>
      </c>
    </row>
    <row r="32" spans="1:5">
      <c r="A32" t="s">
        <v>160</v>
      </c>
      <c r="B32" t="s">
        <v>161</v>
      </c>
      <c r="C32" t="b">
        <f>TRUE()</f>
        <v>1</v>
      </c>
      <c r="E32" t="b">
        <f>TRUE()</f>
        <v>1</v>
      </c>
    </row>
    <row r="33" spans="1:5">
      <c r="A33" t="s">
        <v>162</v>
      </c>
      <c r="B33" t="s">
        <v>163</v>
      </c>
      <c r="C33" t="b">
        <f>TRUE()</f>
        <v>1</v>
      </c>
      <c r="E33" t="b">
        <f>TRUE()</f>
        <v>1</v>
      </c>
    </row>
    <row r="34" spans="1:5">
      <c r="A34" t="s">
        <v>164</v>
      </c>
      <c r="B34" t="s">
        <v>370</v>
      </c>
      <c r="C34" t="b">
        <f>TRUE()</f>
        <v>1</v>
      </c>
      <c r="E34" t="b">
        <f>TRUE()</f>
        <v>1</v>
      </c>
    </row>
    <row r="35" spans="1:5">
      <c r="A35" t="s">
        <v>166</v>
      </c>
      <c r="B35" t="s">
        <v>315</v>
      </c>
      <c r="C35" t="b">
        <f>TRUE()</f>
        <v>1</v>
      </c>
      <c r="E35" t="b">
        <f>TRUE()</f>
        <v>1</v>
      </c>
    </row>
    <row r="36" spans="1:5" ht="31.35">
      <c r="A36" t="s">
        <v>168</v>
      </c>
      <c r="B36" s="2" t="s">
        <v>346</v>
      </c>
      <c r="C36" t="b">
        <f>FALSE()</f>
        <v>0</v>
      </c>
      <c r="E36" t="b">
        <f>FALSE()</f>
        <v>0</v>
      </c>
    </row>
    <row r="37" spans="1:5">
      <c r="A37" t="s">
        <v>170</v>
      </c>
      <c r="B37" t="s">
        <v>364</v>
      </c>
      <c r="C37" t="b">
        <f>FALSE()</f>
        <v>0</v>
      </c>
      <c r="E37" t="b">
        <f>FALSE()</f>
        <v>0</v>
      </c>
    </row>
    <row r="38" spans="1:5">
      <c r="A38" t="s">
        <v>172</v>
      </c>
      <c r="B38" t="s">
        <v>173</v>
      </c>
      <c r="C38" t="b">
        <f>TRUE()</f>
        <v>1</v>
      </c>
      <c r="E38" t="b">
        <f>TRUE()</f>
        <v>1</v>
      </c>
    </row>
    <row r="39" spans="1:5">
      <c r="A39" t="s">
        <v>174</v>
      </c>
      <c r="B39" t="s">
        <v>175</v>
      </c>
      <c r="C39" t="b">
        <f>TRUE()</f>
        <v>1</v>
      </c>
      <c r="E39" t="b">
        <f>TRUE()</f>
        <v>1</v>
      </c>
    </row>
    <row r="40" spans="1:5">
      <c r="A40" t="s">
        <v>176</v>
      </c>
      <c r="B40" t="s">
        <v>370</v>
      </c>
      <c r="C40" t="b">
        <f>TRUE()</f>
        <v>1</v>
      </c>
      <c r="E40" t="b">
        <f>TRUE()</f>
        <v>1</v>
      </c>
    </row>
    <row r="41" spans="1:5">
      <c r="A41" t="s">
        <v>177</v>
      </c>
      <c r="B41" t="s">
        <v>315</v>
      </c>
      <c r="C41" t="b">
        <f>TRUE()</f>
        <v>1</v>
      </c>
      <c r="E41" t="b">
        <f>TRUE()</f>
        <v>1</v>
      </c>
    </row>
    <row r="42" spans="1:5">
      <c r="A42" t="s">
        <v>179</v>
      </c>
      <c r="B42" t="s">
        <v>348</v>
      </c>
      <c r="C42" t="b">
        <f>FALSE()</f>
        <v>0</v>
      </c>
      <c r="E42" t="b">
        <f>FALSE()</f>
        <v>0</v>
      </c>
    </row>
    <row r="43" spans="1:5">
      <c r="A43" t="s">
        <v>181</v>
      </c>
      <c r="B43" t="s">
        <v>341</v>
      </c>
      <c r="C43" t="b">
        <f>TRUE()</f>
        <v>1</v>
      </c>
      <c r="E43" t="b">
        <f>TRUE()</f>
        <v>1</v>
      </c>
    </row>
    <row r="44" spans="1:5">
      <c r="A44" t="s">
        <v>231</v>
      </c>
      <c r="B44" t="s">
        <v>232</v>
      </c>
      <c r="C44" t="b">
        <f>TRUE()</f>
        <v>1</v>
      </c>
      <c r="E44" t="b">
        <f>TRUE()</f>
        <v>1</v>
      </c>
    </row>
    <row r="45" spans="1:5">
      <c r="A45" t="s">
        <v>233</v>
      </c>
      <c r="B45" t="s">
        <v>234</v>
      </c>
      <c r="C45" t="b">
        <f>TRUE()</f>
        <v>1</v>
      </c>
      <c r="E45" t="b">
        <f>TRUE()</f>
        <v>1</v>
      </c>
    </row>
    <row r="46" spans="1:5">
      <c r="A46" t="s">
        <v>235</v>
      </c>
      <c r="B46" t="s">
        <v>371</v>
      </c>
      <c r="C46" t="b">
        <f>TRUE()</f>
        <v>1</v>
      </c>
      <c r="E46" t="b">
        <f>TRUE()</f>
        <v>1</v>
      </c>
    </row>
    <row r="47" spans="1:5">
      <c r="A47" t="s">
        <v>237</v>
      </c>
      <c r="B47" t="s">
        <v>315</v>
      </c>
      <c r="C47" t="b">
        <f>TRUE()</f>
        <v>1</v>
      </c>
      <c r="E47" t="b">
        <f>TRUE()</f>
        <v>1</v>
      </c>
    </row>
    <row r="48" spans="1:5">
      <c r="A48" t="s">
        <v>239</v>
      </c>
      <c r="B48" t="s">
        <v>372</v>
      </c>
      <c r="C48" t="b">
        <f>FALSE()</f>
        <v>0</v>
      </c>
      <c r="E48" t="b">
        <f>FALSE()</f>
        <v>0</v>
      </c>
    </row>
    <row r="49" spans="1:5">
      <c r="A49" t="s">
        <v>240</v>
      </c>
      <c r="B49" t="s">
        <v>355</v>
      </c>
      <c r="C49" t="b">
        <f>FALSE()</f>
        <v>0</v>
      </c>
      <c r="E49" t="b">
        <f>FALSE()</f>
        <v>0</v>
      </c>
    </row>
    <row r="50" spans="1:5">
      <c r="A50" t="s">
        <v>242</v>
      </c>
      <c r="B50" t="s">
        <v>243</v>
      </c>
      <c r="C50" t="b">
        <f>TRUE()</f>
        <v>1</v>
      </c>
      <c r="E50" t="b">
        <f>TRUE()</f>
        <v>1</v>
      </c>
    </row>
    <row r="51" spans="1:5">
      <c r="A51" t="s">
        <v>244</v>
      </c>
      <c r="B51" t="s">
        <v>245</v>
      </c>
      <c r="C51" t="b">
        <f>TRUE()</f>
        <v>1</v>
      </c>
      <c r="E51" t="b">
        <f>TRUE()</f>
        <v>1</v>
      </c>
    </row>
    <row r="52" spans="1:5">
      <c r="A52" t="s">
        <v>246</v>
      </c>
      <c r="B52" t="s">
        <v>373</v>
      </c>
      <c r="C52" t="b">
        <f>TRUE()</f>
        <v>1</v>
      </c>
      <c r="E52" t="b">
        <f>TRUE()</f>
        <v>1</v>
      </c>
    </row>
    <row r="53" spans="1:5">
      <c r="A53" t="s">
        <v>248</v>
      </c>
      <c r="B53" t="s">
        <v>315</v>
      </c>
      <c r="C53" t="b">
        <f>TRUE()</f>
        <v>1</v>
      </c>
      <c r="E53" t="b">
        <f>TRUE()</f>
        <v>1</v>
      </c>
    </row>
    <row r="54" spans="1:5">
      <c r="A54" t="s">
        <v>250</v>
      </c>
      <c r="B54" t="s">
        <v>249</v>
      </c>
      <c r="C54" t="b">
        <f>FALSE()</f>
        <v>0</v>
      </c>
      <c r="E54" t="b">
        <f>FALSE()</f>
        <v>0</v>
      </c>
    </row>
    <row r="55" spans="1:5">
      <c r="A55" t="s">
        <v>251</v>
      </c>
      <c r="B55" t="s">
        <v>329</v>
      </c>
      <c r="C55" t="b">
        <f>TRUE()</f>
        <v>1</v>
      </c>
      <c r="E55" t="b">
        <f>TRUE()</f>
        <v>1</v>
      </c>
    </row>
    <row r="56" spans="1:5">
      <c r="A56" t="s">
        <v>253</v>
      </c>
      <c r="B56" t="s">
        <v>254</v>
      </c>
      <c r="C56" t="b">
        <f>TRUE()</f>
        <v>1</v>
      </c>
      <c r="E56" t="b">
        <f>TRUE()</f>
        <v>1</v>
      </c>
    </row>
    <row r="57" spans="1:5">
      <c r="A57" t="s">
        <v>255</v>
      </c>
      <c r="B57" t="s">
        <v>256</v>
      </c>
      <c r="C57" t="b">
        <f>TRUE()</f>
        <v>1</v>
      </c>
      <c r="E57" t="b">
        <f>TRUE()</f>
        <v>1</v>
      </c>
    </row>
    <row r="58" spans="1:5">
      <c r="A58" t="s">
        <v>257</v>
      </c>
      <c r="B58" t="s">
        <v>374</v>
      </c>
      <c r="C58" t="b">
        <f>FALSE()</f>
        <v>0</v>
      </c>
      <c r="E58" t="b">
        <f>FALSE()</f>
        <v>0</v>
      </c>
    </row>
    <row r="59" spans="1:5">
      <c r="A59" t="s">
        <v>258</v>
      </c>
      <c r="B59" t="s">
        <v>318</v>
      </c>
      <c r="C59" t="b">
        <f>TRUE()</f>
        <v>1</v>
      </c>
      <c r="E59" t="b">
        <f>TRUE()</f>
        <v>1</v>
      </c>
    </row>
    <row r="60" spans="1:5">
      <c r="A60" t="s">
        <v>260</v>
      </c>
      <c r="B60" t="s">
        <v>261</v>
      </c>
      <c r="C60" t="s">
        <v>2</v>
      </c>
      <c r="E60" t="b">
        <v>0</v>
      </c>
    </row>
    <row r="61" spans="1:5">
      <c r="A61" t="s">
        <v>262</v>
      </c>
      <c r="B61" t="s">
        <v>375</v>
      </c>
      <c r="C61" t="b">
        <f>FALSE()</f>
        <v>0</v>
      </c>
      <c r="E61" t="b">
        <f>FALSE()</f>
        <v>0</v>
      </c>
    </row>
    <row r="62" spans="1:5">
      <c r="A62" t="s">
        <v>57</v>
      </c>
      <c r="B62" t="s">
        <v>58</v>
      </c>
      <c r="C62" t="b">
        <f>TRUE()</f>
        <v>1</v>
      </c>
      <c r="E62" t="b">
        <f>TRUE()</f>
        <v>1</v>
      </c>
    </row>
    <row r="63" spans="1:5">
      <c r="A63" t="s">
        <v>59</v>
      </c>
      <c r="B63" t="s">
        <v>60</v>
      </c>
      <c r="C63" t="b">
        <f>TRUE()</f>
        <v>1</v>
      </c>
      <c r="E63" t="b">
        <f>TRUE()</f>
        <v>1</v>
      </c>
    </row>
    <row r="64" spans="1:5">
      <c r="A64" t="s">
        <v>61</v>
      </c>
      <c r="B64" t="s">
        <v>353</v>
      </c>
      <c r="C64" t="b">
        <f>TRUE()</f>
        <v>1</v>
      </c>
      <c r="E64" t="b">
        <f>TRUE()</f>
        <v>1</v>
      </c>
    </row>
    <row r="65" spans="1:5">
      <c r="A65" t="s">
        <v>63</v>
      </c>
      <c r="B65" t="s">
        <v>321</v>
      </c>
      <c r="C65" t="b">
        <f>TRUE()</f>
        <v>1</v>
      </c>
      <c r="E65" t="b">
        <f>TRUE()</f>
        <v>1</v>
      </c>
    </row>
    <row r="66" spans="1:5">
      <c r="A66" t="s">
        <v>65</v>
      </c>
      <c r="B66" t="s">
        <v>349</v>
      </c>
      <c r="C66" t="b">
        <f>FALSE()</f>
        <v>0</v>
      </c>
      <c r="E66" t="b">
        <f>FALSE()</f>
        <v>0</v>
      </c>
    </row>
    <row r="67" spans="1:5">
      <c r="A67" t="s">
        <v>67</v>
      </c>
      <c r="B67" t="s">
        <v>355</v>
      </c>
      <c r="C67" t="b">
        <f>FALSE()</f>
        <v>0</v>
      </c>
      <c r="E67" t="b">
        <f>FALSE()</f>
        <v>0</v>
      </c>
    </row>
    <row r="68" spans="1:5">
      <c r="A68" t="s">
        <v>69</v>
      </c>
      <c r="B68" t="s">
        <v>70</v>
      </c>
      <c r="C68" t="b">
        <f>TRUE()</f>
        <v>1</v>
      </c>
      <c r="E68" t="b">
        <f>TRUE()</f>
        <v>1</v>
      </c>
    </row>
    <row r="69" spans="1:5">
      <c r="A69" t="s">
        <v>71</v>
      </c>
      <c r="B69" t="s">
        <v>72</v>
      </c>
      <c r="C69" t="b">
        <f>TRUE()</f>
        <v>1</v>
      </c>
      <c r="E69" t="b">
        <f>TRUE()</f>
        <v>1</v>
      </c>
    </row>
    <row r="70" spans="1:5">
      <c r="A70" t="s">
        <v>73</v>
      </c>
      <c r="B70" t="s">
        <v>265</v>
      </c>
      <c r="C70" t="b">
        <f>TRUE()</f>
        <v>1</v>
      </c>
      <c r="E70" t="b">
        <f>TRUE()</f>
        <v>1</v>
      </c>
    </row>
    <row r="71" spans="1:5">
      <c r="A71" t="s">
        <v>75</v>
      </c>
      <c r="B71" t="s">
        <v>321</v>
      </c>
      <c r="C71" t="b">
        <f>TRUE()</f>
        <v>1</v>
      </c>
      <c r="E71" t="b">
        <f>TRUE()</f>
        <v>1</v>
      </c>
    </row>
    <row r="72" spans="1:5" ht="31.35">
      <c r="A72" t="s">
        <v>77</v>
      </c>
      <c r="B72" s="2" t="s">
        <v>376</v>
      </c>
      <c r="C72" t="s">
        <v>2</v>
      </c>
      <c r="E72" t="b">
        <v>0</v>
      </c>
    </row>
    <row r="73" spans="1:5">
      <c r="A73" t="s">
        <v>79</v>
      </c>
      <c r="B73" t="s">
        <v>341</v>
      </c>
      <c r="C73" t="b">
        <f>TRUE()</f>
        <v>1</v>
      </c>
      <c r="E73" t="b">
        <f>TRUE()</f>
        <v>1</v>
      </c>
    </row>
    <row r="74" spans="1:5">
      <c r="A74" t="s">
        <v>80</v>
      </c>
      <c r="B74" t="s">
        <v>81</v>
      </c>
      <c r="C74" t="b">
        <f>TRUE()</f>
        <v>1</v>
      </c>
      <c r="E74" t="b">
        <f>TRUE()</f>
        <v>1</v>
      </c>
    </row>
    <row r="75" spans="1:5">
      <c r="A75" t="s">
        <v>82</v>
      </c>
      <c r="B75" t="s">
        <v>83</v>
      </c>
      <c r="C75" t="b">
        <f>TRUE()</f>
        <v>1</v>
      </c>
      <c r="E75" t="b">
        <f>TRUE()</f>
        <v>1</v>
      </c>
    </row>
    <row r="76" spans="1:5">
      <c r="A76" t="s">
        <v>84</v>
      </c>
      <c r="B76" t="s">
        <v>377</v>
      </c>
      <c r="C76" t="b">
        <f>TRUE()</f>
        <v>1</v>
      </c>
      <c r="E76" t="b">
        <f>TRUE()</f>
        <v>1</v>
      </c>
    </row>
    <row r="77" spans="1:5">
      <c r="A77" t="s">
        <v>86</v>
      </c>
      <c r="B77" t="s">
        <v>321</v>
      </c>
      <c r="C77" t="b">
        <f>TRUE()</f>
        <v>1</v>
      </c>
      <c r="E77" t="b">
        <f>TRUE()</f>
        <v>1</v>
      </c>
    </row>
    <row r="78" spans="1:5">
      <c r="A78" t="s">
        <v>88</v>
      </c>
      <c r="B78" t="s">
        <v>269</v>
      </c>
      <c r="C78" t="s">
        <v>2</v>
      </c>
      <c r="E78" t="b">
        <v>0</v>
      </c>
    </row>
    <row r="79" spans="1:5">
      <c r="A79" t="s">
        <v>90</v>
      </c>
      <c r="B79" t="s">
        <v>236</v>
      </c>
      <c r="C79" t="b">
        <f>TRUE()</f>
        <v>1</v>
      </c>
      <c r="E79" t="b">
        <f>TRUE()</f>
        <v>1</v>
      </c>
    </row>
    <row r="80" spans="1:5">
      <c r="A80" t="s">
        <v>126</v>
      </c>
      <c r="B80" t="s">
        <v>127</v>
      </c>
      <c r="C80" t="b">
        <f>TRUE()</f>
        <v>1</v>
      </c>
      <c r="E80" t="b">
        <f>TRUE()</f>
        <v>1</v>
      </c>
    </row>
    <row r="81" spans="1:5">
      <c r="A81" t="s">
        <v>128</v>
      </c>
      <c r="B81" t="s">
        <v>129</v>
      </c>
      <c r="C81" t="b">
        <f>TRUE()</f>
        <v>1</v>
      </c>
      <c r="E81" t="b">
        <f>TRUE()</f>
        <v>1</v>
      </c>
    </row>
    <row r="82" spans="1:5">
      <c r="A82" t="s">
        <v>130</v>
      </c>
      <c r="B82" t="s">
        <v>270</v>
      </c>
      <c r="C82" t="b">
        <f>TRUE()</f>
        <v>1</v>
      </c>
      <c r="E82" t="b">
        <f>TRUE()</f>
        <v>1</v>
      </c>
    </row>
    <row r="83" spans="1:5">
      <c r="A83" t="s">
        <v>132</v>
      </c>
      <c r="B83" t="s">
        <v>321</v>
      </c>
      <c r="C83" t="b">
        <f>TRUE()</f>
        <v>1</v>
      </c>
      <c r="E83" t="b">
        <f>TRUE()</f>
        <v>1</v>
      </c>
    </row>
    <row r="84" spans="1:5">
      <c r="A84" t="s">
        <v>134</v>
      </c>
      <c r="B84" t="s">
        <v>378</v>
      </c>
      <c r="C84" t="s">
        <v>2</v>
      </c>
      <c r="E84" t="b">
        <v>0</v>
      </c>
    </row>
    <row r="85" spans="1:5">
      <c r="A85" t="s">
        <v>135</v>
      </c>
      <c r="B85" t="s">
        <v>379</v>
      </c>
      <c r="C85" t="b">
        <f>TRUE()</f>
        <v>1</v>
      </c>
      <c r="E85" t="b">
        <f>TRUE()</f>
        <v>1</v>
      </c>
    </row>
    <row r="86" spans="1:5">
      <c r="A86" t="s">
        <v>136</v>
      </c>
      <c r="B86" t="s">
        <v>137</v>
      </c>
      <c r="C86" t="b">
        <f>TRUE()</f>
        <v>1</v>
      </c>
      <c r="E86" t="b">
        <f>TRUE()</f>
        <v>1</v>
      </c>
    </row>
    <row r="87" spans="1:5">
      <c r="A87" t="s">
        <v>138</v>
      </c>
      <c r="B87" t="s">
        <v>139</v>
      </c>
      <c r="C87" t="b">
        <f>TRUE()</f>
        <v>1</v>
      </c>
      <c r="E87" t="b">
        <f>TRUE()</f>
        <v>1</v>
      </c>
    </row>
    <row r="88" spans="1:5">
      <c r="A88" t="s">
        <v>140</v>
      </c>
      <c r="B88" t="s">
        <v>380</v>
      </c>
      <c r="C88" t="b">
        <f>TRUE()</f>
        <v>1</v>
      </c>
      <c r="E88" t="b">
        <f>TRUE()</f>
        <v>1</v>
      </c>
    </row>
    <row r="89" spans="1:5">
      <c r="A89" t="s">
        <v>142</v>
      </c>
      <c r="B89" t="s">
        <v>321</v>
      </c>
      <c r="C89" t="b">
        <f>TRUE()</f>
        <v>1</v>
      </c>
      <c r="E89" t="b">
        <f>TRUE()</f>
        <v>1</v>
      </c>
    </row>
    <row r="90" spans="1:5" ht="31.35">
      <c r="A90" t="s">
        <v>144</v>
      </c>
      <c r="B90" s="2" t="s">
        <v>381</v>
      </c>
      <c r="C90" t="b">
        <f>FALSE()</f>
        <v>0</v>
      </c>
      <c r="E90" t="b">
        <f>FALSE()</f>
        <v>0</v>
      </c>
    </row>
    <row r="91" spans="1:5">
      <c r="A91" t="s">
        <v>146</v>
      </c>
      <c r="B91" t="s">
        <v>236</v>
      </c>
      <c r="C91" t="b">
        <f>TRUE()</f>
        <v>1</v>
      </c>
      <c r="E91" t="b">
        <f>TRUE()</f>
        <v>1</v>
      </c>
    </row>
    <row r="92" spans="1:5">
      <c r="A92" t="s">
        <v>196</v>
      </c>
      <c r="B92" t="s">
        <v>197</v>
      </c>
      <c r="C92" t="b">
        <f>TRUE()</f>
        <v>1</v>
      </c>
      <c r="E92" t="b">
        <f>TRUE()</f>
        <v>1</v>
      </c>
    </row>
    <row r="93" spans="1:5">
      <c r="A93" t="s">
        <v>198</v>
      </c>
      <c r="B93" t="s">
        <v>199</v>
      </c>
      <c r="C93" t="b">
        <f>TRUE()</f>
        <v>1</v>
      </c>
      <c r="E93" t="b">
        <f>TRUE()</f>
        <v>1</v>
      </c>
    </row>
    <row r="94" spans="1:5">
      <c r="A94" t="s">
        <v>200</v>
      </c>
      <c r="B94" t="s">
        <v>276</v>
      </c>
      <c r="C94" t="b">
        <f>TRUE()</f>
        <v>1</v>
      </c>
      <c r="E94" t="b">
        <f>TRUE()</f>
        <v>1</v>
      </c>
    </row>
    <row r="95" spans="1:5">
      <c r="A95" t="s">
        <v>202</v>
      </c>
      <c r="B95" t="s">
        <v>321</v>
      </c>
      <c r="C95" t="b">
        <f>TRUE()</f>
        <v>1</v>
      </c>
      <c r="E95" t="b">
        <f>TRUE()</f>
        <v>1</v>
      </c>
    </row>
    <row r="96" spans="1:5">
      <c r="A96" t="s">
        <v>204</v>
      </c>
      <c r="B96" t="s">
        <v>169</v>
      </c>
      <c r="C96" t="s">
        <v>2</v>
      </c>
      <c r="E96" t="b">
        <v>0</v>
      </c>
    </row>
    <row r="97" spans="1:5">
      <c r="A97" t="s">
        <v>206</v>
      </c>
      <c r="B97" t="s">
        <v>355</v>
      </c>
      <c r="C97" t="b">
        <f>FALSE()</f>
        <v>0</v>
      </c>
      <c r="E97" t="b">
        <f>FALSE()</f>
        <v>0</v>
      </c>
    </row>
    <row r="98" spans="1:5">
      <c r="A98" t="s">
        <v>208</v>
      </c>
      <c r="B98" t="s">
        <v>209</v>
      </c>
      <c r="C98" t="b">
        <f>TRUE()</f>
        <v>1</v>
      </c>
      <c r="E98" t="b">
        <f>TRUE()</f>
        <v>1</v>
      </c>
    </row>
    <row r="99" spans="1:5">
      <c r="A99" t="s">
        <v>210</v>
      </c>
      <c r="B99" t="s">
        <v>211</v>
      </c>
      <c r="C99" t="b">
        <f>TRUE()</f>
        <v>1</v>
      </c>
      <c r="E99" t="b">
        <f>TRUE()</f>
        <v>1</v>
      </c>
    </row>
    <row r="100" spans="1:5">
      <c r="A100" t="s">
        <v>212</v>
      </c>
      <c r="B100" t="s">
        <v>330</v>
      </c>
      <c r="C100" t="b">
        <f>TRUE()</f>
        <v>1</v>
      </c>
      <c r="E100" t="b">
        <f>TRUE()</f>
        <v>1</v>
      </c>
    </row>
    <row r="101" spans="1:5">
      <c r="A101" t="s">
        <v>213</v>
      </c>
      <c r="B101" t="s">
        <v>321</v>
      </c>
      <c r="C101" t="b">
        <f>TRUE()</f>
        <v>1</v>
      </c>
      <c r="E101" t="b">
        <f>TRUE()</f>
        <v>1</v>
      </c>
    </row>
    <row r="102" spans="1:5">
      <c r="A102" t="s">
        <v>214</v>
      </c>
      <c r="B102" t="s">
        <v>279</v>
      </c>
      <c r="C102" t="b">
        <f>TRUE()</f>
        <v>1</v>
      </c>
      <c r="E102" t="b">
        <f>TRUE()</f>
        <v>1</v>
      </c>
    </row>
    <row r="103" spans="1:5">
      <c r="A103" t="s">
        <v>215</v>
      </c>
      <c r="B103" t="s">
        <v>316</v>
      </c>
      <c r="C103" t="b">
        <f>TRUE()</f>
        <v>1</v>
      </c>
      <c r="E103" t="b">
        <f>TRUE()</f>
        <v>1</v>
      </c>
    </row>
    <row r="104" spans="1:5">
      <c r="A104" t="s">
        <v>281</v>
      </c>
      <c r="B104" t="s">
        <v>282</v>
      </c>
      <c r="C104" t="b">
        <f>TRUE()</f>
        <v>1</v>
      </c>
      <c r="E104" t="b">
        <f>TRUE()</f>
        <v>1</v>
      </c>
    </row>
    <row r="105" spans="1:5">
      <c r="A105" t="s">
        <v>283</v>
      </c>
      <c r="B105" t="s">
        <v>284</v>
      </c>
      <c r="C105" t="b">
        <f>TRUE()</f>
        <v>1</v>
      </c>
      <c r="E105" t="b">
        <f>TRUE()</f>
        <v>1</v>
      </c>
    </row>
    <row r="106" spans="1:5">
      <c r="A106" t="s">
        <v>285</v>
      </c>
      <c r="B106" t="s">
        <v>347</v>
      </c>
      <c r="C106" t="b">
        <f>TRUE()</f>
        <v>1</v>
      </c>
      <c r="E106" t="b">
        <f>TRUE()</f>
        <v>1</v>
      </c>
    </row>
    <row r="107" spans="1:5">
      <c r="A107" t="s">
        <v>286</v>
      </c>
      <c r="B107" t="s">
        <v>321</v>
      </c>
      <c r="C107" t="b">
        <f>TRUE()</f>
        <v>1</v>
      </c>
      <c r="E107" t="b">
        <f>TRUE()</f>
        <v>1</v>
      </c>
    </row>
    <row r="108" spans="1:5">
      <c r="A108" t="s">
        <v>287</v>
      </c>
      <c r="B108" t="s">
        <v>382</v>
      </c>
      <c r="C108" t="b">
        <f>FALSE()</f>
        <v>0</v>
      </c>
      <c r="E108" t="b">
        <f>FALSE()</f>
        <v>0</v>
      </c>
    </row>
    <row r="109" spans="1:5">
      <c r="A109" t="s">
        <v>289</v>
      </c>
      <c r="B109" t="s">
        <v>366</v>
      </c>
      <c r="C109" t="b">
        <f>FALSE()</f>
        <v>0</v>
      </c>
      <c r="E109" t="b">
        <f>FALSE()</f>
        <v>0</v>
      </c>
    </row>
    <row r="110" spans="1:5">
      <c r="A110" t="s">
        <v>291</v>
      </c>
      <c r="B110" t="s">
        <v>292</v>
      </c>
      <c r="C110" t="b">
        <f>TRUE()</f>
        <v>1</v>
      </c>
      <c r="E110" t="b">
        <f>TRUE()</f>
        <v>1</v>
      </c>
    </row>
    <row r="111" spans="1:5">
      <c r="A111" t="s">
        <v>293</v>
      </c>
      <c r="B111" t="s">
        <v>294</v>
      </c>
      <c r="C111" t="b">
        <f>TRUE()</f>
        <v>1</v>
      </c>
      <c r="E111" t="b">
        <f>TRUE()</f>
        <v>1</v>
      </c>
    </row>
    <row r="112" spans="1:5">
      <c r="A112" t="s">
        <v>295</v>
      </c>
      <c r="B112" t="s">
        <v>296</v>
      </c>
      <c r="C112" t="b">
        <f>TRUE()</f>
        <v>1</v>
      </c>
      <c r="E112" t="b">
        <f>TRUE()</f>
        <v>1</v>
      </c>
    </row>
    <row r="113" spans="1:5">
      <c r="A113" t="s">
        <v>297</v>
      </c>
      <c r="B113" t="s">
        <v>321</v>
      </c>
      <c r="C113" t="b">
        <f>TRUE()</f>
        <v>1</v>
      </c>
      <c r="E113" t="b">
        <f>TRUE()</f>
        <v>1</v>
      </c>
    </row>
    <row r="114" spans="1:5">
      <c r="A114" t="s">
        <v>299</v>
      </c>
      <c r="B114" t="s">
        <v>300</v>
      </c>
      <c r="C114" t="s">
        <v>2</v>
      </c>
      <c r="E114" t="b">
        <v>0</v>
      </c>
    </row>
    <row r="115" spans="1:5">
      <c r="A115" t="s">
        <v>301</v>
      </c>
      <c r="B115" t="s">
        <v>326</v>
      </c>
      <c r="C115" t="b">
        <f>TRUE()</f>
        <v>1</v>
      </c>
      <c r="E115" t="b">
        <f>TRUE()</f>
        <v>1</v>
      </c>
    </row>
    <row r="116" spans="1:5">
      <c r="A116" t="s">
        <v>303</v>
      </c>
      <c r="B116" t="s">
        <v>304</v>
      </c>
      <c r="C116" t="b">
        <f>TRUE()</f>
        <v>1</v>
      </c>
      <c r="E116" t="b">
        <f>TRUE()</f>
        <v>1</v>
      </c>
    </row>
    <row r="117" spans="1:5">
      <c r="A117" t="s">
        <v>305</v>
      </c>
      <c r="B117" t="s">
        <v>306</v>
      </c>
      <c r="C117" t="b">
        <f>TRUE()</f>
        <v>1</v>
      </c>
      <c r="E117" t="b">
        <f>TRUE()</f>
        <v>1</v>
      </c>
    </row>
    <row r="118" spans="1:5">
      <c r="A118" t="s">
        <v>307</v>
      </c>
      <c r="B118" t="s">
        <v>308</v>
      </c>
      <c r="C118" t="b">
        <f>FALSE()</f>
        <v>0</v>
      </c>
      <c r="E118" t="b">
        <f>FALSE()</f>
        <v>0</v>
      </c>
    </row>
    <row r="119" spans="1:5">
      <c r="A119" t="s">
        <v>309</v>
      </c>
      <c r="B119" t="s">
        <v>322</v>
      </c>
      <c r="C119" t="b">
        <f>TRUE()</f>
        <v>1</v>
      </c>
      <c r="E119" t="b">
        <f>TRUE()</f>
        <v>1</v>
      </c>
    </row>
    <row r="120" spans="1:5">
      <c r="A120" t="s">
        <v>311</v>
      </c>
      <c r="B120" t="s">
        <v>312</v>
      </c>
      <c r="C120" t="b">
        <f>TRUE()</f>
        <v>1</v>
      </c>
      <c r="E120" t="b">
        <f>TRUE()</f>
        <v>1</v>
      </c>
    </row>
    <row r="121" spans="1:5">
      <c r="A121" t="s">
        <v>313</v>
      </c>
      <c r="B121" t="s">
        <v>316</v>
      </c>
      <c r="C121" t="b">
        <f>TRUE()</f>
        <v>1</v>
      </c>
      <c r="E1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8</cp:revision>
  <dcterms:created xsi:type="dcterms:W3CDTF">2026-06-19T12:09:55Z</dcterms:created>
  <dcterms:modified xsi:type="dcterms:W3CDTF">2026-09-16T15:27:13Z</dcterms:modified>
  <cp:category/>
  <cp:contentStatus/>
</cp:coreProperties>
</file>