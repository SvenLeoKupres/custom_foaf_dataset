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8" documentId="11_98C9BB6DA69F5887932BB2512D2EB185710721C7" xr6:coauthVersionLast="47" xr6:coauthVersionMax="47" xr10:uidLastSave="{507382EC-EEBB-4E8F-8BC3-8C2B1D50D1AC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E121" i="8"/>
  <c r="C121" i="8"/>
  <c r="E120" i="8"/>
  <c r="C120" i="8"/>
  <c r="E119" i="8"/>
  <c r="C119" i="8"/>
  <c r="E118" i="8"/>
  <c r="C118" i="8"/>
  <c r="E117" i="8"/>
  <c r="C117" i="8"/>
  <c r="E116" i="8"/>
  <c r="C116" i="8"/>
  <c r="E115" i="8"/>
  <c r="C115" i="8"/>
  <c r="E113" i="8"/>
  <c r="C113" i="8"/>
  <c r="E112" i="8"/>
  <c r="C112" i="8"/>
  <c r="E110" i="8"/>
  <c r="C110" i="8"/>
  <c r="E109" i="8"/>
  <c r="C109" i="8"/>
  <c r="E107" i="8"/>
  <c r="C107" i="8"/>
  <c r="E106" i="8"/>
  <c r="C106" i="8"/>
  <c r="E105" i="8"/>
  <c r="C105" i="8"/>
  <c r="E104" i="8"/>
  <c r="C104" i="8"/>
  <c r="E103" i="8"/>
  <c r="C103" i="8"/>
  <c r="E102" i="8"/>
  <c r="C102" i="8"/>
  <c r="E101" i="8"/>
  <c r="C101" i="8"/>
  <c r="E100" i="8"/>
  <c r="C100" i="8"/>
  <c r="E99" i="8"/>
  <c r="C99" i="8"/>
  <c r="E98" i="8"/>
  <c r="C98" i="8"/>
  <c r="E97" i="8"/>
  <c r="C97" i="8"/>
  <c r="E95" i="8"/>
  <c r="C95" i="8"/>
  <c r="E94" i="8"/>
  <c r="C94" i="8"/>
  <c r="E93" i="8"/>
  <c r="C93" i="8"/>
  <c r="E92" i="8"/>
  <c r="C92" i="8"/>
  <c r="E91" i="8"/>
  <c r="C91" i="8"/>
  <c r="E89" i="8"/>
  <c r="C89" i="8"/>
  <c r="E88" i="8"/>
  <c r="C88" i="8"/>
  <c r="E87" i="8"/>
  <c r="C87" i="8"/>
  <c r="E86" i="8"/>
  <c r="C86" i="8"/>
  <c r="E85" i="8"/>
  <c r="C85" i="8"/>
  <c r="E83" i="8"/>
  <c r="C83" i="8"/>
  <c r="E82" i="8"/>
  <c r="C82" i="8"/>
  <c r="E81" i="8"/>
  <c r="C81" i="8"/>
  <c r="E80" i="8"/>
  <c r="C80" i="8"/>
  <c r="E79" i="8"/>
  <c r="C79" i="8"/>
  <c r="E77" i="8"/>
  <c r="C77" i="8"/>
  <c r="E76" i="8"/>
  <c r="C76" i="8"/>
  <c r="E75" i="8"/>
  <c r="C75" i="8"/>
  <c r="E74" i="8"/>
  <c r="C74" i="8"/>
  <c r="E73" i="8"/>
  <c r="C73" i="8"/>
  <c r="E71" i="8"/>
  <c r="C71" i="8"/>
  <c r="E70" i="8"/>
  <c r="C70" i="8"/>
  <c r="E69" i="8"/>
  <c r="C69" i="8"/>
  <c r="E68" i="8"/>
  <c r="C68" i="8"/>
  <c r="E67" i="8"/>
  <c r="C67" i="8"/>
  <c r="E66" i="8"/>
  <c r="C66" i="8"/>
  <c r="E65" i="8"/>
  <c r="C65" i="8"/>
  <c r="E64" i="8"/>
  <c r="C64" i="8"/>
  <c r="E63" i="8"/>
  <c r="C63" i="8"/>
  <c r="E62" i="8"/>
  <c r="C62" i="8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C48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5" i="8"/>
  <c r="C35" i="8"/>
  <c r="E34" i="8"/>
  <c r="C34" i="8"/>
  <c r="E33" i="8"/>
  <c r="C33" i="8"/>
  <c r="E32" i="8"/>
  <c r="C32" i="8"/>
  <c r="E31" i="8"/>
  <c r="C31" i="8"/>
  <c r="E29" i="8"/>
  <c r="C29" i="8"/>
  <c r="E28" i="8"/>
  <c r="C28" i="8"/>
  <c r="E27" i="8"/>
  <c r="C27" i="8"/>
  <c r="E26" i="8"/>
  <c r="C26" i="8"/>
  <c r="E25" i="8"/>
  <c r="C25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5" i="8"/>
  <c r="C5" i="8"/>
  <c r="E4" i="8"/>
  <c r="C4" i="8"/>
  <c r="E3" i="8"/>
  <c r="C3" i="8"/>
  <c r="E2" i="8"/>
  <c r="C2" i="8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3" i="7"/>
  <c r="C113" i="7"/>
  <c r="E112" i="7"/>
  <c r="C112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C97" i="7"/>
  <c r="E95" i="7"/>
  <c r="C95" i="7"/>
  <c r="E94" i="7"/>
  <c r="C94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3" i="7"/>
  <c r="C83" i="7"/>
  <c r="E82" i="7"/>
  <c r="C82" i="7"/>
  <c r="E81" i="7"/>
  <c r="C81" i="7"/>
  <c r="E80" i="7"/>
  <c r="C80" i="7"/>
  <c r="E79" i="7"/>
  <c r="C79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3" i="7"/>
  <c r="C23" i="7"/>
  <c r="E22" i="7"/>
  <c r="C22" i="7"/>
  <c r="E21" i="7"/>
  <c r="C21" i="7"/>
  <c r="E20" i="7"/>
  <c r="C20" i="7"/>
  <c r="E19" i="7"/>
  <c r="C19" i="7"/>
  <c r="E17" i="7"/>
  <c r="C17" i="7"/>
  <c r="E16" i="7"/>
  <c r="C16" i="7"/>
  <c r="E15" i="7"/>
  <c r="C15" i="7"/>
  <c r="E14" i="7"/>
  <c r="C14" i="7"/>
  <c r="E13" i="7"/>
  <c r="C13" i="7"/>
  <c r="E11" i="7"/>
  <c r="C11" i="7"/>
  <c r="E10" i="7"/>
  <c r="C10" i="7"/>
  <c r="E9" i="7"/>
  <c r="C9" i="7"/>
  <c r="E8" i="7"/>
  <c r="C8" i="7"/>
  <c r="E7" i="7"/>
  <c r="C7" i="7"/>
  <c r="E5" i="7"/>
  <c r="C5" i="7"/>
  <c r="E4" i="7"/>
  <c r="C4" i="7"/>
  <c r="E3" i="7"/>
  <c r="C3" i="7"/>
  <c r="E2" i="7"/>
  <c r="C2" i="7"/>
  <c r="E121" i="6"/>
  <c r="C121" i="6"/>
  <c r="E119" i="6"/>
  <c r="C119" i="6"/>
  <c r="E118" i="6"/>
  <c r="C118" i="6"/>
  <c r="E117" i="6"/>
  <c r="C117" i="6"/>
  <c r="E116" i="6"/>
  <c r="C116" i="6"/>
  <c r="E115" i="6"/>
  <c r="C115" i="6"/>
  <c r="E113" i="6"/>
  <c r="C113" i="6"/>
  <c r="E112" i="6"/>
  <c r="C112" i="6"/>
  <c r="E111" i="6"/>
  <c r="C111" i="6"/>
  <c r="E110" i="6"/>
  <c r="C110" i="6"/>
  <c r="E109" i="6"/>
  <c r="C109" i="6"/>
  <c r="E107" i="6"/>
  <c r="C107" i="6"/>
  <c r="E106" i="6"/>
  <c r="C106" i="6"/>
  <c r="E105" i="6"/>
  <c r="C105" i="6"/>
  <c r="E104" i="6"/>
  <c r="C104" i="6"/>
  <c r="E103" i="6"/>
  <c r="C103" i="6"/>
  <c r="E101" i="6"/>
  <c r="C101" i="6"/>
  <c r="E100" i="6"/>
  <c r="C100" i="6"/>
  <c r="E99" i="6"/>
  <c r="C99" i="6"/>
  <c r="E98" i="6"/>
  <c r="C98" i="6"/>
  <c r="E97" i="6"/>
  <c r="C97" i="6"/>
  <c r="E95" i="6"/>
  <c r="C95" i="6"/>
  <c r="E94" i="6"/>
  <c r="C94" i="6"/>
  <c r="E93" i="6"/>
  <c r="C93" i="6"/>
  <c r="E92" i="6"/>
  <c r="C92" i="6"/>
  <c r="E91" i="6"/>
  <c r="C91" i="6"/>
  <c r="E89" i="6"/>
  <c r="C89" i="6"/>
  <c r="E88" i="6"/>
  <c r="C88" i="6"/>
  <c r="E87" i="6"/>
  <c r="C87" i="6"/>
  <c r="E86" i="6"/>
  <c r="C86" i="6"/>
  <c r="E85" i="6"/>
  <c r="C85" i="6"/>
  <c r="E83" i="6"/>
  <c r="C83" i="6"/>
  <c r="E82" i="6"/>
  <c r="C82" i="6"/>
  <c r="E81" i="6"/>
  <c r="C81" i="6"/>
  <c r="E80" i="6"/>
  <c r="C80" i="6"/>
  <c r="E79" i="6"/>
  <c r="C79" i="6"/>
  <c r="E77" i="6"/>
  <c r="C77" i="6"/>
  <c r="E76" i="6"/>
  <c r="C76" i="6"/>
  <c r="E75" i="6"/>
  <c r="C75" i="6"/>
  <c r="E74" i="6"/>
  <c r="C74" i="6"/>
  <c r="E73" i="6"/>
  <c r="C73" i="6"/>
  <c r="E71" i="6"/>
  <c r="C71" i="6"/>
  <c r="E70" i="6"/>
  <c r="C70" i="6"/>
  <c r="E69" i="6"/>
  <c r="C69" i="6"/>
  <c r="E68" i="6"/>
  <c r="C68" i="6"/>
  <c r="E67" i="6"/>
  <c r="C67" i="6"/>
  <c r="E66" i="6"/>
  <c r="C66" i="6"/>
  <c r="E65" i="6"/>
  <c r="C65" i="6"/>
  <c r="E64" i="6"/>
  <c r="C64" i="6"/>
  <c r="E63" i="6"/>
  <c r="C63" i="6"/>
  <c r="E62" i="6"/>
  <c r="C62" i="6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3" i="6"/>
  <c r="C53" i="6"/>
  <c r="E52" i="6"/>
  <c r="C52" i="6"/>
  <c r="E51" i="6"/>
  <c r="C51" i="6"/>
  <c r="E50" i="6"/>
  <c r="C50" i="6"/>
  <c r="E49" i="6"/>
  <c r="C49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5" i="6"/>
  <c r="C35" i="6"/>
  <c r="E34" i="6"/>
  <c r="C34" i="6"/>
  <c r="E33" i="6"/>
  <c r="C33" i="6"/>
  <c r="E32" i="6"/>
  <c r="C32" i="6"/>
  <c r="E31" i="6"/>
  <c r="C31" i="6"/>
  <c r="E29" i="6"/>
  <c r="C29" i="6"/>
  <c r="E28" i="6"/>
  <c r="C28" i="6"/>
  <c r="E27" i="6"/>
  <c r="C27" i="6"/>
  <c r="E26" i="6"/>
  <c r="C26" i="6"/>
  <c r="E25" i="6"/>
  <c r="C25" i="6"/>
  <c r="E23" i="6"/>
  <c r="C23" i="6"/>
  <c r="E22" i="6"/>
  <c r="C22" i="6"/>
  <c r="E21" i="6"/>
  <c r="C21" i="6"/>
  <c r="E20" i="6"/>
  <c r="C20" i="6"/>
  <c r="E19" i="6"/>
  <c r="C19" i="6"/>
  <c r="E17" i="6"/>
  <c r="C17" i="6"/>
  <c r="E16" i="6"/>
  <c r="C16" i="6"/>
  <c r="E15" i="6"/>
  <c r="C15" i="6"/>
  <c r="E14" i="6"/>
  <c r="C14" i="6"/>
  <c r="E13" i="6"/>
  <c r="C13" i="6"/>
  <c r="E11" i="6"/>
  <c r="C11" i="6"/>
  <c r="E10" i="6"/>
  <c r="C10" i="6"/>
  <c r="E9" i="6"/>
  <c r="C9" i="6"/>
  <c r="E8" i="6"/>
  <c r="C8" i="6"/>
  <c r="E7" i="6"/>
  <c r="C7" i="6"/>
  <c r="E5" i="6"/>
  <c r="C5" i="6"/>
  <c r="E4" i="6"/>
  <c r="C4" i="6"/>
  <c r="E3" i="6"/>
  <c r="C3" i="6"/>
  <c r="E2" i="6"/>
  <c r="C2" i="6"/>
  <c r="E121" i="5"/>
  <c r="C121" i="5"/>
  <c r="E120" i="5"/>
  <c r="C120" i="5"/>
  <c r="E119" i="5"/>
  <c r="C119" i="5"/>
  <c r="E118" i="5"/>
  <c r="C118" i="5"/>
  <c r="E117" i="5"/>
  <c r="C117" i="5"/>
  <c r="E116" i="5"/>
  <c r="C116" i="5"/>
  <c r="E115" i="5"/>
  <c r="C115" i="5"/>
  <c r="E114" i="5"/>
  <c r="C114" i="5"/>
  <c r="E113" i="5"/>
  <c r="C113" i="5"/>
  <c r="E112" i="5"/>
  <c r="C112" i="5"/>
  <c r="E111" i="5"/>
  <c r="C111" i="5"/>
  <c r="E110" i="5"/>
  <c r="C110" i="5"/>
  <c r="E109" i="5"/>
  <c r="C109" i="5"/>
  <c r="E107" i="5"/>
  <c r="C107" i="5"/>
  <c r="E106" i="5"/>
  <c r="C106" i="5"/>
  <c r="E105" i="5"/>
  <c r="C105" i="5"/>
  <c r="E104" i="5"/>
  <c r="C104" i="5"/>
  <c r="E103" i="5"/>
  <c r="C103" i="5"/>
  <c r="E102" i="5"/>
  <c r="C102" i="5"/>
  <c r="E101" i="5"/>
  <c r="C101" i="5"/>
  <c r="E100" i="5"/>
  <c r="C100" i="5"/>
  <c r="E99" i="5"/>
  <c r="C99" i="5"/>
  <c r="E98" i="5"/>
  <c r="C98" i="5"/>
  <c r="E97" i="5"/>
  <c r="C97" i="5"/>
  <c r="E95" i="5"/>
  <c r="C95" i="5"/>
  <c r="E94" i="5"/>
  <c r="C94" i="5"/>
  <c r="E93" i="5"/>
  <c r="C93" i="5"/>
  <c r="E92" i="5"/>
  <c r="C92" i="5"/>
  <c r="E91" i="5"/>
  <c r="C91" i="5"/>
  <c r="E90" i="5"/>
  <c r="C90" i="5"/>
  <c r="E89" i="5"/>
  <c r="C89" i="5"/>
  <c r="E88" i="5"/>
  <c r="C88" i="5"/>
  <c r="E87" i="5"/>
  <c r="C87" i="5"/>
  <c r="E86" i="5"/>
  <c r="C86" i="5"/>
  <c r="E85" i="5"/>
  <c r="C85" i="5"/>
  <c r="E84" i="5"/>
  <c r="C84" i="5"/>
  <c r="E83" i="5"/>
  <c r="C83" i="5"/>
  <c r="E82" i="5"/>
  <c r="C82" i="5"/>
  <c r="E81" i="5"/>
  <c r="C81" i="5"/>
  <c r="E80" i="5"/>
  <c r="C80" i="5"/>
  <c r="E79" i="5"/>
  <c r="C79" i="5"/>
  <c r="E77" i="5"/>
  <c r="C77" i="5"/>
  <c r="E76" i="5"/>
  <c r="C76" i="5"/>
  <c r="E75" i="5"/>
  <c r="C75" i="5"/>
  <c r="E74" i="5"/>
  <c r="C74" i="5"/>
  <c r="E73" i="5"/>
  <c r="C73" i="5"/>
  <c r="E72" i="5"/>
  <c r="C72" i="5"/>
  <c r="E71" i="5"/>
  <c r="C71" i="5"/>
  <c r="E70" i="5"/>
  <c r="C70" i="5"/>
  <c r="E69" i="5"/>
  <c r="C69" i="5"/>
  <c r="E68" i="5"/>
  <c r="C68" i="5"/>
  <c r="E67" i="5"/>
  <c r="C67" i="5"/>
  <c r="E66" i="5"/>
  <c r="C66" i="5"/>
  <c r="E65" i="5"/>
  <c r="C65" i="5"/>
  <c r="E64" i="5"/>
  <c r="C64" i="5"/>
  <c r="E63" i="5"/>
  <c r="C63" i="5"/>
  <c r="E62" i="5"/>
  <c r="C62" i="5"/>
  <c r="E61" i="5"/>
  <c r="C61" i="5"/>
  <c r="E60" i="5"/>
  <c r="C60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7" i="5"/>
  <c r="C47" i="5"/>
  <c r="E46" i="5"/>
  <c r="C46" i="5"/>
  <c r="E45" i="5"/>
  <c r="C45" i="5"/>
  <c r="E44" i="5"/>
  <c r="C44" i="5"/>
  <c r="E43" i="5"/>
  <c r="C43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29" i="5"/>
  <c r="C29" i="5"/>
  <c r="E28" i="5"/>
  <c r="C28" i="5"/>
  <c r="E27" i="5"/>
  <c r="C27" i="5"/>
  <c r="E26" i="5"/>
  <c r="C26" i="5"/>
  <c r="E25" i="5"/>
  <c r="C25" i="5"/>
  <c r="E23" i="5"/>
  <c r="C23" i="5"/>
  <c r="E22" i="5"/>
  <c r="C22" i="5"/>
  <c r="E21" i="5"/>
  <c r="C21" i="5"/>
  <c r="E20" i="5"/>
  <c r="C20" i="5"/>
  <c r="E19" i="5"/>
  <c r="C19" i="5"/>
  <c r="E17" i="5"/>
  <c r="C17" i="5"/>
  <c r="E16" i="5"/>
  <c r="C16" i="5"/>
  <c r="E15" i="5"/>
  <c r="C15" i="5"/>
  <c r="E14" i="5"/>
  <c r="C14" i="5"/>
  <c r="E13" i="5"/>
  <c r="C13" i="5"/>
  <c r="E11" i="5"/>
  <c r="C11" i="5"/>
  <c r="E10" i="5"/>
  <c r="C10" i="5"/>
  <c r="E9" i="5"/>
  <c r="C9" i="5"/>
  <c r="E8" i="5"/>
  <c r="C8" i="5"/>
  <c r="E7" i="5"/>
  <c r="C7" i="5"/>
  <c r="E5" i="5"/>
  <c r="C5" i="5"/>
  <c r="E4" i="5"/>
  <c r="C4" i="5"/>
  <c r="E3" i="5"/>
  <c r="C3" i="5"/>
  <c r="E2" i="5"/>
  <c r="C2" i="5"/>
  <c r="E121" i="4"/>
  <c r="C121" i="4"/>
  <c r="E119" i="4"/>
  <c r="C119" i="4"/>
  <c r="E118" i="4"/>
  <c r="C118" i="4"/>
  <c r="E117" i="4"/>
  <c r="C117" i="4"/>
  <c r="E116" i="4"/>
  <c r="C116" i="4"/>
  <c r="E115" i="4"/>
  <c r="C115" i="4"/>
  <c r="E113" i="4"/>
  <c r="C113" i="4"/>
  <c r="E112" i="4"/>
  <c r="C112" i="4"/>
  <c r="E111" i="4"/>
  <c r="C111" i="4"/>
  <c r="E110" i="4"/>
  <c r="C110" i="4"/>
  <c r="E109" i="4"/>
  <c r="C109" i="4"/>
  <c r="E108" i="4"/>
  <c r="C108" i="4"/>
  <c r="E107" i="4"/>
  <c r="C107" i="4"/>
  <c r="E106" i="4"/>
  <c r="C106" i="4"/>
  <c r="E105" i="4"/>
  <c r="C105" i="4"/>
  <c r="E104" i="4"/>
  <c r="C104" i="4"/>
  <c r="E103" i="4"/>
  <c r="C103" i="4"/>
  <c r="E101" i="4"/>
  <c r="C101" i="4"/>
  <c r="E100" i="4"/>
  <c r="C100" i="4"/>
  <c r="E99" i="4"/>
  <c r="C99" i="4"/>
  <c r="E98" i="4"/>
  <c r="C98" i="4"/>
  <c r="E97" i="4"/>
  <c r="C97" i="4"/>
  <c r="E95" i="4"/>
  <c r="C95" i="4"/>
  <c r="E94" i="4"/>
  <c r="C94" i="4"/>
  <c r="E93" i="4"/>
  <c r="C93" i="4"/>
  <c r="E92" i="4"/>
  <c r="C92" i="4"/>
  <c r="E91" i="4"/>
  <c r="C91" i="4"/>
  <c r="E89" i="4"/>
  <c r="C89" i="4"/>
  <c r="E88" i="4"/>
  <c r="C88" i="4"/>
  <c r="E87" i="4"/>
  <c r="C87" i="4"/>
  <c r="E86" i="4"/>
  <c r="C86" i="4"/>
  <c r="E85" i="4"/>
  <c r="C85" i="4"/>
  <c r="E83" i="4"/>
  <c r="C83" i="4"/>
  <c r="E82" i="4"/>
  <c r="C82" i="4"/>
  <c r="E81" i="4"/>
  <c r="C81" i="4"/>
  <c r="E80" i="4"/>
  <c r="C80" i="4"/>
  <c r="E79" i="4"/>
  <c r="C79" i="4"/>
  <c r="E77" i="4"/>
  <c r="C77" i="4"/>
  <c r="E76" i="4"/>
  <c r="C76" i="4"/>
  <c r="E75" i="4"/>
  <c r="C75" i="4"/>
  <c r="E74" i="4"/>
  <c r="C74" i="4"/>
  <c r="E73" i="4"/>
  <c r="C73" i="4"/>
  <c r="E71" i="4"/>
  <c r="C71" i="4"/>
  <c r="E70" i="4"/>
  <c r="C70" i="4"/>
  <c r="E69" i="4"/>
  <c r="C69" i="4"/>
  <c r="E68" i="4"/>
  <c r="C68" i="4"/>
  <c r="E67" i="4"/>
  <c r="C67" i="4"/>
  <c r="E65" i="4"/>
  <c r="C65" i="4"/>
  <c r="E64" i="4"/>
  <c r="C64" i="4"/>
  <c r="E63" i="4"/>
  <c r="C63" i="4"/>
  <c r="E62" i="4"/>
  <c r="C62" i="4"/>
  <c r="E61" i="4"/>
  <c r="C61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7" i="4"/>
  <c r="C47" i="4"/>
  <c r="E46" i="4"/>
  <c r="C46" i="4"/>
  <c r="E45" i="4"/>
  <c r="C45" i="4"/>
  <c r="E44" i="4"/>
  <c r="C44" i="4"/>
  <c r="E43" i="4"/>
  <c r="C43" i="4"/>
  <c r="E41" i="4"/>
  <c r="C41" i="4"/>
  <c r="E40" i="4"/>
  <c r="C40" i="4"/>
  <c r="E39" i="4"/>
  <c r="C39" i="4"/>
  <c r="E38" i="4"/>
  <c r="C38" i="4"/>
  <c r="E37" i="4"/>
  <c r="C37" i="4"/>
  <c r="E35" i="4"/>
  <c r="C35" i="4"/>
  <c r="E34" i="4"/>
  <c r="C34" i="4"/>
  <c r="E33" i="4"/>
  <c r="C33" i="4"/>
  <c r="E32" i="4"/>
  <c r="C32" i="4"/>
  <c r="E31" i="4"/>
  <c r="C31" i="4"/>
  <c r="E29" i="4"/>
  <c r="C29" i="4"/>
  <c r="E28" i="4"/>
  <c r="C28" i="4"/>
  <c r="E27" i="4"/>
  <c r="C27" i="4"/>
  <c r="E26" i="4"/>
  <c r="C26" i="4"/>
  <c r="E25" i="4"/>
  <c r="C25" i="4"/>
  <c r="E23" i="4"/>
  <c r="C23" i="4"/>
  <c r="E22" i="4"/>
  <c r="C22" i="4"/>
  <c r="E21" i="4"/>
  <c r="C21" i="4"/>
  <c r="E20" i="4"/>
  <c r="C20" i="4"/>
  <c r="E19" i="4"/>
  <c r="C19" i="4"/>
  <c r="E17" i="4"/>
  <c r="C17" i="4"/>
  <c r="E16" i="4"/>
  <c r="C16" i="4"/>
  <c r="E15" i="4"/>
  <c r="C15" i="4"/>
  <c r="E14" i="4"/>
  <c r="C14" i="4"/>
  <c r="E13" i="4"/>
  <c r="C13" i="4"/>
  <c r="E11" i="4"/>
  <c r="C11" i="4"/>
  <c r="E10" i="4"/>
  <c r="C10" i="4"/>
  <c r="E9" i="4"/>
  <c r="C9" i="4"/>
  <c r="E8" i="4"/>
  <c r="C8" i="4"/>
  <c r="E7" i="4"/>
  <c r="C7" i="4"/>
  <c r="E5" i="4"/>
  <c r="C5" i="4"/>
  <c r="E4" i="4"/>
  <c r="C4" i="4"/>
  <c r="E3" i="4"/>
  <c r="C3" i="4"/>
  <c r="E2" i="4"/>
  <c r="C2" i="4"/>
  <c r="E121" i="3"/>
  <c r="C121" i="3"/>
  <c r="E120" i="3"/>
  <c r="C120" i="3"/>
  <c r="E119" i="3"/>
  <c r="C119" i="3"/>
  <c r="E118" i="3"/>
  <c r="C118" i="3"/>
  <c r="E117" i="3"/>
  <c r="C117" i="3"/>
  <c r="E116" i="3"/>
  <c r="C116" i="3"/>
  <c r="E115" i="3"/>
  <c r="C115" i="3"/>
  <c r="E114" i="3"/>
  <c r="C114" i="3"/>
  <c r="E113" i="3"/>
  <c r="C113" i="3"/>
  <c r="E112" i="3"/>
  <c r="C112" i="3"/>
  <c r="E111" i="3"/>
  <c r="C111" i="3"/>
  <c r="E110" i="3"/>
  <c r="C110" i="3"/>
  <c r="E109" i="3"/>
  <c r="C109" i="3"/>
  <c r="E108" i="3"/>
  <c r="C108" i="3"/>
  <c r="E107" i="3"/>
  <c r="C107" i="3"/>
  <c r="E106" i="3"/>
  <c r="C106" i="3"/>
  <c r="E105" i="3"/>
  <c r="C105" i="3"/>
  <c r="E104" i="3"/>
  <c r="C104" i="3"/>
  <c r="E103" i="3"/>
  <c r="C103" i="3"/>
  <c r="E102" i="3"/>
  <c r="C102" i="3"/>
  <c r="E101" i="3"/>
  <c r="C101" i="3"/>
  <c r="E100" i="3"/>
  <c r="C100" i="3"/>
  <c r="E99" i="3"/>
  <c r="C99" i="3"/>
  <c r="E98" i="3"/>
  <c r="C98" i="3"/>
  <c r="E97" i="3"/>
  <c r="C97" i="3"/>
  <c r="E96" i="3"/>
  <c r="C96" i="3"/>
  <c r="E95" i="3"/>
  <c r="C95" i="3"/>
  <c r="E94" i="3"/>
  <c r="C94" i="3"/>
  <c r="E93" i="3"/>
  <c r="C93" i="3"/>
  <c r="E92" i="3"/>
  <c r="C92" i="3"/>
  <c r="E91" i="3"/>
  <c r="C91" i="3"/>
  <c r="E90" i="3"/>
  <c r="C90" i="3"/>
  <c r="E89" i="3"/>
  <c r="C89" i="3"/>
  <c r="E88" i="3"/>
  <c r="C88" i="3"/>
  <c r="E87" i="3"/>
  <c r="C87" i="3"/>
  <c r="E86" i="3"/>
  <c r="C86" i="3"/>
  <c r="E85" i="3"/>
  <c r="C85" i="3"/>
  <c r="E84" i="3"/>
  <c r="C84" i="3"/>
  <c r="E83" i="3"/>
  <c r="C83" i="3"/>
  <c r="E82" i="3"/>
  <c r="C82" i="3"/>
  <c r="E81" i="3"/>
  <c r="C81" i="3"/>
  <c r="E80" i="3"/>
  <c r="C80" i="3"/>
  <c r="E79" i="3"/>
  <c r="C79" i="3"/>
  <c r="E78" i="3"/>
  <c r="C78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C70" i="3"/>
  <c r="E69" i="3"/>
  <c r="C69" i="3"/>
  <c r="E68" i="3"/>
  <c r="C68" i="3"/>
  <c r="E67" i="3"/>
  <c r="C67" i="3"/>
  <c r="E65" i="3"/>
  <c r="C65" i="3"/>
  <c r="E64" i="3"/>
  <c r="C64" i="3"/>
  <c r="E63" i="3"/>
  <c r="C63" i="3"/>
  <c r="E62" i="3"/>
  <c r="C62" i="3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2" i="3"/>
  <c r="C42" i="3"/>
  <c r="E41" i="3"/>
  <c r="C41" i="3"/>
  <c r="E40" i="3"/>
  <c r="C40" i="3"/>
  <c r="E39" i="3"/>
  <c r="C39" i="3"/>
  <c r="E38" i="3"/>
  <c r="C38" i="3"/>
  <c r="E37" i="3"/>
  <c r="C37" i="3"/>
  <c r="E35" i="3"/>
  <c r="C35" i="3"/>
  <c r="E34" i="3"/>
  <c r="C34" i="3"/>
  <c r="E33" i="3"/>
  <c r="C33" i="3"/>
  <c r="E32" i="3"/>
  <c r="C32" i="3"/>
  <c r="E31" i="3"/>
  <c r="C31" i="3"/>
  <c r="E29" i="3"/>
  <c r="C29" i="3"/>
  <c r="E28" i="3"/>
  <c r="C28" i="3"/>
  <c r="E27" i="3"/>
  <c r="C27" i="3"/>
  <c r="E26" i="3"/>
  <c r="C26" i="3"/>
  <c r="E25" i="3"/>
  <c r="C25" i="3"/>
  <c r="E23" i="3"/>
  <c r="C23" i="3"/>
  <c r="E22" i="3"/>
  <c r="C22" i="3"/>
  <c r="E21" i="3"/>
  <c r="C21" i="3"/>
  <c r="E20" i="3"/>
  <c r="C20" i="3"/>
  <c r="E19" i="3"/>
  <c r="C19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121" i="2"/>
  <c r="C121" i="2"/>
  <c r="E119" i="2"/>
  <c r="C119" i="2"/>
  <c r="E118" i="2"/>
  <c r="C118" i="2"/>
  <c r="E117" i="2"/>
  <c r="C117" i="2"/>
  <c r="E116" i="2"/>
  <c r="C116" i="2"/>
  <c r="E115" i="2"/>
  <c r="C115" i="2"/>
  <c r="E113" i="2"/>
  <c r="C113" i="2"/>
  <c r="E112" i="2"/>
  <c r="C112" i="2"/>
  <c r="E111" i="2"/>
  <c r="C111" i="2"/>
  <c r="E110" i="2"/>
  <c r="C110" i="2"/>
  <c r="E109" i="2"/>
  <c r="C109" i="2"/>
  <c r="E107" i="2"/>
  <c r="C107" i="2"/>
  <c r="E106" i="2"/>
  <c r="C106" i="2"/>
  <c r="E105" i="2"/>
  <c r="C105" i="2"/>
  <c r="E104" i="2"/>
  <c r="C104" i="2"/>
  <c r="E103" i="2"/>
  <c r="C103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89" i="2"/>
  <c r="C89" i="2"/>
  <c r="E88" i="2"/>
  <c r="C88" i="2"/>
  <c r="E87" i="2"/>
  <c r="C87" i="2"/>
  <c r="E86" i="2"/>
  <c r="C86" i="2"/>
  <c r="E85" i="2"/>
  <c r="C85" i="2"/>
  <c r="E83" i="2"/>
  <c r="C83" i="2"/>
  <c r="E82" i="2"/>
  <c r="C82" i="2"/>
  <c r="E81" i="2"/>
  <c r="C81" i="2"/>
  <c r="E80" i="2"/>
  <c r="C80" i="2"/>
  <c r="E79" i="2"/>
  <c r="C79" i="2"/>
  <c r="E77" i="2"/>
  <c r="C77" i="2"/>
  <c r="E76" i="2"/>
  <c r="C76" i="2"/>
  <c r="E75" i="2"/>
  <c r="C75" i="2"/>
  <c r="E74" i="2"/>
  <c r="C74" i="2"/>
  <c r="E73" i="2"/>
  <c r="C73" i="2"/>
  <c r="E71" i="2"/>
  <c r="C71" i="2"/>
  <c r="E70" i="2"/>
  <c r="C70" i="2"/>
  <c r="E69" i="2"/>
  <c r="C69" i="2"/>
  <c r="E68" i="2"/>
  <c r="C68" i="2"/>
  <c r="E67" i="2"/>
  <c r="C67" i="2"/>
  <c r="E65" i="2"/>
  <c r="C65" i="2"/>
  <c r="E64" i="2"/>
  <c r="C64" i="2"/>
  <c r="E63" i="2"/>
  <c r="C63" i="2"/>
  <c r="E62" i="2"/>
  <c r="C62" i="2"/>
  <c r="E61" i="2"/>
  <c r="C61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C37" i="2"/>
  <c r="E35" i="2"/>
  <c r="C35" i="2"/>
  <c r="E34" i="2"/>
  <c r="C34" i="2"/>
  <c r="E33" i="2"/>
  <c r="C33" i="2"/>
  <c r="E32" i="2"/>
  <c r="C32" i="2"/>
  <c r="E31" i="2"/>
  <c r="C31" i="2"/>
  <c r="E29" i="2"/>
  <c r="C29" i="2"/>
  <c r="E28" i="2"/>
  <c r="C28" i="2"/>
  <c r="E27" i="2"/>
  <c r="C27" i="2"/>
  <c r="E26" i="2"/>
  <c r="C26" i="2"/>
  <c r="E25" i="2"/>
  <c r="C25" i="2"/>
  <c r="E23" i="2"/>
  <c r="C23" i="2"/>
  <c r="E22" i="2"/>
  <c r="C22" i="2"/>
  <c r="E21" i="2"/>
  <c r="C21" i="2"/>
  <c r="E20" i="2"/>
  <c r="C20" i="2"/>
  <c r="E19" i="2"/>
  <c r="C19" i="2"/>
  <c r="E17" i="2"/>
  <c r="C17" i="2"/>
  <c r="E16" i="2"/>
  <c r="C16" i="2"/>
  <c r="E15" i="2"/>
  <c r="C15" i="2"/>
  <c r="E14" i="2"/>
  <c r="C14" i="2"/>
  <c r="E13" i="2"/>
  <c r="C13" i="2"/>
  <c r="E11" i="2"/>
  <c r="C11" i="2"/>
  <c r="E10" i="2"/>
  <c r="C10" i="2"/>
  <c r="E9" i="2"/>
  <c r="C9" i="2"/>
  <c r="E8" i="2"/>
  <c r="C8" i="2"/>
  <c r="E7" i="2"/>
  <c r="C7" i="2"/>
  <c r="E5" i="2"/>
  <c r="C5" i="2"/>
  <c r="E4" i="2"/>
  <c r="C4" i="2"/>
  <c r="E3" i="2"/>
  <c r="C3" i="2"/>
  <c r="E2" i="2"/>
  <c r="C2" i="2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7" i="1"/>
  <c r="C47" i="1"/>
  <c r="E46" i="1"/>
  <c r="C46" i="1"/>
  <c r="E45" i="1"/>
  <c r="C45" i="1"/>
  <c r="E44" i="1"/>
  <c r="C44" i="1"/>
  <c r="E43" i="1"/>
  <c r="C43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M5" i="9" s="1"/>
  <c r="N5" i="9" s="1"/>
  <c r="O5" i="9" s="1"/>
  <c r="P5" i="9" s="1"/>
  <c r="Q5" i="9" s="1"/>
  <c r="R5" i="9" s="1"/>
  <c r="S5" i="9" s="1"/>
  <c r="T5" i="9" s="1"/>
  <c r="G6" i="9"/>
  <c r="B16" i="9"/>
  <c r="G16" i="9"/>
  <c r="B26" i="9"/>
  <c r="G26" i="9"/>
  <c r="B36" i="9"/>
  <c r="G36" i="9"/>
  <c r="T6" i="9" l="1"/>
  <c r="S6" i="9"/>
  <c r="R6" i="9"/>
  <c r="Q6" i="9"/>
  <c r="P6" i="9"/>
  <c r="O6" i="9"/>
  <c r="N6" i="9"/>
  <c r="M6" i="9"/>
  <c r="G38" i="9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<sst xmlns="http://schemas.openxmlformats.org/spreadsheetml/2006/main" count="2138" uniqueCount="420">
  <si>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</si>
  <si>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</si>
  <si>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</si>
  <si>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</si>
  <si>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</si>
  <si>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</si>
  <si>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</si>
  <si>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</si>
  <si>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</si>
  <si>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</si>
  <si>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</si>
  <si>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</si>
  <si>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total_data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</si>
  <si>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</si>
  <si>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</si>
  <si>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</si>
  <si>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</si>
  <si>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</si>
  <si>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</si>
  <si>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</si>
  <si>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</si>
  <si>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</si>
  <si>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What is Saša Škrtić's first name?</t>
  </si>
  <si>
    <t>Saša</t>
  </si>
  <si>
    <t>What is Saša Škrtić's last name?</t>
  </si>
  <si>
    <t>Škrtić</t>
  </si>
  <si>
    <t>What is Saša Škrtić's age?</t>
  </si>
  <si>
    <t>44</t>
  </si>
  <si>
    <t>What is Saša Škrtić's gender?</t>
  </si>
  <si>
    <t>Male</t>
  </si>
  <si>
    <t>List all Saša Škrtić's friends.</t>
  </si>
  <si>
    <t>Zoran Goreta, Eduard Tutić</t>
  </si>
  <si>
    <t>How many friends does Saša Škrtić have?</t>
  </si>
  <si>
    <t xml:space="preserve">Saša Škrtić has </t>
  </si>
  <si>
    <t>What is Duje Ravlić's first name?</t>
  </si>
  <si>
    <t>Duje</t>
  </si>
  <si>
    <t>What is Duje Ravlić's last name?</t>
  </si>
  <si>
    <t>Ravlić</t>
  </si>
  <si>
    <t>What is Duje Ravlić's age?</t>
  </si>
  <si>
    <t>18</t>
  </si>
  <si>
    <t>What is Duje Ravlić's gender?</t>
  </si>
  <si>
    <t>MALE</t>
  </si>
  <si>
    <t>List all Duje Ravlić's friends.</t>
  </si>
  <si>
    <t>Eduard Tutić, Zoran Gore</t>
  </si>
  <si>
    <t>How many friends does Duje Ravlić have?</t>
  </si>
  <si>
    <t>Duje Ravlić has 8 friends.</t>
  </si>
  <si>
    <t>What is Eduard Tutić's first name?</t>
  </si>
  <si>
    <t>Eduard</t>
  </si>
  <si>
    <t>What is Eduard Tutić's last name?</t>
  </si>
  <si>
    <t>Tutić</t>
  </si>
  <si>
    <t>What is Eduard Tutić's age?</t>
  </si>
  <si>
    <t>17</t>
  </si>
  <si>
    <t>What is Eduard Tutić's gender?</t>
  </si>
  <si>
    <t>Eduard Tutić is male.</t>
  </si>
  <si>
    <t>List all Eduard Tutić's friends.</t>
  </si>
  <si>
    <t>Eduard Tutić's friends are Sa</t>
  </si>
  <si>
    <t>How many friends does Eduard Tutić have?</t>
  </si>
  <si>
    <t>Eduard Tutić has 10</t>
  </si>
  <si>
    <t>What is Zoran Goreta's first name?</t>
  </si>
  <si>
    <t>Zoran</t>
  </si>
  <si>
    <t>What is Zoran Goreta's last name?</t>
  </si>
  <si>
    <t>Goreta</t>
  </si>
  <si>
    <t>What is Zoran Goreta's age?</t>
  </si>
  <si>
    <t>66</t>
  </si>
  <si>
    <t>What is Zoran Goreta's gender?</t>
  </si>
  <si>
    <t>List all Zoran Goreta's friends.</t>
  </si>
  <si>
    <t>Zoran Goreta's friends: Saša</t>
  </si>
  <si>
    <t>How many friends does Zoran Goreta have?</t>
  </si>
  <si>
    <t>Zoran Goreta has 5 friends.</t>
  </si>
  <si>
    <t>What is Ivo Čelina's first name?</t>
  </si>
  <si>
    <t>Ivo</t>
  </si>
  <si>
    <t>What is Ivo Čelina's last name?</t>
  </si>
  <si>
    <t>Čelina</t>
  </si>
  <si>
    <t>What is Ivo Čelina's age?</t>
  </si>
  <si>
    <t>65</t>
  </si>
  <si>
    <t>What is Ivo Čelina's gender?</t>
  </si>
  <si>
    <t>List all Ivo Čelina's friends.</t>
  </si>
  <si>
    <t>How many friends does Ivo Čelina have?</t>
  </si>
  <si>
    <t>6</t>
  </si>
  <si>
    <t>What is Gordan Lucić's first name?</t>
  </si>
  <si>
    <t>Gordan</t>
  </si>
  <si>
    <t>What is Gordan Lucić's last name?</t>
  </si>
  <si>
    <t>Lucić</t>
  </si>
  <si>
    <t>What is Gordan Lucić's age?</t>
  </si>
  <si>
    <t>27</t>
  </si>
  <si>
    <t>What is Gordan Lucić's gender?</t>
  </si>
  <si>
    <t>Gordan Lucić's gender is MALE.</t>
  </si>
  <si>
    <t>List all Gordan Lucić's friends.</t>
  </si>
  <si>
    <t>Gordan Lucić: Mia, Lea</t>
  </si>
  <si>
    <t>How many friends does Gordan Lucić have?</t>
  </si>
  <si>
    <t>Gordan Lucić has 8 friends.</t>
  </si>
  <si>
    <t>What is Ljubomir Jurišić's first name?</t>
  </si>
  <si>
    <t>Ljubomir</t>
  </si>
  <si>
    <t>What is Ljubomir Jurišić's last name?</t>
  </si>
  <si>
    <t>Jurišić</t>
  </si>
  <si>
    <t>What is Ljubomir Jurišić's age?</t>
  </si>
  <si>
    <t>What is Ljubomir Jurišić's gender?</t>
  </si>
  <si>
    <t>List all Ljubomir Jurišić's friends.</t>
  </si>
  <si>
    <t>Jurišić: Jagoda Dražen</t>
  </si>
  <si>
    <t>How many friends does Ljubomir Jurišić have?</t>
  </si>
  <si>
    <t>Ljubomir Jurišić has</t>
  </si>
  <si>
    <t>What is Vladimir Svalina's first name?</t>
  </si>
  <si>
    <t>Vladimir</t>
  </si>
  <si>
    <t>What is Vladimir Svalina's last name?</t>
  </si>
  <si>
    <t>Svalina</t>
  </si>
  <si>
    <t>What is Vladimir Svalina's age?</t>
  </si>
  <si>
    <t>What is Vladimir Svalina's gender?</t>
  </si>
  <si>
    <t>List all Vladimir Svalina's friends.</t>
  </si>
  <si>
    <t>Vladimir Svalina: 1,</t>
  </si>
  <si>
    <t>How many friends does Vladimir Svalina have?</t>
  </si>
  <si>
    <t>3</t>
  </si>
  <si>
    <t>What is Tomislav Šoštarić's first name?</t>
  </si>
  <si>
    <t>Tomislav</t>
  </si>
  <si>
    <t>What is Tomislav Šoštarić's last name?</t>
  </si>
  <si>
    <t>Šoštarić</t>
  </si>
  <si>
    <t>What is Tomislav Šoštarić's age?</t>
  </si>
  <si>
    <t>31</t>
  </si>
  <si>
    <t>What is Tomislav Šoštarić's gender?</t>
  </si>
  <si>
    <t>List all Tomislav Šoštarić's friends.</t>
  </si>
  <si>
    <t>Tomislav Šoštarić's</t>
  </si>
  <si>
    <t>How many friends does Tomislav Šoštarić have?</t>
  </si>
  <si>
    <t>What is Nikola Prelošnjak's first name?</t>
  </si>
  <si>
    <t>Nikola</t>
  </si>
  <si>
    <t>What is Nikola Prelošnjak's last name?</t>
  </si>
  <si>
    <t>Prelošnjak</t>
  </si>
  <si>
    <t>What is Nikola Prelošnjak's age?</t>
  </si>
  <si>
    <t>What is Nikola Prelošnjak's gender?</t>
  </si>
  <si>
    <t>List all Nikola Prelošnjak's friends.</t>
  </si>
  <si>
    <t>Nikola Prelošnjak: Mon</t>
  </si>
  <si>
    <t>How many friends does Nikola Prelošnjak have?</t>
  </si>
  <si>
    <t xml:space="preserve">Nikola Prelošnjak has 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</si>
  <si>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</si>
  <si>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</si>
  <si>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</si>
  <si>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</si>
  <si>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</si>
  <si>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 xml:space="preserve">Jagoda Draženović is </t>
  </si>
  <si>
    <t>What is Jagoda Draženović's gender?</t>
  </si>
  <si>
    <t>Jagoda Draženović is female</t>
  </si>
  <si>
    <t>List all Jagoda Draženović's friends.</t>
  </si>
  <si>
    <t>Jagoda Draženović's friends</t>
  </si>
  <si>
    <t>How many friends does Jagoda Draženović have?</t>
  </si>
  <si>
    <t xml:space="preserve">Jagoda Draženović has </t>
  </si>
  <si>
    <t>What is Monika Rimac's first name?</t>
  </si>
  <si>
    <t>Monika</t>
  </si>
  <si>
    <t>What is Monika Rimac's last name?</t>
  </si>
  <si>
    <t>Rimac</t>
  </si>
  <si>
    <t>What is Monika Rimac's age?</t>
  </si>
  <si>
    <t>Monika Rimac's age is 37</t>
  </si>
  <si>
    <t>What is Monika Rimac's gender?</t>
  </si>
  <si>
    <t>Monika Rimac is female.</t>
  </si>
  <si>
    <t>List all Monika Rimac's friends.</t>
  </si>
  <si>
    <t>Monika Rimac's friends are Jagoda Dra</t>
  </si>
  <si>
    <t>How many friends does Monika Rimac have?</t>
  </si>
  <si>
    <t>Monika Rimac has 4 friends.</t>
  </si>
  <si>
    <t>What is Mia Popić's first name?</t>
  </si>
  <si>
    <t>Mia</t>
  </si>
  <si>
    <t>What is Mia Popić's last name?</t>
  </si>
  <si>
    <t>Popić</t>
  </si>
  <si>
    <t>What is Mia Popić's age?</t>
  </si>
  <si>
    <t>Mia Popić's age is 9.</t>
  </si>
  <si>
    <t>What is Mia Popić's gender?</t>
  </si>
  <si>
    <t>Mia Popić is a female (FEMALE</t>
  </si>
  <si>
    <t>List all Mia Popić's friends.</t>
  </si>
  <si>
    <t>Mia Popić's friends: Mia (h</t>
  </si>
  <si>
    <t>How many friends does Mia Popić have?</t>
  </si>
  <si>
    <t>Mia Popić has 5 friends.</t>
  </si>
  <si>
    <t>What is Nada Sudar's first name?</t>
  </si>
  <si>
    <t>Nada</t>
  </si>
  <si>
    <t>What is Nada Sudar's last name?</t>
  </si>
  <si>
    <t>Sudar</t>
  </si>
  <si>
    <t>What is Nada Sudar's age?</t>
  </si>
  <si>
    <t>Nada Sudar's age is 56</t>
  </si>
  <si>
    <t>What is Nada Sudar's gender?</t>
  </si>
  <si>
    <t>Nada Sudar is female.</t>
  </si>
  <si>
    <t>List all Nada Sudar's friends.</t>
  </si>
  <si>
    <t>Mia Popić, Lea Grubić</t>
  </si>
  <si>
    <t>How many friends does Nada Sudar have?</t>
  </si>
  <si>
    <t>Nada Sudar has 8 friends.</t>
  </si>
  <si>
    <t>What is Mirjam Devčić's first name?</t>
  </si>
  <si>
    <t>Mirjam</t>
  </si>
  <si>
    <t>What is Mirjam Devčić's last name?</t>
  </si>
  <si>
    <t>Devčić</t>
  </si>
  <si>
    <t>What is Mirjam Devčić's age?</t>
  </si>
  <si>
    <t>Mirjam Devčić's age is 3</t>
  </si>
  <si>
    <t>What is Mirjam Devčić's gender?</t>
  </si>
  <si>
    <t>FEMALE</t>
  </si>
  <si>
    <t>List all Mirjam Devčić's friends.</t>
  </si>
  <si>
    <t>Mia Popić</t>
  </si>
  <si>
    <t>How many friends does Mirjam Devčić have?</t>
  </si>
  <si>
    <t>What is Lea Grubić's first name?</t>
  </si>
  <si>
    <t>Lea</t>
  </si>
  <si>
    <t>What is Lea Grubić's last name?</t>
  </si>
  <si>
    <t>Grubić</t>
  </si>
  <si>
    <t>What is Lea Grubić's age?</t>
  </si>
  <si>
    <t>Lea Grubić's age is 3</t>
  </si>
  <si>
    <t>What is Lea Grubić's gender?</t>
  </si>
  <si>
    <t>Lea Grubić's gender is FEMALE</t>
  </si>
  <si>
    <t>List all Lea Grubić's friends.</t>
  </si>
  <si>
    <t>Lea Grubić: Antonija Salin</t>
  </si>
  <si>
    <t>How many friends does Lea Grubić have?</t>
  </si>
  <si>
    <t>Lea Grubić has 9 friends.</t>
  </si>
  <si>
    <t>What is Antonija Salinović's first name?</t>
  </si>
  <si>
    <t>Antonija</t>
  </si>
  <si>
    <t>What is Antonija Salinović's last name?</t>
  </si>
  <si>
    <t>Salinović</t>
  </si>
  <si>
    <t>What is Antonija Salinović's age?</t>
  </si>
  <si>
    <t>39</t>
  </si>
  <si>
    <t>What is Antonija Salinović's gender?</t>
  </si>
  <si>
    <t>List all Antonija Salinović's friends.</t>
  </si>
  <si>
    <t>Cvijeta Svetlicic, Le</t>
  </si>
  <si>
    <t>How many friends does Antonija Salinović have?</t>
  </si>
  <si>
    <t>What is Cvijeta Svetličić's first name?</t>
  </si>
  <si>
    <t>Cvijeta</t>
  </si>
  <si>
    <t>What is Cvijeta Svetličić's last name?</t>
  </si>
  <si>
    <t>Svetličić</t>
  </si>
  <si>
    <t>What is Cvijeta Svetličić's age?</t>
  </si>
  <si>
    <t>Cvijeta Svetličić is</t>
  </si>
  <si>
    <t>What is Cvijeta Svetličić's gender?</t>
  </si>
  <si>
    <t>List all Cvijeta Svetličić's friends.</t>
  </si>
  <si>
    <t>Cvijeta Svetličić:</t>
  </si>
  <si>
    <t>How many friends does Cvijeta Svetličić have?</t>
  </si>
  <si>
    <t>Cvijeta Svetličić has</t>
  </si>
  <si>
    <t>What is Irena Jurilj's first name?</t>
  </si>
  <si>
    <t>Irena</t>
  </si>
  <si>
    <t>What is Irena Jurilj's last name?</t>
  </si>
  <si>
    <t>Jurilj</t>
  </si>
  <si>
    <t>What is Irena Jurilj's age?</t>
  </si>
  <si>
    <t>Irena Jurilj's age is 2</t>
  </si>
  <si>
    <t>What is Irena Jurilj's gender?</t>
  </si>
  <si>
    <t>List all Irena Jurilj's friends.</t>
  </si>
  <si>
    <t>Irena Jurilj has no listed friends.</t>
  </si>
  <si>
    <t>How many friends does Irena Jurilj have?</t>
  </si>
  <si>
    <t>2</t>
  </si>
  <si>
    <t>What is Stela Mišković's first name?</t>
  </si>
  <si>
    <t>Stela</t>
  </si>
  <si>
    <t>What is Stela Mišković's last name?</t>
  </si>
  <si>
    <t>Mišković</t>
  </si>
  <si>
    <t>What is Stela Mišković's age?</t>
  </si>
  <si>
    <t>54</t>
  </si>
  <si>
    <t>What is Stela Mišković's gender?</t>
  </si>
  <si>
    <t>Stela Mišković is female.</t>
  </si>
  <si>
    <t>List all Stela Mišković's friends.</t>
  </si>
  <si>
    <t>Stela Mišković has no friends</t>
  </si>
  <si>
    <t>How many friends does Stela Mišković have?</t>
  </si>
  <si>
    <t>Stela Mišković has 2</t>
  </si>
  <si>
    <t>validity_ds</t>
  </si>
  <si>
    <t>Nikola Prelošnjak, Cv</t>
  </si>
  <si>
    <t>Lea Grubić, Gordan Lucić</t>
  </si>
  <si>
    <t>8</t>
  </si>
  <si>
    <t>Jagoda Draženović, Le</t>
  </si>
  <si>
    <t>10</t>
  </si>
  <si>
    <t>Saša Škrtić, Vladimir</t>
  </si>
  <si>
    <t>5</t>
  </si>
  <si>
    <t>Jagoda Draženović, I</t>
  </si>
  <si>
    <t>4</t>
  </si>
  <si>
    <t>Mia Popić, Vladimir Svalina,</t>
  </si>
  <si>
    <t>Irena Jurilj, Monika Rimac</t>
  </si>
  <si>
    <t>Jagoda Draženović, Vladimir</t>
  </si>
  <si>
    <t>Duje Ravlić, Vladimir Svalina</t>
  </si>
  <si>
    <t>25</t>
  </si>
  <si>
    <t>Jagoda Draženović: Mia</t>
  </si>
  <si>
    <t>7</t>
  </si>
  <si>
    <t>37</t>
  </si>
  <si>
    <t>Nada Sudar, Saša Š</t>
  </si>
  <si>
    <t>9</t>
  </si>
  <si>
    <t>Female</t>
  </si>
  <si>
    <t>Jagoda Draženović, N</t>
  </si>
  <si>
    <t>56</t>
  </si>
  <si>
    <t>Irena Jurilj, Mia Popić,</t>
  </si>
  <si>
    <t>Cvijeta Svetličić,</t>
  </si>
  <si>
    <t>Jagoda Draženović, L</t>
  </si>
  <si>
    <t>Saša Škrtić</t>
  </si>
  <si>
    <t>38</t>
  </si>
  <si>
    <t>Saša Škrtić, Z</t>
  </si>
  <si>
    <t>20</t>
  </si>
  <si>
    <t>Gordan Lucić</t>
  </si>
  <si>
    <t>Stela Mišković has 1</t>
  </si>
  <si>
    <t xml:space="preserve">Saša Škrtić is </t>
  </si>
  <si>
    <t>Duje Ravlić has 7 friends.</t>
  </si>
  <si>
    <t>Zoran Goreta, Vladimir Svalina,</t>
  </si>
  <si>
    <t>Zoran Goreta knows: Saša �</t>
  </si>
  <si>
    <t>Ivo Čelina knows Ljub</t>
  </si>
  <si>
    <t>Gordan Lucić knows: Mia Popić,</t>
  </si>
  <si>
    <t>Gordan Lucić has 7 friends.</t>
  </si>
  <si>
    <t>Jurišić's friends: Dražen</t>
  </si>
  <si>
    <t>Vladimir Svalina knows: Tomisl</t>
  </si>
  <si>
    <t>Tomislav Šoštarić knows</t>
  </si>
  <si>
    <t>Nikola Prelošnjak knows Mon</t>
  </si>
  <si>
    <t>Jagoda Draženović knows Mia</t>
  </si>
  <si>
    <t>Monika Rimac knows Monika Rimac,</t>
  </si>
  <si>
    <t>Mia Popić is female.</t>
  </si>
  <si>
    <t>Mia Popić knows: Mia Popić,</t>
  </si>
  <si>
    <t>Mirjam Devčić, Lea Grubi</t>
  </si>
  <si>
    <t>Mirjam Devčić's friends: Nada</t>
  </si>
  <si>
    <t>Lea Grubić is 31 years</t>
  </si>
  <si>
    <t>Lea Grubić is female.</t>
  </si>
  <si>
    <t>Lea Grubić knows: Antonija Sal</t>
  </si>
  <si>
    <t>Antonija Salinović knows Stela</t>
  </si>
  <si>
    <t>Cvijeta Svetličić's</t>
  </si>
  <si>
    <t>Cvijeta Svetličić knows</t>
  </si>
  <si>
    <t>Irena Jurilj knows Ljubom</t>
  </si>
  <si>
    <t>Stela Mišković knows Stela</t>
  </si>
  <si>
    <t>Lea Grubić, Nikola Preloš</t>
  </si>
  <si>
    <t>Saša Škrtić, Cv</t>
  </si>
  <si>
    <t>Gordan Lucić knows: Stela Miš</t>
  </si>
  <si>
    <t>Jagoda Draženović, Du</t>
  </si>
  <si>
    <t>Monika Rimac knows: Nada Sudar</t>
  </si>
  <si>
    <t>Duje Ravlić, Ljubom</t>
  </si>
  <si>
    <t>Lea Grubić has 8 friends.</t>
  </si>
  <si>
    <t>Antonija Salinović knows Saš</t>
  </si>
  <si>
    <t>Stela Mišković knows Lea</t>
  </si>
  <si>
    <t xml:space="preserve">3, 9, 11, </t>
  </si>
  <si>
    <t>2, 5, 7, 8</t>
  </si>
  <si>
    <t>Eduard Tutić: 1,</t>
  </si>
  <si>
    <t>Ljubomir Jurišić,</t>
  </si>
  <si>
    <t>Gordan Lucić's friends: Vlado</t>
  </si>
  <si>
    <t>16</t>
  </si>
  <si>
    <t>Tomislav Šoštarić:</t>
  </si>
  <si>
    <t>Nikola Prelošnjak is friends</t>
  </si>
  <si>
    <t>Jagoda Draženović, Mia</t>
  </si>
  <si>
    <t>Saša Škrtić, Nik</t>
  </si>
  <si>
    <t>1, 2, 3, 1</t>
  </si>
  <si>
    <t>the second 1 was likely cut off</t>
  </si>
  <si>
    <t>Cvijeta Svetlicic</t>
  </si>
  <si>
    <t>1</t>
  </si>
  <si>
    <t>Saša, Zoran, Eduard,</t>
  </si>
  <si>
    <t>Iva Jurilj</t>
  </si>
  <si>
    <t>None of Stela Mišković's</t>
  </si>
  <si>
    <t>11</t>
  </si>
  <si>
    <t>Nikola Prelošnjak, I</t>
  </si>
  <si>
    <t>Irena Jurilj, Jagoda Draž</t>
  </si>
  <si>
    <t>Jagoda Draženović, Edu</t>
  </si>
  <si>
    <t>Nikola Prelošnjak: I</t>
  </si>
  <si>
    <t>Jagoda Draženović is friends</t>
  </si>
  <si>
    <t>Monika Rimac, Saša Š</t>
  </si>
  <si>
    <t>Duje Ravlić, Nada Sudar</t>
  </si>
  <si>
    <t>Zoran Goreta, Mirjam Devčić</t>
  </si>
  <si>
    <t>12</t>
  </si>
  <si>
    <t>44 years old.</t>
  </si>
  <si>
    <t>Saša Škrtić: Nikola</t>
  </si>
  <si>
    <t>Duje Ravlić is 18 years</t>
  </si>
  <si>
    <t>Duje Ravlić is a male.</t>
  </si>
  <si>
    <t>Duje Ravlić is friends with Eduard</t>
  </si>
  <si>
    <t>Eduard Tutić is 17</t>
  </si>
  <si>
    <t>Eduard Tutić is a male.</t>
  </si>
  <si>
    <t>Duje Ravlić, Zoran Goreta</t>
  </si>
  <si>
    <t>66 years old.</t>
  </si>
  <si>
    <t>Zoran Goreta is a male.</t>
  </si>
  <si>
    <t>Zoran Goreta and Saša Š</t>
  </si>
  <si>
    <t>this "and" implies that it was going to say "are friends" and finish the sentence there</t>
  </si>
  <si>
    <t>Ivo Čelina is 65</t>
  </si>
  <si>
    <t>Ivo Čelina is a male.</t>
  </si>
  <si>
    <t>Ivo Čelina is friends with L</t>
  </si>
  <si>
    <t>Gordan Lucić is 27 years old</t>
  </si>
  <si>
    <t>Gordan Lucić is a male.</t>
  </si>
  <si>
    <t>Gordan Lucić is friends with: Lj</t>
  </si>
  <si>
    <t>27 years old</t>
  </si>
  <si>
    <t>Ljubomir Jurišić is</t>
  </si>
  <si>
    <t>Vladimir Svalina's last name is</t>
  </si>
  <si>
    <t>Vladimir Svalina is 6 years</t>
  </si>
  <si>
    <t>Vladimir Svalina is a male.</t>
  </si>
  <si>
    <t>Vladimir Svalina is friends with:</t>
  </si>
  <si>
    <t>Tomislav Šoštarić is</t>
  </si>
  <si>
    <t>Nikola Prelošnjak's last</t>
  </si>
  <si>
    <t xml:space="preserve">Nikola Prelošnjak is </t>
  </si>
  <si>
    <t>Nikola Prelošnjak is a</t>
  </si>
  <si>
    <t>Jagoda Draženović's last</t>
  </si>
  <si>
    <t>Jagoda Draženović is a</t>
  </si>
  <si>
    <t>Monika Rimac's last name is Rimac</t>
  </si>
  <si>
    <t>Monika Rimac is 37 years old</t>
  </si>
  <si>
    <t>Monika Rimac is a female.</t>
  </si>
  <si>
    <t>Nada Sudar, Ivo Čel</t>
  </si>
  <si>
    <t>Mia Popić's last name is Popić</t>
  </si>
  <si>
    <t>Mia Popić is 9 years old.</t>
  </si>
  <si>
    <t>Mia Popić is a female.</t>
  </si>
  <si>
    <t>Nada Sudar's last name is Sudar</t>
  </si>
  <si>
    <t>Nada Sudar is 56 years old</t>
  </si>
  <si>
    <t>Nada Sudar is a female.</t>
  </si>
  <si>
    <t>Vladimir Svalina, Ivo �</t>
  </si>
  <si>
    <t>Mirjam Devčić is 37 years</t>
  </si>
  <si>
    <t>Mirjam Devčić is a female.</t>
  </si>
  <si>
    <t>Mirjam Devčić and Zoran Goreta</t>
  </si>
  <si>
    <t>Lea Grubić's last name is Gr</t>
  </si>
  <si>
    <t>Lea Grubić is a female.</t>
  </si>
  <si>
    <t>Nada Sudar, Mia Popić, Z</t>
  </si>
  <si>
    <t>Antonija Salinović's last name</t>
  </si>
  <si>
    <t>Antonija Salinović is 3</t>
  </si>
  <si>
    <t>Antonija Salinović is a female</t>
  </si>
  <si>
    <t>Gordan Lucić, Saša Š</t>
  </si>
  <si>
    <t>Cvijeta Svetličić and</t>
  </si>
  <si>
    <t>Irena Jurilj's last name is Jur</t>
  </si>
  <si>
    <t>20 years old</t>
  </si>
  <si>
    <t>Irena Jurilj is a female.</t>
  </si>
  <si>
    <t>Irena Jurilj is friends with Nada</t>
  </si>
  <si>
    <t>Stela Mišković's last name</t>
  </si>
  <si>
    <t>Stela Mišković is 5</t>
  </si>
  <si>
    <t>Stela Mišković is a female</t>
  </si>
  <si>
    <t>Stela Mišković is friends with</t>
  </si>
  <si>
    <t>Monika Rimac, Nikola Prelošnj</t>
  </si>
  <si>
    <t>18 years old</t>
  </si>
  <si>
    <t>Duje Ravlić is friends with:
-</t>
  </si>
  <si>
    <t>Duje Ravlić has 9 friends.</t>
  </si>
  <si>
    <t>17 years old</t>
  </si>
  <si>
    <t xml:space="preserve">Eduard Tutić is friends with:
</t>
  </si>
  <si>
    <t>Eduard Tutić has 11</t>
  </si>
  <si>
    <t>Eduard Tutić, Saša</t>
  </si>
  <si>
    <t>65 years old</t>
  </si>
  <si>
    <t>Ivo Čelina has 9 friends</t>
  </si>
  <si>
    <t>Mia Popić, Antonija Salinovi</t>
  </si>
  <si>
    <t>6 years old</t>
  </si>
  <si>
    <t>31 years old</t>
  </si>
  <si>
    <t>Tomislav Šoštarić has</t>
  </si>
  <si>
    <t>Nikola Prelošnjak's first</t>
  </si>
  <si>
    <t>Monika Rimac has 5 friends.</t>
  </si>
  <si>
    <t>Mia Popić has 6 friends.</t>
  </si>
  <si>
    <t>Vladimir Svalina, Monika Rim</t>
  </si>
  <si>
    <t>Saša Škrtić, Du</t>
  </si>
  <si>
    <t>Irena Jurilj is 20 years</t>
  </si>
  <si>
    <t>Irena Jurilj is friends with Jagoda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</si>
</sst>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8B6A-6DA4-4717-851D-2E7082926364}">
  <dimension ref="A1:T49"/>
  <sheetViews>
    <sheetView tabSelected="1" workbookViewId="0">
      <selection activeCell="O17" sqref="O17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10.140625" bestFit="1" customWidth="1"/>
    <col min="13" max="13" width="12.5703125" bestFit="1" customWidth="1"/>
    <col min="14" max="14" width="15.28515625" bestFit="1" customWidth="1"/>
    <col min="15" max="16" width="12.5703125" bestFit="1" customWidth="1"/>
    <col min="17" max="17" width="7.7109375" bestFit="1" customWidth="1"/>
    <col min="18" max="18" width="14.7109375" bestFit="1" customWidth="1"/>
    <col min="19" max="19" width="12.570312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82</v>
      </c>
      <c r="N2">
        <f ca="1">G3+G4+G5</f>
        <v>91</v>
      </c>
      <c r="O2">
        <f ca="1">B13+B14+B15</f>
        <v>70</v>
      </c>
      <c r="P2">
        <f ca="1">G13+G14+G15</f>
        <v>62</v>
      </c>
      <c r="Q2">
        <f ca="1">B23+B24+B25</f>
        <v>81</v>
      </c>
      <c r="R2">
        <f ca="1">G23+G24+G25</f>
        <v>82</v>
      </c>
      <c r="S2">
        <f ca="1">B33+B34+B35</f>
        <v>86</v>
      </c>
      <c r="T2">
        <f ca="1">G33+G34+G35</f>
        <v>82</v>
      </c>
    </row>
    <row r="3" spans="1:20">
      <c r="A3" t="b">
        <v>1</v>
      </c>
      <c r="B3">
        <f ca="1">COUNTIFS(INDIRECT(A1 &amp; "!$C$2:$C$121"),TRUE, INDIRECT(A1 &amp; "!$E$2:$E$121"),TRUE)</f>
        <v>82</v>
      </c>
      <c r="C3">
        <f ca="1">COUNTIFS(INDIRECT(A1 &amp; "!$C$2:$C$121"),TRUE, INDIRECT(A1 &amp; "!$E$2:$E$121"),FALSE)</f>
        <v>0</v>
      </c>
      <c r="D3">
        <f ca="1">COUNTIFS(INDIRECT(A1 &amp; "!$C$2:$C$121"),TRUE, INDIRECT(A1 &amp; "!$E$2:$E$121"),"half true")</f>
        <v>0</v>
      </c>
      <c r="F3" t="b">
        <v>1</v>
      </c>
      <c r="G3">
        <f ca="1">COUNTIFS(INDIRECT(F1 &amp; "!$C$2:$C$121"),TRUE, INDIRECT(F1 &amp; "!$E$2:$E$121"),TRUE)</f>
        <v>91</v>
      </c>
      <c r="H3">
        <f ca="1">COUNTIFS(INDIRECT(F1 &amp; "!$C$2:$C$121"),TRUE, INDIRECT(F1 &amp; "!$E$2:$E$121"),FALSE)</f>
        <v>0</v>
      </c>
      <c r="I3">
        <f ca="1">COUNTIFS(INDIRECT(F1 &amp; "!$C$2:$C$121"),TRUE, INDIRECT(F1 &amp; "!$E$2:$E$121"),"half true")</f>
        <v>0</v>
      </c>
      <c r="L3" t="s">
        <v>10</v>
      </c>
      <c r="M3">
        <f ca="1">SUM(B3:D3)</f>
        <v>82</v>
      </c>
      <c r="N3">
        <f ca="1">SUM(G3:I3)</f>
        <v>91</v>
      </c>
      <c r="O3">
        <f ca="1">SUM(B13:D13)</f>
        <v>70</v>
      </c>
      <c r="P3">
        <f ca="1">SUM(G13:I13)</f>
        <v>62</v>
      </c>
      <c r="Q3">
        <f ca="1">SUM(B23:D23)</f>
        <v>81</v>
      </c>
      <c r="R3">
        <f ca="1">G23+H23+I23</f>
        <v>82</v>
      </c>
      <c r="S3">
        <f ca="1">B33+C33+D33</f>
        <v>86</v>
      </c>
      <c r="T3">
        <f ca="1">G33+H33+I33</f>
        <v>82</v>
      </c>
    </row>
    <row r="4" spans="1:20">
      <c r="A4" t="b">
        <v>0</v>
      </c>
      <c r="B4">
        <f ca="1">COUNTIFS(INDIRECT(A1 &amp; "!$C$2:$C$121"),FALSE, INDIRECT(A1 &amp; "!$E$2:$E$121"),TRUE)</f>
        <v>0</v>
      </c>
      <c r="C4">
        <f ca="1">COUNTIFS(INDIRECT(A1 &amp; "!$C$2:$C$121"),FALSE, INDIRECT(A1 &amp; "!$E$2:$E$121"),FALSE)</f>
        <v>34</v>
      </c>
      <c r="D4">
        <f ca="1">COUNTIFS(INDIRECT(A1 &amp; "!$C$2:$C$121"),FALSE, INDIRECT(A1 &amp; "!$E$2:$E$121"),"half true")</f>
        <v>0</v>
      </c>
      <c r="F4" t="b">
        <v>0</v>
      </c>
      <c r="G4">
        <f ca="1">COUNTIFS(INDIRECT(F1 &amp; "!$C$2:$C$121"),FALSE, INDIRECT(F1 &amp; "!$E$2:$E$121"),TRUE)</f>
        <v>0</v>
      </c>
      <c r="H4">
        <f ca="1">COUNTIFS(INDIRECT(F1 &amp; "!$C$2:$C$121"),FALSE, INDIRECT(F1 &amp; "!$E$2:$E$121"),FALSE)</f>
        <v>12</v>
      </c>
      <c r="I4">
        <f ca="1">COUNTIFS(INDIRECT(F1 &amp; "!$C$2:$C$121"),FALSE, INDIRECT(F1 &amp; "!$E$2:$E$121"),"half true")</f>
        <v>0</v>
      </c>
      <c r="L4" t="s">
        <v>11</v>
      </c>
      <c r="M4">
        <f ca="1">SUM(M2:M3)</f>
        <v>164</v>
      </c>
      <c r="N4">
        <f t="shared" ref="N4:T4" ca="1" si="0">SUM(N2:N3)</f>
        <v>182</v>
      </c>
      <c r="O4">
        <f t="shared" ca="1" si="0"/>
        <v>140</v>
      </c>
      <c r="P4">
        <f t="shared" ca="1" si="0"/>
        <v>124</v>
      </c>
      <c r="Q4">
        <f t="shared" ca="1" si="0"/>
        <v>162</v>
      </c>
      <c r="R4">
        <f t="shared" ca="1" si="0"/>
        <v>164</v>
      </c>
      <c r="S4">
        <f t="shared" ca="1" si="0"/>
        <v>172</v>
      </c>
      <c r="T4">
        <f t="shared" ca="1" si="0"/>
        <v>164</v>
      </c>
    </row>
    <row r="5" spans="1:20">
      <c r="A5" t="s">
        <v>8</v>
      </c>
      <c r="B5">
        <f ca="1">COUNTIFS(INDIRECT(A1 &amp; "!$C$2:$C$121"),"half true", INDIRECT(A1 &amp; "!$E$2:$E$121"),TRUE)</f>
        <v>0</v>
      </c>
      <c r="C5">
        <f ca="1">COUNTIFS(INDIRECT(A1 &amp; "!$C$2:$C$121"),"half true", INDIRECT(A1 &amp; "!$E$2:$E$121"),FALSE)</f>
        <v>4</v>
      </c>
      <c r="D5">
        <f ca="1">COUNTIFS(INDIRECT(A1 &amp; "!$C$2:$C$121"),"half true", INDIRECT(A1 &amp; "!$E$2:$E$121"),"half true")</f>
        <v>0</v>
      </c>
      <c r="F5" t="s">
        <v>8</v>
      </c>
      <c r="G5">
        <f ca="1">COUNTIFS(INDIRECT(F1 &amp; "!$C$2:$C$121"),"half true", INDIRECT(F1 &amp; "!$E$2:$E$121"),TRUE)</f>
        <v>0</v>
      </c>
      <c r="H5">
        <f ca="1">COUNTIFS(INDIRECT(F1 &amp; "!$C$2:$C$121"),"half true", INDIRECT(F1 &amp; "!$E$2:$E$121"),FALSE)</f>
        <v>17</v>
      </c>
      <c r="I5">
        <f ca="1">COUNTIFS(INDIRECT(F1 &amp; "!$C$2:$C$121"),"half true", INDIRECT(F1 &amp; "!$E$2:$E$121"),"half true")</f>
        <v>0</v>
      </c>
      <c r="L5" t="s">
        <v>12</v>
      </c>
      <c r="M5">
        <f ca="1">2*B6</f>
        <v>240</v>
      </c>
      <c r="N5">
        <f ca="1">M5</f>
        <v>240</v>
      </c>
      <c r="O5">
        <f t="shared" ref="O5:T5" ca="1" si="1">N5</f>
        <v>240</v>
      </c>
      <c r="P5">
        <f t="shared" ca="1" si="1"/>
        <v>240</v>
      </c>
      <c r="Q5">
        <f t="shared" ca="1" si="1"/>
        <v>240</v>
      </c>
      <c r="R5">
        <f t="shared" ca="1" si="1"/>
        <v>240</v>
      </c>
      <c r="S5">
        <f t="shared" ca="1" si="1"/>
        <v>240</v>
      </c>
      <c r="T5">
        <f t="shared" ca="1" si="1"/>
        <v>240</v>
      </c>
    </row>
    <row r="6" spans="1:20">
      <c r="A6" t="s">
        <v>13</v>
      </c>
      <c r="B6">
        <f ca="1">SUM(B3:D5)</f>
        <v>120</v>
      </c>
      <c r="F6" t="s">
        <v>13</v>
      </c>
      <c r="G6">
        <f ca="1">SUM(G3:I5)</f>
        <v>120</v>
      </c>
      <c r="M6">
        <f ca="1">M4/M5</f>
        <v>0.68333333333333335</v>
      </c>
      <c r="N6">
        <f t="shared" ref="N6:T6" ca="1" si="2">N4/N5</f>
        <v>0.7583333333333333</v>
      </c>
      <c r="O6">
        <f t="shared" ca="1" si="2"/>
        <v>0.58333333333333337</v>
      </c>
      <c r="P6">
        <f t="shared" ca="1" si="2"/>
        <v>0.51666666666666672</v>
      </c>
      <c r="Q6">
        <f t="shared" ca="1" si="2"/>
        <v>0.67500000000000004</v>
      </c>
      <c r="R6">
        <f t="shared" ca="1" si="2"/>
        <v>0.68333333333333335</v>
      </c>
      <c r="S6">
        <f t="shared" ca="1" si="2"/>
        <v>0.71666666666666667</v>
      </c>
      <c r="T6">
        <f t="shared" ca="1" si="2"/>
        <v>0.68333333333333335</v>
      </c>
    </row>
    <row r="7" spans="1:20">
      <c r="A7" t="s">
        <v>14</v>
      </c>
      <c r="B7">
        <f ca="1">(B3+C4+D5)/B6</f>
        <v>0.96666666666666667</v>
      </c>
      <c r="F7" t="s">
        <v>14</v>
      </c>
      <c r="G7">
        <f ca="1">(G3+H4+I5)/G6</f>
        <v>0.85833333333333328</v>
      </c>
    </row>
    <row r="8" spans="1:20">
      <c r="A8" t="s">
        <v>15</v>
      </c>
      <c r="B8">
        <f ca="1">((SUM(B3:D3)*SUM(B3:B5))+(SUM(B4:D4)*SUM(C3:C5))+(SUM(B5:D5)*SUM(D3:D5)))/(B6^2)</f>
        <v>0.55666666666666664</v>
      </c>
      <c r="F8" t="s">
        <v>15</v>
      </c>
      <c r="G8">
        <f ca="1">((SUM(G3:I3)*SUM(G3:G5))+(SUM(G4:I4)*SUM(H3:H5))+(SUM(G5:I5)*SUM(I3:I5)))/(G6^2)</f>
        <v>0.59923611111111108</v>
      </c>
    </row>
    <row r="9" spans="1:20">
      <c r="A9" t="s">
        <v>16</v>
      </c>
      <c r="B9">
        <f ca="1">(B7-B8)/(1-B8)</f>
        <v>0.92481203007518797</v>
      </c>
      <c r="F9" t="s">
        <v>16</v>
      </c>
      <c r="G9">
        <f ca="1">(G7-G8)/(1-G8)</f>
        <v>0.64650840408941246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"!$C$2:$C$121"),TRUE, INDIRECT(A11 &amp; "!$E$2:$E$121"),TRUE)</f>
        <v>70</v>
      </c>
      <c r="C13">
        <f ca="1">COUNTIFS(INDIRECT(A11 &amp; "!$C$2:$C$121"),TRUE, INDIRECT(A11 &amp; "!$E$2:$E$121"),FALSE)</f>
        <v>0</v>
      </c>
      <c r="D13">
        <f ca="1">COUNTIFS(INDIRECT(A11 &amp; "!$C$2:$C$121"),TRUE, INDIRECT(A11 &amp; "!$E$2:$E$121"),"half true")</f>
        <v>0</v>
      </c>
      <c r="F13" t="b">
        <v>1</v>
      </c>
      <c r="G13">
        <f ca="1">COUNTIFS(INDIRECT(F11 &amp; "!$C$2:$C$121"),TRUE, INDIRECT(F11 &amp; "!$E$2:$E$121"),TRUE)</f>
        <v>62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20">
      <c r="A14" t="b">
        <v>0</v>
      </c>
      <c r="B14">
        <f ca="1">COUNTIFS(INDIRECT(A11 &amp; "!$C$2:$C$121"),FALSE, INDIRECT(A11 &amp; "!$E$2:$E$121"),TRUE)</f>
        <v>0</v>
      </c>
      <c r="C14">
        <f ca="1">COUNTIFS(INDIRECT(A11 &amp; "!$C$2:$C$121"),FALSE, INDIRECT(A11 &amp; "!$E$2:$E$121"),FALSE)</f>
        <v>38</v>
      </c>
      <c r="D14">
        <f ca="1">COUNTIFS(INDIRECT(A11 &amp; "!$C$2:$C$121"),FALSE, INDIRECT(A11 &amp; "!$E$2:$E$121"),"half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48</v>
      </c>
      <c r="I14">
        <f ca="1">COUNTIFS(INDIRECT(F11 &amp; "!$C$2:$C$121"),FALSE, INDIRECT(F11 &amp; "!$E$2:$E$121"),"half true")</f>
        <v>0</v>
      </c>
    </row>
    <row r="15" spans="1:20">
      <c r="A15" t="s">
        <v>8</v>
      </c>
      <c r="B15">
        <f ca="1">COUNTIFS(INDIRECT(A11 &amp; "!$C$2:$C$121"),"half true", INDIRECT(A11 &amp; "!$E$2:$E$121"),TRUE)</f>
        <v>0</v>
      </c>
      <c r="C15">
        <f ca="1">COUNTIFS(INDIRECT(A11 &amp; "!$C$2:$C$121"),"half true", INDIRECT(A11 &amp; "!$E$2:$E$121"),FALSE)</f>
        <v>11</v>
      </c>
      <c r="D15">
        <f ca="1">COUNTIFS(INDIRECT(A11 &amp; "!$C$2:$C$121"),"half true", INDIRECT(A11 &amp; "!$E$2:$E$121"),"half true")</f>
        <v>1</v>
      </c>
      <c r="F15" t="s">
        <v>8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8</v>
      </c>
      <c r="I15">
        <f ca="1">COUNTIFS(INDIRECT(F11 &amp; "!$C$2:$C$121"),"half true", INDIRECT(F11 &amp; "!$E$2:$E$121"),"half true")</f>
        <v>2</v>
      </c>
    </row>
    <row r="16" spans="1:20">
      <c r="A16" t="s">
        <v>13</v>
      </c>
      <c r="B16">
        <f ca="1">SUM(B13:D15)</f>
        <v>120</v>
      </c>
      <c r="F16" t="s">
        <v>13</v>
      </c>
      <c r="G16">
        <f ca="1">SUM(G13:I15)</f>
        <v>120</v>
      </c>
    </row>
    <row r="17" spans="1:9">
      <c r="A17" t="s">
        <v>14</v>
      </c>
      <c r="B17">
        <f ca="1">(B13+C14+D15)/B16</f>
        <v>0.90833333333333333</v>
      </c>
      <c r="F17" t="s">
        <v>14</v>
      </c>
      <c r="G17">
        <f ca="1">(G13+H14+I15)/G16</f>
        <v>0.93333333333333335</v>
      </c>
    </row>
    <row r="18" spans="1:9">
      <c r="A18" t="s">
        <v>15</v>
      </c>
      <c r="B18">
        <f ca="1">((SUM(B13:D13)*SUM(B13:B15))+(SUM(B14:D14)*SUM(C13:C15))+(SUM(B15:D15)*SUM(D13:D15)))/(B16^2)</f>
        <v>0.47041666666666665</v>
      </c>
      <c r="F18" t="s">
        <v>15</v>
      </c>
      <c r="G18">
        <f ca="1">((SUM(G13:I13)*SUM(G13:G15))+(SUM(G14:I14)*SUM(H13:H15))+(SUM(G15:I15)*SUM(I13:I15)))/(G16^2)</f>
        <v>0.45500000000000002</v>
      </c>
    </row>
    <row r="19" spans="1:9">
      <c r="A19" t="s">
        <v>16</v>
      </c>
      <c r="B19">
        <f ca="1">(B17-B18)/(1-B18)</f>
        <v>0.82690794649881993</v>
      </c>
      <c r="F19" t="s">
        <v>16</v>
      </c>
      <c r="G19">
        <f ca="1">(G17-G18)/(1-G18)</f>
        <v>0.87767584097859341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"!$C$2:$C$121"),TRUE, INDIRECT(A21 &amp; "!$E$2:$E$121"),TRUE)</f>
        <v>81</v>
      </c>
      <c r="C23">
        <f ca="1">COUNTIFS(INDIRECT(A21 &amp; "!$C$2:$C$121"),TRUE, INDIRECT(A21 &amp; "!$E$2:$E$121"),FALSE)</f>
        <v>0</v>
      </c>
      <c r="D23">
        <f ca="1">COUNTIFS(INDIRECT(A21 &amp; "!$C$2:$C$121"),TRUE, INDIRECT(A21 &amp; "!$E$2:$E$121"),"half true")</f>
        <v>0</v>
      </c>
      <c r="F23" t="b">
        <v>1</v>
      </c>
      <c r="G23">
        <f ca="1">COUNTIFS(INDIRECT(F21 &amp; "!$C$2:$C$121"),TRUE, INDIRECT(F21 &amp; "!$E$2:$E$121"),TRUE)</f>
        <v>82</v>
      </c>
      <c r="H23">
        <f ca="1">COUNTIFS(INDIRECT(F21 &amp; "!$C$2:$C$121"),TRUE, INDIRECT(F21 &amp; "!$E$2:$E$121"),FALSE)</f>
        <v>0</v>
      </c>
      <c r="I23">
        <f ca="1">COUNTIFS(INDIRECT(F21 &amp; "!$C$2:$C$121"),TRUE, INDIRECT(F21 &amp; "!$E$2:$E$121"),"half true")</f>
        <v>0</v>
      </c>
    </row>
    <row r="24" spans="1:9">
      <c r="A24" t="b">
        <v>0</v>
      </c>
      <c r="B24">
        <f ca="1">COUNTIFS(INDIRECT(A21 &amp; "!$C$2:$C$121"),FALSE, INDIRECT(A21 &amp; "!$E$2:$E$121"),TRUE)</f>
        <v>0</v>
      </c>
      <c r="C24">
        <f ca="1">COUNTIFS(INDIRECT(A21 &amp; "!$C$2:$C$121"),FALSE, INDIRECT(A21 &amp; "!$E$2:$E$121"),FALSE)</f>
        <v>34</v>
      </c>
      <c r="D24">
        <f ca="1">COUNTIFS(INDIRECT(A21 &amp; "!$C$2:$C$121"),FALSE, INDIRECT(A21 &amp; "!$E$2:$E$121"),"half true")</f>
        <v>0</v>
      </c>
      <c r="F24" t="b">
        <v>0</v>
      </c>
      <c r="G24">
        <f ca="1">COUNTIFS(INDIRECT(F21 &amp; "!$C$2:$C$121"),FALSE, INDIRECT(F21 &amp; "!$E$2:$E$121"),TRUE)</f>
        <v>0</v>
      </c>
      <c r="H24">
        <f ca="1">COUNTIFS(INDIRECT(F21 &amp; "!$C$2:$C$121"),FALSE, INDIRECT(F21 &amp; "!$E$2:$E$121"),FALSE)</f>
        <v>20</v>
      </c>
      <c r="I24">
        <f ca="1">COUNTIFS(INDIRECT(F21 &amp; "!$C$2:$C$121"),FALSE, INDIRECT(F21 &amp; "!$E$2:$E$121"),"half true")</f>
        <v>0</v>
      </c>
    </row>
    <row r="25" spans="1:9">
      <c r="A25" t="s">
        <v>8</v>
      </c>
      <c r="B25">
        <f ca="1">COUNTIFS(INDIRECT(A21 &amp; "!$C$2:$C$121"),"half true", INDIRECT(A21 &amp; "!$E$2:$E$121"),TRUE)</f>
        <v>0</v>
      </c>
      <c r="C25">
        <f ca="1">COUNTIFS(INDIRECT(A21 &amp; "!$C$2:$C$121"),"half true", INDIRECT(A21 &amp; "!$E$2:$E$121"),FALSE)</f>
        <v>5</v>
      </c>
      <c r="D25">
        <f ca="1">COUNTIFS(INDIRECT(A21 &amp; "!$C$2:$C$121"),"half true", INDIRECT(A21 &amp; "!$E$2:$E$121"),"half true")</f>
        <v>0</v>
      </c>
      <c r="F25" t="s">
        <v>8</v>
      </c>
      <c r="G25">
        <f ca="1">COUNTIFS(INDIRECT(F21 &amp; "!$C$2:$C$121"),"half true", INDIRECT(F21 &amp; "!$E$2:$E$121"),TRUE)</f>
        <v>0</v>
      </c>
      <c r="H25">
        <f ca="1">COUNTIFS(INDIRECT(F21 &amp; "!$C$2:$C$121"),"half true", INDIRECT(F21 &amp; "!$E$2:$E$121"),FALSE)</f>
        <v>18</v>
      </c>
      <c r="I25">
        <f ca="1">COUNTIFS(INDIRECT(F21 &amp; "!$C$2:$C$121"),"half true", INDIRECT(F21 &amp; "!$E$2:$E$121"),"half true")</f>
        <v>0</v>
      </c>
    </row>
    <row r="26" spans="1:9">
      <c r="A26" t="s">
        <v>13</v>
      </c>
      <c r="B26">
        <f ca="1">SUM(B23:D25)</f>
        <v>120</v>
      </c>
      <c r="F26" t="s">
        <v>13</v>
      </c>
      <c r="G26">
        <f ca="1">SUM(G23:I25)</f>
        <v>120</v>
      </c>
    </row>
    <row r="27" spans="1:9">
      <c r="A27" t="s">
        <v>14</v>
      </c>
      <c r="B27">
        <f ca="1">(B23+C24+D25)/B26</f>
        <v>0.95833333333333337</v>
      </c>
      <c r="F27" t="s">
        <v>14</v>
      </c>
      <c r="G27">
        <f ca="1">(G23+H24+I25)/G26</f>
        <v>0.85</v>
      </c>
    </row>
    <row r="28" spans="1:9">
      <c r="A28" t="s">
        <v>15</v>
      </c>
      <c r="B28">
        <f ca="1">((SUM(B23:D23)*SUM(B23:B25))+(SUM(B24:D24)*SUM(C23:C25))+(SUM(B25:D25)*SUM(D23:D25)))/(B26^2)</f>
        <v>0.54770833333333335</v>
      </c>
      <c r="F28" t="s">
        <v>15</v>
      </c>
      <c r="G28">
        <f ca="1">((SUM(G23:I23)*SUM(G23:G25))+(SUM(G24:I24)*SUM(H23:H25))+(SUM(G25:I25)*SUM(I23:I25)))/(G26^2)</f>
        <v>0.5197222222222222</v>
      </c>
    </row>
    <row r="29" spans="1:9">
      <c r="A29" t="s">
        <v>16</v>
      </c>
      <c r="B29">
        <f ca="1">(B27-B28)/(1-B28)</f>
        <v>0.90787655458314154</v>
      </c>
      <c r="F29" t="s">
        <v>16</v>
      </c>
      <c r="G29">
        <f ca="1">(G27-G28)/(1-G28)</f>
        <v>0.68768074031231918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"!$C$2:$C$121"),TRUE, INDIRECT(A31 &amp; "!$E$2:$E$121"),TRUE)</f>
        <v>86</v>
      </c>
      <c r="C33">
        <f ca="1">COUNTIFS(INDIRECT(A31 &amp; "!$C$2:$C$121"),TRUE, INDIRECT(A31 &amp; "!$E$2:$E$121"),FALSE)</f>
        <v>0</v>
      </c>
      <c r="D33">
        <f ca="1">COUNTIFS(INDIRECT(A31 &amp; "!$C$2:$C$121"),TRUE, INDIRECT(A31 &amp; "!$E$2:$E$121"),"half true")</f>
        <v>0</v>
      </c>
      <c r="F33" t="b">
        <v>1</v>
      </c>
      <c r="G33">
        <f ca="1">COUNTIFS(INDIRECT(F31 &amp; "!$C$2:$C$121"),TRUE, INDIRECT(F31 &amp; "!$E$2:$E$121"),TRUE)</f>
        <v>82</v>
      </c>
      <c r="H33">
        <f ca="1">COUNTIFS(INDIRECT(F31 &amp; "!$C$2:$C$121"),TRUE, INDIRECT(F31 &amp; "!$E$2:$E$121"),FALSE)</f>
        <v>0</v>
      </c>
      <c r="I33">
        <f ca="1">COUNTIFS(INDIRECT(F31 &amp; "!$C$2:$C$121"),TRUE, INDIRECT(F31 &amp; "!$E$2:$E$121"),"half true")</f>
        <v>0</v>
      </c>
    </row>
    <row r="34" spans="1:9">
      <c r="A34" t="b">
        <v>0</v>
      </c>
      <c r="B34">
        <f ca="1">COUNTIFS(INDIRECT(A31 &amp; "!$C$2:$C$121"),FALSE, INDIRECT(A31 &amp; "!$E$2:$E$121"),TRUE)</f>
        <v>0</v>
      </c>
      <c r="C34">
        <f ca="1">COUNTIFS(INDIRECT(A31 &amp; "!$C$2:$C$121"),FALSE, INDIRECT(A31 &amp; "!$E$2:$E$121"),FALSE)</f>
        <v>24</v>
      </c>
      <c r="D34">
        <f ca="1">COUNTIFS(INDIRECT(A31 &amp; "!$C$2:$C$121"),FALSE, INDIRECT(A31 &amp; "!$E$2:$E$121"),"half true")</f>
        <v>0</v>
      </c>
      <c r="F34" t="b">
        <v>0</v>
      </c>
      <c r="G34">
        <f ca="1">COUNTIFS(INDIRECT(F31 &amp; "!$C$2:$C$121"),FALSE, INDIRECT(F31 &amp; "!$E$2:$E$121"),TRUE)</f>
        <v>0</v>
      </c>
      <c r="H34">
        <f ca="1">COUNTIFS(INDIRECT(F31 &amp; "!$C$2:$C$121"),FALSE, INDIRECT(F31 &amp; "!$E$2:$E$121"),FALSE)</f>
        <v>21</v>
      </c>
      <c r="I34">
        <f ca="1">COUNTIFS(INDIRECT(F31 &amp; "!$C$2:$C$121"),FALSE, INDIRECT(F31 &amp; "!$E$2:$E$121"),"half true")</f>
        <v>0</v>
      </c>
    </row>
    <row r="35" spans="1:9">
      <c r="A35" t="s">
        <v>8</v>
      </c>
      <c r="B35">
        <f ca="1">COUNTIFS(INDIRECT(A31 &amp; "!$C$2:$C$121"),"half true", INDIRECT(A31 &amp; "!$E$2:$E$121"),TRUE)</f>
        <v>0</v>
      </c>
      <c r="C35">
        <f ca="1">COUNTIFS(INDIRECT(A31 &amp; "!$C$2:$C$121"),"half true", INDIRECT(A31 &amp; "!$E$2:$E$121"),FALSE)</f>
        <v>5</v>
      </c>
      <c r="D35">
        <f ca="1">COUNTIFS(INDIRECT(A31 &amp; "!$C$2:$C$121"),"half true", INDIRECT(A31 &amp; "!$E$2:$E$121"),"half true")</f>
        <v>5</v>
      </c>
      <c r="F35" t="s">
        <v>8</v>
      </c>
      <c r="G35">
        <f ca="1">COUNTIFS(INDIRECT(F31 &amp; "!$C$2:$C$121"),"half true", INDIRECT(F31 &amp; "!$E$2:$E$121"),TRUE)</f>
        <v>0</v>
      </c>
      <c r="H35">
        <f ca="1">COUNTIFS(INDIRECT(F31 &amp; "!$C$2:$C$121"),"half true", INDIRECT(F31 &amp; "!$E$2:$E$121"),FALSE)</f>
        <v>17</v>
      </c>
      <c r="I35">
        <f ca="1">COUNTIFS(INDIRECT(F31 &amp; "!$C$2:$C$121"),"half true", INDIRECT(F31 &amp; "!$E$2:$E$121"),"half true")</f>
        <v>0</v>
      </c>
    </row>
    <row r="36" spans="1:9">
      <c r="A36" t="s">
        <v>13</v>
      </c>
      <c r="B36">
        <f ca="1">SUM(B33:D35)</f>
        <v>120</v>
      </c>
      <c r="F36" t="s">
        <v>13</v>
      </c>
      <c r="G36">
        <f ca="1">SUM(G33:I35)</f>
        <v>120</v>
      </c>
    </row>
    <row r="37" spans="1:9">
      <c r="A37" t="s">
        <v>14</v>
      </c>
      <c r="B37">
        <f ca="1">(B33+C34+D35)/B36</f>
        <v>0.95833333333333337</v>
      </c>
      <c r="F37" t="s">
        <v>14</v>
      </c>
      <c r="G37">
        <f ca="1">(G33+H34+I35)/G36</f>
        <v>0.85833333333333328</v>
      </c>
    </row>
    <row r="38" spans="1:9">
      <c r="A38" t="s">
        <v>15</v>
      </c>
      <c r="B38">
        <f ca="1">((SUM(B33:D33)*SUM(B33:B35))+(SUM(B34:D34)*SUM(C33:C35))+(SUM(B35:D35)*SUM(D33:D35)))/(B36^2)</f>
        <v>0.56541666666666668</v>
      </c>
      <c r="F38" t="s">
        <v>15</v>
      </c>
      <c r="G38">
        <f ca="1">((SUM(G33:I33)*SUM(G33:G35))+(SUM(G34:I34)*SUM(H33:H35))+(SUM(G35:I35)*SUM(I33:I35)))/(G36^2)</f>
        <v>0.52236111111111116</v>
      </c>
    </row>
    <row r="39" spans="1:9">
      <c r="A39" t="s">
        <v>16</v>
      </c>
      <c r="B39">
        <f ca="1">(B37-B38)/(1-B38)</f>
        <v>0.90412272291466933</v>
      </c>
      <c r="F39" t="s">
        <v>16</v>
      </c>
      <c r="G39">
        <f ca="1">(G37-G38)/(1-G38)</f>
        <v>0.70340215178831045</v>
      </c>
    </row>
    <row r="41" spans="1:9">
      <c r="A41" t="s">
        <v>17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636</v>
      </c>
      <c r="C43">
        <f t="shared" ref="C43:D45" ca="1" si="3">C3+H3+C13+H13+C23+H23+C33+H33</f>
        <v>0</v>
      </c>
      <c r="D43">
        <f t="shared" ca="1" si="3"/>
        <v>0</v>
      </c>
    </row>
    <row r="44" spans="1:9">
      <c r="A44" t="b">
        <v>0</v>
      </c>
      <c r="B44">
        <f t="shared" ref="B44:B45" ca="1" si="4">B4+G4+B14+G14+B24+G24+B34+G34</f>
        <v>0</v>
      </c>
      <c r="C44">
        <f t="shared" ca="1" si="3"/>
        <v>231</v>
      </c>
      <c r="D44">
        <f t="shared" ca="1" si="3"/>
        <v>0</v>
      </c>
    </row>
    <row r="45" spans="1:9">
      <c r="A45" t="s">
        <v>8</v>
      </c>
      <c r="B45">
        <f t="shared" ca="1" si="4"/>
        <v>0</v>
      </c>
      <c r="C45">
        <f t="shared" ca="1" si="3"/>
        <v>85</v>
      </c>
      <c r="D45">
        <f t="shared" ca="1" si="3"/>
        <v>8</v>
      </c>
    </row>
    <row r="46" spans="1:9">
      <c r="A46" t="s">
        <v>13</v>
      </c>
      <c r="B46">
        <f ca="1">SUM(B43:D45)</f>
        <v>960</v>
      </c>
    </row>
    <row r="47" spans="1:9">
      <c r="A47" t="s">
        <v>14</v>
      </c>
      <c r="B47">
        <f ca="1">(B43+C44+D45)/B46</f>
        <v>0.91145833333333337</v>
      </c>
    </row>
    <row r="48" spans="1:9">
      <c r="A48" t="s">
        <v>15</v>
      </c>
      <c r="B48">
        <f ca="1">((SUM(B43:D43)*SUM(B43:B45))+(SUM(B44:D44)*SUM(C43:C45))+(SUM(B45:D45)*SUM(D43:D45)))/(B46^2)</f>
        <v>0.51891927083333333</v>
      </c>
    </row>
    <row r="49" spans="1:2">
      <c r="A49" t="s">
        <v>16</v>
      </c>
      <c r="B49">
        <f ca="1">(B47-B48)/(1-B48)</f>
        <v>0.81595258072373944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zoomScaleNormal="100" workbookViewId="0">
      <selection activeCell="E85" sqref="E85"/>
    </sheetView>
  </sheetViews>
  <sheetFormatPr defaultColWidth="8.5703125" defaultRowHeight="15"/>
  <cols>
    <col min="1" max="1" width="42.28515625" customWidth="1"/>
    <col min="2" max="2" width="34.2851562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20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31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33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41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43</v>
      </c>
      <c r="C12" t="b">
        <f>FALSE()</f>
        <v>0</v>
      </c>
      <c r="E12" t="b">
        <f>FALSE()</f>
        <v>0</v>
      </c>
    </row>
    <row r="13" spans="1:5">
      <c r="A13" t="s">
        <v>44</v>
      </c>
      <c r="B13" t="s">
        <v>45</v>
      </c>
      <c r="C13" t="b">
        <f>TRUE()</f>
        <v>1</v>
      </c>
      <c r="E13" t="b">
        <f>TRUE()</f>
        <v>1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53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55</v>
      </c>
      <c r="C18" t="b">
        <f>FALSE()</f>
        <v>0</v>
      </c>
      <c r="E18" t="b">
        <f>FALSE()</f>
        <v>0</v>
      </c>
    </row>
    <row r="19" spans="1:5">
      <c r="A19" t="s">
        <v>56</v>
      </c>
      <c r="B19" t="s">
        <v>57</v>
      </c>
      <c r="C19" t="b">
        <f>TRUE()</f>
        <v>1</v>
      </c>
      <c r="E19" t="b">
        <f>TRUE()</f>
        <v>1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63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66</v>
      </c>
      <c r="C24" t="s">
        <v>8</v>
      </c>
      <c r="E24" t="b">
        <v>0</v>
      </c>
    </row>
    <row r="25" spans="1:5">
      <c r="A25" t="s">
        <v>67</v>
      </c>
      <c r="B25" t="s">
        <v>68</v>
      </c>
      <c r="C25" t="b">
        <f>TRUE()</f>
        <v>1</v>
      </c>
      <c r="E25" t="b">
        <f>TRUE()</f>
        <v>1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74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31</v>
      </c>
      <c r="C30" t="b">
        <f>FALSE()</f>
        <v>0</v>
      </c>
      <c r="E30" t="b">
        <f>FALSE()</f>
        <v>0</v>
      </c>
    </row>
    <row r="31" spans="1:5">
      <c r="A31" t="s">
        <v>77</v>
      </c>
      <c r="B31" t="s">
        <v>78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88</v>
      </c>
      <c r="C36" t="b">
        <f>FALSE()</f>
        <v>0</v>
      </c>
      <c r="E36" t="b">
        <f>FALSE()</f>
        <v>0</v>
      </c>
    </row>
    <row r="37" spans="1:5">
      <c r="A37" t="s">
        <v>89</v>
      </c>
      <c r="B37" t="s">
        <v>90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84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29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98</v>
      </c>
      <c r="C42" t="s">
        <v>8</v>
      </c>
      <c r="E42" t="b">
        <v>0</v>
      </c>
    </row>
    <row r="43" spans="1:5">
      <c r="A43" t="s">
        <v>99</v>
      </c>
      <c r="B43" t="s">
        <v>100</v>
      </c>
      <c r="C43" t="b">
        <f>FALSE()</f>
        <v>0</v>
      </c>
      <c r="E43" t="b">
        <f>FALSE()</f>
        <v>0</v>
      </c>
    </row>
    <row r="44" spans="1:5">
      <c r="A44" t="s">
        <v>101</v>
      </c>
      <c r="B44" t="s">
        <v>102</v>
      </c>
      <c r="C44" t="b">
        <f>TRUE()</f>
        <v>1</v>
      </c>
      <c r="E44" t="b">
        <f>TRUE()</f>
        <v>1</v>
      </c>
    </row>
    <row r="45" spans="1:5">
      <c r="A45" t="s">
        <v>103</v>
      </c>
      <c r="B45" t="s">
        <v>104</v>
      </c>
      <c r="C45" t="b">
        <f>TRUE()</f>
        <v>1</v>
      </c>
      <c r="E45" t="b">
        <f>TRUE()</f>
        <v>1</v>
      </c>
    </row>
    <row r="46" spans="1:5">
      <c r="A46" t="s">
        <v>105</v>
      </c>
      <c r="B46" t="s">
        <v>78</v>
      </c>
      <c r="C46" t="b">
        <f>TRUE()</f>
        <v>1</v>
      </c>
      <c r="E46" t="b">
        <f>TRUE()</f>
        <v>1</v>
      </c>
    </row>
    <row r="47" spans="1:5">
      <c r="A47" t="s">
        <v>106</v>
      </c>
      <c r="B47" t="s">
        <v>29</v>
      </c>
      <c r="C47" t="b">
        <f>TRUE()</f>
        <v>1</v>
      </c>
      <c r="E47" t="b">
        <f>TRUE()</f>
        <v>1</v>
      </c>
    </row>
    <row r="48" spans="1:5">
      <c r="A48" t="s">
        <v>107</v>
      </c>
      <c r="B48" t="s">
        <v>108</v>
      </c>
      <c r="C48" t="s">
        <v>8</v>
      </c>
      <c r="E48" t="b">
        <v>0</v>
      </c>
    </row>
    <row r="49" spans="1:5">
      <c r="A49" t="s">
        <v>109</v>
      </c>
      <c r="B49" t="s">
        <v>110</v>
      </c>
      <c r="C49" t="b">
        <f>FALSE()</f>
        <v>0</v>
      </c>
      <c r="E49" t="b">
        <f>FALSE()</f>
        <v>0</v>
      </c>
    </row>
    <row r="50" spans="1:5">
      <c r="A50" t="s">
        <v>111</v>
      </c>
      <c r="B50" t="s">
        <v>112</v>
      </c>
      <c r="C50" t="b">
        <f>TRUE()</f>
        <v>1</v>
      </c>
      <c r="E50" t="b">
        <f>TRUE()</f>
        <v>1</v>
      </c>
    </row>
    <row r="51" spans="1:5">
      <c r="A51" t="s">
        <v>113</v>
      </c>
      <c r="B51" t="s">
        <v>114</v>
      </c>
      <c r="C51" t="b">
        <f>TRUE()</f>
        <v>1</v>
      </c>
      <c r="E51" t="b">
        <f>TRUE()</f>
        <v>1</v>
      </c>
    </row>
    <row r="52" spans="1:5">
      <c r="A52" t="s">
        <v>115</v>
      </c>
      <c r="B52" t="s">
        <v>116</v>
      </c>
      <c r="C52" t="b">
        <f>TRUE()</f>
        <v>1</v>
      </c>
      <c r="E52" t="b">
        <f>TRUE()</f>
        <v>1</v>
      </c>
    </row>
    <row r="53" spans="1:5">
      <c r="A53" t="s">
        <v>117</v>
      </c>
      <c r="B53" t="s">
        <v>41</v>
      </c>
      <c r="C53" t="b">
        <f>TRUE()</f>
        <v>1</v>
      </c>
      <c r="E53" t="b">
        <f>TRUE()</f>
        <v>1</v>
      </c>
    </row>
    <row r="54" spans="1:5">
      <c r="A54" t="s">
        <v>118</v>
      </c>
      <c r="B54" t="s">
        <v>119</v>
      </c>
      <c r="C54" t="b">
        <f>FALSE()</f>
        <v>0</v>
      </c>
      <c r="E54" t="b">
        <f>FALSE()</f>
        <v>0</v>
      </c>
    </row>
    <row r="55" spans="1:5">
      <c r="A55" t="s">
        <v>120</v>
      </c>
      <c r="B55" t="s">
        <v>110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74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29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130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FALSE()</f>
        <v>0</v>
      </c>
      <c r="E64" t="b">
        <f>FALSE()</f>
        <v>0</v>
      </c>
    </row>
    <row r="65" spans="1:5">
      <c r="A65" t="s">
        <v>137</v>
      </c>
      <c r="B65" t="s">
        <v>138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140</v>
      </c>
      <c r="C66" t="b">
        <f>FALSE()</f>
        <v>0</v>
      </c>
      <c r="E66" t="b">
        <f>FALSE()</f>
        <v>0</v>
      </c>
    </row>
    <row r="67" spans="1:5">
      <c r="A67" t="s">
        <v>141</v>
      </c>
      <c r="B67" t="s">
        <v>142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150</v>
      </c>
      <c r="C71" t="b">
        <f>TRUE()</f>
        <v>1</v>
      </c>
      <c r="E71" t="b">
        <f>TRUE()</f>
        <v>1</v>
      </c>
    </row>
    <row r="72" spans="1:5">
      <c r="A72" t="s">
        <v>151</v>
      </c>
      <c r="B72" t="s">
        <v>152</v>
      </c>
      <c r="C72" t="b">
        <f>FALSE()</f>
        <v>0</v>
      </c>
      <c r="E72" t="b">
        <f>FALSE()</f>
        <v>0</v>
      </c>
    </row>
    <row r="73" spans="1:5">
      <c r="A73" t="s">
        <v>153</v>
      </c>
      <c r="B73" t="s">
        <v>154</v>
      </c>
      <c r="C73" t="b">
        <f>FALSE()</f>
        <v>0</v>
      </c>
      <c r="E73" t="b">
        <f>FALSE()</f>
        <v>0</v>
      </c>
    </row>
    <row r="74" spans="1:5">
      <c r="A74" t="s">
        <v>155</v>
      </c>
      <c r="B74" t="s">
        <v>156</v>
      </c>
      <c r="C74" t="b">
        <f>TRUE()</f>
        <v>1</v>
      </c>
      <c r="E74" t="b">
        <f>TRUE()</f>
        <v>1</v>
      </c>
    </row>
    <row r="75" spans="1:5">
      <c r="A75" t="s">
        <v>157</v>
      </c>
      <c r="B75" t="s">
        <v>158</v>
      </c>
      <c r="C75" t="b">
        <f>TRUE()</f>
        <v>1</v>
      </c>
      <c r="E75" t="b">
        <f>TRUE()</f>
        <v>1</v>
      </c>
    </row>
    <row r="76" spans="1:5">
      <c r="A76" t="s">
        <v>159</v>
      </c>
      <c r="B76" t="s">
        <v>160</v>
      </c>
      <c r="C76" t="b">
        <f>TRUE()</f>
        <v>1</v>
      </c>
      <c r="E76" t="b">
        <f>TRUE()</f>
        <v>1</v>
      </c>
    </row>
    <row r="77" spans="1:5">
      <c r="A77" t="s">
        <v>161</v>
      </c>
      <c r="B77" t="s">
        <v>162</v>
      </c>
      <c r="C77" t="b">
        <f>TRUE()</f>
        <v>1</v>
      </c>
      <c r="E77" t="b">
        <f>TRUE()</f>
        <v>1</v>
      </c>
    </row>
    <row r="78" spans="1:5">
      <c r="A78" t="s">
        <v>163</v>
      </c>
      <c r="B78" t="s">
        <v>164</v>
      </c>
      <c r="C78" t="b">
        <f>FALSE()</f>
        <v>0</v>
      </c>
      <c r="E78" t="b">
        <f>FALSE()</f>
        <v>0</v>
      </c>
    </row>
    <row r="79" spans="1:5">
      <c r="A79" t="s">
        <v>165</v>
      </c>
      <c r="B79" t="s">
        <v>166</v>
      </c>
      <c r="C79" t="b">
        <f>FALSE()</f>
        <v>0</v>
      </c>
      <c r="E79" t="b">
        <f>FALSE()</f>
        <v>0</v>
      </c>
    </row>
    <row r="80" spans="1:5">
      <c r="A80" t="s">
        <v>167</v>
      </c>
      <c r="B80" t="s">
        <v>168</v>
      </c>
      <c r="C80" t="b">
        <f>TRUE()</f>
        <v>1</v>
      </c>
      <c r="E80" t="b">
        <f>TRUE()</f>
        <v>1</v>
      </c>
    </row>
    <row r="81" spans="1:5">
      <c r="A81" t="s">
        <v>169</v>
      </c>
      <c r="B81" t="s">
        <v>170</v>
      </c>
      <c r="C81" t="b">
        <f>TRUE()</f>
        <v>1</v>
      </c>
      <c r="E81" t="b">
        <f>TRUE()</f>
        <v>1</v>
      </c>
    </row>
    <row r="82" spans="1:5">
      <c r="A82" t="s">
        <v>171</v>
      </c>
      <c r="B82" t="s">
        <v>172</v>
      </c>
      <c r="C82" t="b">
        <f>TRUE()</f>
        <v>1</v>
      </c>
      <c r="E82" t="b">
        <f>TRUE()</f>
        <v>1</v>
      </c>
    </row>
    <row r="83" spans="1:5">
      <c r="A83" t="s">
        <v>173</v>
      </c>
      <c r="B83" t="s">
        <v>174</v>
      </c>
      <c r="C83" t="b">
        <f>TRUE()</f>
        <v>1</v>
      </c>
      <c r="E83" t="b">
        <f>TRUE()</f>
        <v>1</v>
      </c>
    </row>
    <row r="84" spans="1:5">
      <c r="A84" t="s">
        <v>175</v>
      </c>
      <c r="B84" t="s">
        <v>176</v>
      </c>
      <c r="C84" t="s">
        <v>8</v>
      </c>
      <c r="E84" t="b">
        <v>0</v>
      </c>
    </row>
    <row r="85" spans="1:5">
      <c r="A85" t="s">
        <v>177</v>
      </c>
      <c r="B85" t="s">
        <v>178</v>
      </c>
      <c r="C85" t="b">
        <f>TRUE()</f>
        <v>1</v>
      </c>
      <c r="E85" t="b">
        <f>TRUE()</f>
        <v>1</v>
      </c>
    </row>
    <row r="86" spans="1:5">
      <c r="A86" t="s">
        <v>179</v>
      </c>
      <c r="B86" t="s">
        <v>180</v>
      </c>
      <c r="C86" t="b">
        <f>TRUE()</f>
        <v>1</v>
      </c>
      <c r="E86" t="b">
        <f>TRUE()</f>
        <v>1</v>
      </c>
    </row>
    <row r="87" spans="1:5">
      <c r="A87" t="s">
        <v>181</v>
      </c>
      <c r="B87" t="s">
        <v>182</v>
      </c>
      <c r="C87" t="b">
        <f>TRUE()</f>
        <v>1</v>
      </c>
      <c r="E87" t="b">
        <f>TRUE()</f>
        <v>1</v>
      </c>
    </row>
    <row r="88" spans="1:5">
      <c r="A88" t="s">
        <v>183</v>
      </c>
      <c r="B88" t="s">
        <v>184</v>
      </c>
      <c r="C88" t="b">
        <f>FALSE()</f>
        <v>0</v>
      </c>
      <c r="E88" t="b">
        <f>FALSE()</f>
        <v>0</v>
      </c>
    </row>
    <row r="89" spans="1:5">
      <c r="A89" t="s">
        <v>185</v>
      </c>
      <c r="B89" t="s">
        <v>186</v>
      </c>
      <c r="C89" t="b">
        <f>TRUE()</f>
        <v>1</v>
      </c>
      <c r="E89" t="b">
        <f>TRUE()</f>
        <v>1</v>
      </c>
    </row>
    <row r="90" spans="1:5">
      <c r="A90" t="s">
        <v>187</v>
      </c>
      <c r="B90" t="s">
        <v>188</v>
      </c>
      <c r="C90" t="b">
        <f>FALSE()</f>
        <v>0</v>
      </c>
      <c r="E90" t="b">
        <f>FALSE()</f>
        <v>0</v>
      </c>
    </row>
    <row r="91" spans="1:5">
      <c r="A91" t="s">
        <v>189</v>
      </c>
      <c r="B91" t="s">
        <v>110</v>
      </c>
      <c r="C91" t="b">
        <f>FALSE()</f>
        <v>0</v>
      </c>
      <c r="E91" t="b">
        <f>FALSE()</f>
        <v>0</v>
      </c>
    </row>
    <row r="92" spans="1:5">
      <c r="A92" t="s">
        <v>190</v>
      </c>
      <c r="B92" t="s">
        <v>191</v>
      </c>
      <c r="C92" t="b">
        <f>TRUE()</f>
        <v>1</v>
      </c>
      <c r="E92" t="b">
        <f>TRUE()</f>
        <v>1</v>
      </c>
    </row>
    <row r="93" spans="1:5">
      <c r="A93" t="s">
        <v>192</v>
      </c>
      <c r="B93" t="s">
        <v>193</v>
      </c>
      <c r="C93" t="b">
        <f>TRUE()</f>
        <v>1</v>
      </c>
      <c r="E93" t="b">
        <f>TRUE()</f>
        <v>1</v>
      </c>
    </row>
    <row r="94" spans="1:5">
      <c r="A94" t="s">
        <v>194</v>
      </c>
      <c r="B94" t="s">
        <v>195</v>
      </c>
      <c r="C94" t="b">
        <f>FALSE()</f>
        <v>0</v>
      </c>
      <c r="E94" t="b">
        <f>FALSE()</f>
        <v>0</v>
      </c>
    </row>
    <row r="95" spans="1:5">
      <c r="A95" t="s">
        <v>196</v>
      </c>
      <c r="B95" t="s">
        <v>197</v>
      </c>
      <c r="C95" t="b">
        <f>TRUE()</f>
        <v>1</v>
      </c>
      <c r="E95" t="b">
        <f>TRUE()</f>
        <v>1</v>
      </c>
    </row>
    <row r="96" spans="1:5">
      <c r="A96" t="s">
        <v>198</v>
      </c>
      <c r="B96" t="s">
        <v>199</v>
      </c>
      <c r="C96" t="b">
        <f>FALSE()</f>
        <v>0</v>
      </c>
      <c r="E96" t="b">
        <f>FALSE()</f>
        <v>0</v>
      </c>
    </row>
    <row r="97" spans="1:5">
      <c r="A97" t="s">
        <v>200</v>
      </c>
      <c r="B97" t="s">
        <v>201</v>
      </c>
      <c r="C97" t="b">
        <f>TRUE()</f>
        <v>1</v>
      </c>
      <c r="E97" t="b">
        <f>TRUE()</f>
        <v>1</v>
      </c>
    </row>
    <row r="98" spans="1:5">
      <c r="A98" t="s">
        <v>202</v>
      </c>
      <c r="B98" t="s">
        <v>203</v>
      </c>
      <c r="C98" t="b">
        <f>TRUE()</f>
        <v>1</v>
      </c>
      <c r="E98" t="b">
        <f>TRUE()</f>
        <v>1</v>
      </c>
    </row>
    <row r="99" spans="1:5">
      <c r="A99" t="s">
        <v>204</v>
      </c>
      <c r="B99" t="s">
        <v>205</v>
      </c>
      <c r="C99" t="b">
        <f>TRUE()</f>
        <v>1</v>
      </c>
      <c r="E99" t="b">
        <f>TRUE()</f>
        <v>1</v>
      </c>
    </row>
    <row r="100" spans="1:5">
      <c r="A100" t="s">
        <v>206</v>
      </c>
      <c r="B100" t="s">
        <v>207</v>
      </c>
      <c r="C100" t="b">
        <f>TRUE()</f>
        <v>1</v>
      </c>
      <c r="E100" t="b">
        <f>TRUE()</f>
        <v>1</v>
      </c>
    </row>
    <row r="101" spans="1:5">
      <c r="A101" t="s">
        <v>208</v>
      </c>
      <c r="B101" t="s">
        <v>186</v>
      </c>
      <c r="C101" t="b">
        <f>TRUE()</f>
        <v>1</v>
      </c>
      <c r="E101" t="b">
        <f>TRUE()</f>
        <v>1</v>
      </c>
    </row>
    <row r="102" spans="1:5">
      <c r="A102" t="s">
        <v>209</v>
      </c>
      <c r="B102" t="s">
        <v>210</v>
      </c>
      <c r="C102" t="b">
        <f>FALSE()</f>
        <v>0</v>
      </c>
      <c r="E102" t="b">
        <f>FALSE()</f>
        <v>0</v>
      </c>
    </row>
    <row r="103" spans="1:5">
      <c r="A103" t="s">
        <v>211</v>
      </c>
      <c r="B103" t="s">
        <v>110</v>
      </c>
      <c r="C103" t="b">
        <f>FALSE()</f>
        <v>0</v>
      </c>
      <c r="E103" t="b">
        <f>FALSE()</f>
        <v>0</v>
      </c>
    </row>
    <row r="104" spans="1:5">
      <c r="A104" t="s">
        <v>212</v>
      </c>
      <c r="B104" t="s">
        <v>213</v>
      </c>
      <c r="C104" t="b">
        <f>TRUE()</f>
        <v>1</v>
      </c>
      <c r="E104" t="b">
        <f>TRUE()</f>
        <v>1</v>
      </c>
    </row>
    <row r="105" spans="1:5">
      <c r="A105" t="s">
        <v>214</v>
      </c>
      <c r="B105" t="s">
        <v>215</v>
      </c>
      <c r="C105" t="b">
        <f>TRUE()</f>
        <v>1</v>
      </c>
      <c r="E105" t="b">
        <f>TRUE()</f>
        <v>1</v>
      </c>
    </row>
    <row r="106" spans="1:5">
      <c r="A106" t="s">
        <v>216</v>
      </c>
      <c r="B106" t="s">
        <v>217</v>
      </c>
      <c r="C106" t="b">
        <f>FALSE()</f>
        <v>0</v>
      </c>
      <c r="E106" t="b">
        <f>FALSE()</f>
        <v>0</v>
      </c>
    </row>
    <row r="107" spans="1:5">
      <c r="A107" t="s">
        <v>218</v>
      </c>
      <c r="B107" t="s">
        <v>217</v>
      </c>
      <c r="C107" t="b">
        <f>FALSE()</f>
        <v>0</v>
      </c>
      <c r="E107" t="b">
        <f>FALSE()</f>
        <v>0</v>
      </c>
    </row>
    <row r="108" spans="1:5">
      <c r="A108" t="s">
        <v>219</v>
      </c>
      <c r="B108" t="s">
        <v>220</v>
      </c>
      <c r="C108" t="b">
        <f>FALSE()</f>
        <v>0</v>
      </c>
      <c r="E108" t="b">
        <f>FALSE()</f>
        <v>0</v>
      </c>
    </row>
    <row r="109" spans="1:5">
      <c r="A109" t="s">
        <v>221</v>
      </c>
      <c r="B109" t="s">
        <v>222</v>
      </c>
      <c r="C109" t="b">
        <f>FALSE()</f>
        <v>0</v>
      </c>
      <c r="E109" t="b">
        <f>FALSE()</f>
        <v>0</v>
      </c>
    </row>
    <row r="110" spans="1:5">
      <c r="A110" t="s">
        <v>223</v>
      </c>
      <c r="B110" t="s">
        <v>224</v>
      </c>
      <c r="C110" t="b">
        <f>TRUE()</f>
        <v>1</v>
      </c>
      <c r="E110" t="b">
        <f>TRUE()</f>
        <v>1</v>
      </c>
    </row>
    <row r="111" spans="1:5">
      <c r="A111" t="s">
        <v>225</v>
      </c>
      <c r="B111" t="s">
        <v>226</v>
      </c>
      <c r="C111" t="b">
        <f>TRUE()</f>
        <v>1</v>
      </c>
      <c r="E111" t="b">
        <f>TRUE()</f>
        <v>1</v>
      </c>
    </row>
    <row r="112" spans="1:5">
      <c r="A112" t="s">
        <v>227</v>
      </c>
      <c r="B112" t="s">
        <v>228</v>
      </c>
      <c r="C112" t="b">
        <f>FALSE()</f>
        <v>0</v>
      </c>
      <c r="E112" t="b">
        <f>FALSE()</f>
        <v>0</v>
      </c>
    </row>
    <row r="113" spans="1:5">
      <c r="A113" t="s">
        <v>229</v>
      </c>
      <c r="B113" t="s">
        <v>186</v>
      </c>
      <c r="C113" t="b">
        <f>TRUE()</f>
        <v>1</v>
      </c>
      <c r="E113" t="b">
        <f>TRUE()</f>
        <v>1</v>
      </c>
    </row>
    <row r="114" spans="1:5">
      <c r="A114" t="s">
        <v>230</v>
      </c>
      <c r="B114" t="s">
        <v>231</v>
      </c>
      <c r="C114" t="b">
        <f>FALSE()</f>
        <v>0</v>
      </c>
      <c r="E114" t="b">
        <f>FALSE()</f>
        <v>0</v>
      </c>
    </row>
    <row r="115" spans="1:5">
      <c r="A115" t="s">
        <v>232</v>
      </c>
      <c r="B115" t="s">
        <v>233</v>
      </c>
      <c r="C115" t="b">
        <f>FALSE()</f>
        <v>0</v>
      </c>
      <c r="E115" t="b">
        <f>FALSE()</f>
        <v>0</v>
      </c>
    </row>
    <row r="116" spans="1:5">
      <c r="A116" t="s">
        <v>234</v>
      </c>
      <c r="B116" t="s">
        <v>235</v>
      </c>
      <c r="C116" t="b">
        <f>TRUE()</f>
        <v>1</v>
      </c>
      <c r="E116" t="b">
        <f>TRUE()</f>
        <v>1</v>
      </c>
    </row>
    <row r="117" spans="1:5">
      <c r="A117" t="s">
        <v>236</v>
      </c>
      <c r="B117" t="s">
        <v>237</v>
      </c>
      <c r="C117" t="b">
        <f>TRUE()</f>
        <v>1</v>
      </c>
      <c r="E117" t="b">
        <f>TRUE()</f>
        <v>1</v>
      </c>
    </row>
    <row r="118" spans="1:5">
      <c r="A118" t="s">
        <v>238</v>
      </c>
      <c r="B118" t="s">
        <v>239</v>
      </c>
      <c r="C118" t="b">
        <f>TRUE()</f>
        <v>1</v>
      </c>
      <c r="E118" t="b">
        <f>TRUE()</f>
        <v>1</v>
      </c>
    </row>
    <row r="119" spans="1:5">
      <c r="A119" t="s">
        <v>240</v>
      </c>
      <c r="B119" t="s">
        <v>241</v>
      </c>
      <c r="C119" t="b">
        <f>TRUE()</f>
        <v>1</v>
      </c>
      <c r="E119" t="b">
        <f>TRUE()</f>
        <v>1</v>
      </c>
    </row>
    <row r="120" spans="1:5">
      <c r="A120" t="s">
        <v>242</v>
      </c>
      <c r="B120" t="s">
        <v>243</v>
      </c>
      <c r="C120" t="b">
        <f>FALSE()</f>
        <v>0</v>
      </c>
      <c r="E120" t="b">
        <f>FALSE()</f>
        <v>0</v>
      </c>
    </row>
    <row r="121" spans="1:5">
      <c r="A121" t="s">
        <v>244</v>
      </c>
      <c r="B121" t="s">
        <v>245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topLeftCell="A102" zoomScaleNormal="100" workbookViewId="0">
      <selection activeCell="E1" sqref="E1"/>
    </sheetView>
  </sheetViews>
  <sheetFormatPr defaultColWidth="8.5703125" defaultRowHeight="15"/>
  <cols>
    <col min="1" max="1" width="43.42578125" customWidth="1"/>
    <col min="2" max="2" width="28.14062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246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41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247</v>
      </c>
      <c r="C6" t="s">
        <v>8</v>
      </c>
      <c r="E6" t="b">
        <v>0</v>
      </c>
    </row>
    <row r="7" spans="1:5">
      <c r="A7" t="s">
        <v>32</v>
      </c>
      <c r="B7" t="s">
        <v>78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41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248</v>
      </c>
      <c r="C12" t="s">
        <v>8</v>
      </c>
      <c r="E12" t="b">
        <v>0</v>
      </c>
    </row>
    <row r="13" spans="1:5">
      <c r="A13" t="s">
        <v>44</v>
      </c>
      <c r="B13" t="s">
        <v>249</v>
      </c>
      <c r="C13" t="b">
        <f>TRUE()</f>
        <v>1</v>
      </c>
      <c r="E13" t="b">
        <f>TRUE()</f>
        <v>1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41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250</v>
      </c>
      <c r="C18" t="s">
        <v>8</v>
      </c>
      <c r="E18" t="b">
        <v>0</v>
      </c>
    </row>
    <row r="19" spans="1:5">
      <c r="A19" t="s">
        <v>56</v>
      </c>
      <c r="B19" t="s">
        <v>251</v>
      </c>
      <c r="C19" t="b">
        <f>TRUE()</f>
        <v>1</v>
      </c>
      <c r="E19" t="b">
        <f>TRUE()</f>
        <v>1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63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252</v>
      </c>
      <c r="C24" t="s">
        <v>8</v>
      </c>
      <c r="E24" t="b">
        <v>0</v>
      </c>
    </row>
    <row r="25" spans="1:5">
      <c r="A25" t="s">
        <v>67</v>
      </c>
      <c r="B25" t="s">
        <v>253</v>
      </c>
      <c r="C25" t="b">
        <f>TRUE()</f>
        <v>1</v>
      </c>
      <c r="E25" t="b">
        <f>TRUE()</f>
        <v>1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74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254</v>
      </c>
      <c r="C30" t="s">
        <v>8</v>
      </c>
      <c r="E30" t="b">
        <v>0</v>
      </c>
    </row>
    <row r="31" spans="1:5">
      <c r="A31" t="s">
        <v>77</v>
      </c>
      <c r="B31" t="s">
        <v>255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29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256</v>
      </c>
      <c r="C36" t="s">
        <v>8</v>
      </c>
      <c r="E36" t="b">
        <v>0</v>
      </c>
    </row>
    <row r="37" spans="1:5">
      <c r="A37" t="s">
        <v>89</v>
      </c>
      <c r="B37" t="s">
        <v>249</v>
      </c>
      <c r="C37" t="b">
        <f>TRUE()</f>
        <v>1</v>
      </c>
      <c r="E37" t="b"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84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29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257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255</v>
      </c>
      <c r="C43" t="b">
        <f>FALSE()</f>
        <v>0</v>
      </c>
      <c r="E43" t="b">
        <f>FALSE()</f>
        <v>0</v>
      </c>
    </row>
    <row r="44" spans="1:5">
      <c r="A44" t="s">
        <v>101</v>
      </c>
      <c r="B44" t="s">
        <v>102</v>
      </c>
      <c r="C44" t="b">
        <f>TRUE()</f>
        <v>1</v>
      </c>
      <c r="E44" t="b">
        <f>TRUE()</f>
        <v>1</v>
      </c>
    </row>
    <row r="45" spans="1:5">
      <c r="A45" t="s">
        <v>103</v>
      </c>
      <c r="B45" t="s">
        <v>104</v>
      </c>
      <c r="C45" t="b">
        <f>TRUE()</f>
        <v>1</v>
      </c>
      <c r="E45" t="b">
        <f>TRUE()</f>
        <v>1</v>
      </c>
    </row>
    <row r="46" spans="1:5">
      <c r="A46" t="s">
        <v>105</v>
      </c>
      <c r="B46" t="s">
        <v>78</v>
      </c>
      <c r="C46" t="b">
        <f>TRUE()</f>
        <v>1</v>
      </c>
      <c r="E46" t="b">
        <f>TRUE()</f>
        <v>1</v>
      </c>
    </row>
    <row r="47" spans="1:5">
      <c r="A47" t="s">
        <v>106</v>
      </c>
      <c r="B47" t="s">
        <v>29</v>
      </c>
      <c r="C47" t="b">
        <f>TRUE()</f>
        <v>1</v>
      </c>
      <c r="E47" t="b">
        <f>TRUE()</f>
        <v>1</v>
      </c>
    </row>
    <row r="48" spans="1:5">
      <c r="A48" t="s">
        <v>107</v>
      </c>
      <c r="B48" t="s">
        <v>258</v>
      </c>
      <c r="C48" t="s">
        <v>8</v>
      </c>
      <c r="E48" t="b">
        <v>0</v>
      </c>
    </row>
    <row r="49" spans="1:5">
      <c r="A49" t="s">
        <v>109</v>
      </c>
      <c r="B49" t="s">
        <v>78</v>
      </c>
      <c r="C49" t="b">
        <f>FALSE()</f>
        <v>0</v>
      </c>
      <c r="E49" t="b">
        <f>FALSE()</f>
        <v>0</v>
      </c>
    </row>
    <row r="50" spans="1:5">
      <c r="A50" t="s">
        <v>111</v>
      </c>
      <c r="B50" t="s">
        <v>112</v>
      </c>
      <c r="C50" t="b">
        <f>TRUE()</f>
        <v>1</v>
      </c>
      <c r="E50" t="b">
        <f>TRUE()</f>
        <v>1</v>
      </c>
    </row>
    <row r="51" spans="1:5">
      <c r="A51" t="s">
        <v>113</v>
      </c>
      <c r="B51" t="s">
        <v>114</v>
      </c>
      <c r="C51" t="b">
        <f>TRUE()</f>
        <v>1</v>
      </c>
      <c r="E51" t="b">
        <f>TRUE()</f>
        <v>1</v>
      </c>
    </row>
    <row r="52" spans="1:5">
      <c r="A52" t="s">
        <v>115</v>
      </c>
      <c r="B52" t="s">
        <v>116</v>
      </c>
      <c r="C52" t="b">
        <f>TRUE()</f>
        <v>1</v>
      </c>
      <c r="E52" t="b">
        <f>TRUE()</f>
        <v>1</v>
      </c>
    </row>
    <row r="53" spans="1:5">
      <c r="A53" t="s">
        <v>117</v>
      </c>
      <c r="B53" t="s">
        <v>41</v>
      </c>
      <c r="C53" t="b">
        <f>TRUE()</f>
        <v>1</v>
      </c>
      <c r="E53" t="b">
        <f>TRUE()</f>
        <v>1</v>
      </c>
    </row>
    <row r="54" spans="1:5">
      <c r="A54" t="s">
        <v>118</v>
      </c>
      <c r="B54" t="s">
        <v>258</v>
      </c>
      <c r="C54" t="b">
        <f>FALSE()</f>
        <v>0</v>
      </c>
      <c r="E54" t="b">
        <f>FALSE()</f>
        <v>0</v>
      </c>
    </row>
    <row r="55" spans="1:5">
      <c r="A55" t="s">
        <v>120</v>
      </c>
      <c r="B55" t="s">
        <v>255</v>
      </c>
      <c r="C55" t="b">
        <f>TRUE()</f>
        <v>1</v>
      </c>
      <c r="E55" t="b">
        <f>TRUE()</f>
        <v>1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74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41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259</v>
      </c>
      <c r="C60" t="s">
        <v>8</v>
      </c>
      <c r="E60" t="b">
        <v>0</v>
      </c>
    </row>
    <row r="61" spans="1:5">
      <c r="A61" t="s">
        <v>129</v>
      </c>
      <c r="B61" t="s">
        <v>255</v>
      </c>
      <c r="C61" t="b">
        <f>TRUE()</f>
        <v>1</v>
      </c>
      <c r="E61" t="b">
        <f>TRUE()</f>
        <v>1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260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186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261</v>
      </c>
      <c r="C66" t="s">
        <v>8</v>
      </c>
      <c r="E66" t="b">
        <v>0</v>
      </c>
    </row>
    <row r="67" spans="1:5">
      <c r="A67" t="s">
        <v>141</v>
      </c>
      <c r="B67" t="s">
        <v>262</v>
      </c>
      <c r="C67" t="b">
        <f>TRUE()</f>
        <v>1</v>
      </c>
      <c r="E67" t="b">
        <f>TRUE()</f>
        <v>1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263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186</v>
      </c>
      <c r="C71" t="b">
        <f>TRUE()</f>
        <v>1</v>
      </c>
      <c r="E71" t="b">
        <f>TRUE()</f>
        <v>1</v>
      </c>
    </row>
    <row r="72" spans="1:5">
      <c r="A72" t="s">
        <v>151</v>
      </c>
      <c r="B72" t="s">
        <v>264</v>
      </c>
      <c r="C72" t="s">
        <v>8</v>
      </c>
      <c r="E72" t="b">
        <v>0</v>
      </c>
    </row>
    <row r="73" spans="1:5">
      <c r="A73" t="s">
        <v>153</v>
      </c>
      <c r="B73" t="s">
        <v>255</v>
      </c>
      <c r="C73" t="b">
        <f>FALSE()</f>
        <v>0</v>
      </c>
      <c r="E73" t="b">
        <f>FALSE()</f>
        <v>0</v>
      </c>
    </row>
    <row r="74" spans="1:5">
      <c r="A74" t="s">
        <v>155</v>
      </c>
      <c r="B74" t="s">
        <v>156</v>
      </c>
      <c r="C74" t="b">
        <f>TRUE()</f>
        <v>1</v>
      </c>
      <c r="E74" t="b">
        <f>TRUE()</f>
        <v>1</v>
      </c>
    </row>
    <row r="75" spans="1:5">
      <c r="A75" t="s">
        <v>157</v>
      </c>
      <c r="B75" t="s">
        <v>158</v>
      </c>
      <c r="C75" t="b">
        <f>TRUE()</f>
        <v>1</v>
      </c>
      <c r="E75" t="b">
        <f>TRUE()</f>
        <v>1</v>
      </c>
    </row>
    <row r="76" spans="1:5">
      <c r="A76" t="s">
        <v>159</v>
      </c>
      <c r="B76" t="s">
        <v>265</v>
      </c>
      <c r="C76" t="b">
        <f>TRUE()</f>
        <v>1</v>
      </c>
      <c r="E76" t="b">
        <f>TRUE()</f>
        <v>1</v>
      </c>
    </row>
    <row r="77" spans="1:5">
      <c r="A77" t="s">
        <v>161</v>
      </c>
      <c r="B77" t="s">
        <v>266</v>
      </c>
      <c r="C77" t="b">
        <f>TRUE()</f>
        <v>1</v>
      </c>
      <c r="E77" t="b">
        <f>TRUE()</f>
        <v>1</v>
      </c>
    </row>
    <row r="78" spans="1:5">
      <c r="A78" t="s">
        <v>163</v>
      </c>
      <c r="B78" t="s">
        <v>267</v>
      </c>
      <c r="C78" t="s">
        <v>8</v>
      </c>
      <c r="E78" t="b">
        <v>0</v>
      </c>
    </row>
    <row r="79" spans="1:5">
      <c r="A79" t="s">
        <v>165</v>
      </c>
      <c r="B79" t="s">
        <v>110</v>
      </c>
      <c r="C79" t="b">
        <f>FALSE()</f>
        <v>0</v>
      </c>
      <c r="E79" t="b">
        <f>FALSE()</f>
        <v>0</v>
      </c>
    </row>
    <row r="80" spans="1:5">
      <c r="A80" t="s">
        <v>167</v>
      </c>
      <c r="B80" t="s">
        <v>168</v>
      </c>
      <c r="C80" t="b">
        <f>TRUE()</f>
        <v>1</v>
      </c>
      <c r="E80" t="b">
        <f>TRUE()</f>
        <v>1</v>
      </c>
    </row>
    <row r="81" spans="1:5">
      <c r="A81" t="s">
        <v>169</v>
      </c>
      <c r="B81" t="s">
        <v>170</v>
      </c>
      <c r="C81" t="b">
        <f>TRUE()</f>
        <v>1</v>
      </c>
      <c r="E81" t="b">
        <f>TRUE()</f>
        <v>1</v>
      </c>
    </row>
    <row r="82" spans="1:5">
      <c r="A82" t="s">
        <v>171</v>
      </c>
      <c r="B82" t="s">
        <v>268</v>
      </c>
      <c r="C82" t="b">
        <f>TRUE()</f>
        <v>1</v>
      </c>
      <c r="E82" t="b">
        <f>TRUE()</f>
        <v>1</v>
      </c>
    </row>
    <row r="83" spans="1:5">
      <c r="A83" t="s">
        <v>173</v>
      </c>
      <c r="B83" t="s">
        <v>266</v>
      </c>
      <c r="C83" t="b">
        <f>TRUE()</f>
        <v>1</v>
      </c>
      <c r="E83" t="b">
        <f>TRUE()</f>
        <v>1</v>
      </c>
    </row>
    <row r="84" spans="1:5">
      <c r="A84" t="s">
        <v>175</v>
      </c>
      <c r="B84" t="s">
        <v>269</v>
      </c>
      <c r="C84" t="s">
        <v>8</v>
      </c>
      <c r="E84" t="b">
        <v>0</v>
      </c>
    </row>
    <row r="85" spans="1:5">
      <c r="A85" t="s">
        <v>177</v>
      </c>
      <c r="B85" t="s">
        <v>262</v>
      </c>
      <c r="C85" t="b">
        <f>FALSE()</f>
        <v>0</v>
      </c>
      <c r="E85" t="b">
        <f>FALSE()</f>
        <v>0</v>
      </c>
    </row>
    <row r="86" spans="1:5">
      <c r="A86" t="s">
        <v>179</v>
      </c>
      <c r="B86" t="s">
        <v>180</v>
      </c>
      <c r="C86" t="b">
        <f>TRUE()</f>
        <v>1</v>
      </c>
      <c r="E86" t="b">
        <f>TRUE()</f>
        <v>1</v>
      </c>
    </row>
    <row r="87" spans="1:5">
      <c r="A87" t="s">
        <v>181</v>
      </c>
      <c r="B87" t="s">
        <v>182</v>
      </c>
      <c r="C87" t="b">
        <f>TRUE()</f>
        <v>1</v>
      </c>
      <c r="E87" t="b">
        <f>TRUE()</f>
        <v>1</v>
      </c>
    </row>
    <row r="88" spans="1:5">
      <c r="A88" t="s">
        <v>183</v>
      </c>
      <c r="B88" t="s">
        <v>263</v>
      </c>
      <c r="C88" t="b">
        <f>TRUE()</f>
        <v>1</v>
      </c>
      <c r="E88" t="b">
        <f>TRUE()</f>
        <v>1</v>
      </c>
    </row>
    <row r="89" spans="1:5">
      <c r="A89" t="s">
        <v>185</v>
      </c>
      <c r="B89" t="s">
        <v>186</v>
      </c>
      <c r="C89" t="b">
        <f>TRUE()</f>
        <v>1</v>
      </c>
      <c r="E89" t="b">
        <f>TRUE()</f>
        <v>1</v>
      </c>
    </row>
    <row r="90" spans="1:5">
      <c r="A90" t="s">
        <v>187</v>
      </c>
      <c r="B90" t="s">
        <v>270</v>
      </c>
      <c r="C90" t="s">
        <v>8</v>
      </c>
      <c r="E90" t="b">
        <v>0</v>
      </c>
    </row>
    <row r="91" spans="1:5">
      <c r="A91" t="s">
        <v>189</v>
      </c>
      <c r="B91" t="s">
        <v>255</v>
      </c>
      <c r="C91" t="b">
        <f>FALSE()</f>
        <v>0</v>
      </c>
      <c r="E91" t="b">
        <f>FALSE()</f>
        <v>0</v>
      </c>
    </row>
    <row r="92" spans="1:5">
      <c r="A92" t="s">
        <v>190</v>
      </c>
      <c r="B92" t="s">
        <v>191</v>
      </c>
      <c r="C92" t="b">
        <f>TRUE()</f>
        <v>1</v>
      </c>
      <c r="E92" t="b">
        <f>TRUE()</f>
        <v>1</v>
      </c>
    </row>
    <row r="93" spans="1:5">
      <c r="A93" t="s">
        <v>192</v>
      </c>
      <c r="B93" t="s">
        <v>193</v>
      </c>
      <c r="C93" t="b">
        <f>TRUE()</f>
        <v>1</v>
      </c>
      <c r="E93" t="b">
        <f>TRUE()</f>
        <v>1</v>
      </c>
    </row>
    <row r="94" spans="1:5">
      <c r="A94" t="s">
        <v>194</v>
      </c>
      <c r="B94" t="s">
        <v>116</v>
      </c>
      <c r="C94" t="b">
        <f>TRUE()</f>
        <v>1</v>
      </c>
      <c r="E94" t="b">
        <f>TRUE()</f>
        <v>1</v>
      </c>
    </row>
    <row r="95" spans="1:5">
      <c r="A95" t="s">
        <v>196</v>
      </c>
      <c r="B95" t="s">
        <v>266</v>
      </c>
      <c r="C95" t="b">
        <f>TRUE()</f>
        <v>1</v>
      </c>
      <c r="E95" t="b">
        <f>TRUE()</f>
        <v>1</v>
      </c>
    </row>
    <row r="96" spans="1:5">
      <c r="A96" t="s">
        <v>198</v>
      </c>
      <c r="B96" t="s">
        <v>271</v>
      </c>
      <c r="C96" t="b">
        <f>FALSE()</f>
        <v>0</v>
      </c>
      <c r="E96" t="b">
        <f>FALSE()</f>
        <v>0</v>
      </c>
    </row>
    <row r="97" spans="1:5">
      <c r="A97" t="s">
        <v>200</v>
      </c>
      <c r="B97" t="s">
        <v>201</v>
      </c>
      <c r="C97" t="b">
        <f>TRUE()</f>
        <v>1</v>
      </c>
      <c r="E97" t="b">
        <f>TRUE()</f>
        <v>1</v>
      </c>
    </row>
    <row r="98" spans="1:5">
      <c r="A98" t="s">
        <v>202</v>
      </c>
      <c r="B98" t="s">
        <v>203</v>
      </c>
      <c r="C98" t="b">
        <f>TRUE()</f>
        <v>1</v>
      </c>
      <c r="E98" t="b">
        <f>TRUE()</f>
        <v>1</v>
      </c>
    </row>
    <row r="99" spans="1:5">
      <c r="A99" t="s">
        <v>204</v>
      </c>
      <c r="B99" t="s">
        <v>205</v>
      </c>
      <c r="C99" t="b">
        <f>TRUE()</f>
        <v>1</v>
      </c>
      <c r="E99" t="b">
        <f>TRUE()</f>
        <v>1</v>
      </c>
    </row>
    <row r="100" spans="1:5">
      <c r="A100" t="s">
        <v>206</v>
      </c>
      <c r="B100" t="s">
        <v>207</v>
      </c>
      <c r="C100" t="b">
        <f>TRUE()</f>
        <v>1</v>
      </c>
      <c r="E100" t="b">
        <f>TRUE()</f>
        <v>1</v>
      </c>
    </row>
    <row r="101" spans="1:5">
      <c r="A101" t="s">
        <v>208</v>
      </c>
      <c r="B101" t="s">
        <v>186</v>
      </c>
      <c r="C101" t="b">
        <f>TRUE()</f>
        <v>1</v>
      </c>
      <c r="E101" t="b">
        <f>TRUE()</f>
        <v>1</v>
      </c>
    </row>
    <row r="102" spans="1:5">
      <c r="A102" t="s">
        <v>209</v>
      </c>
      <c r="B102" t="s">
        <v>272</v>
      </c>
      <c r="C102" t="s">
        <v>8</v>
      </c>
      <c r="E102" t="b">
        <v>0</v>
      </c>
    </row>
    <row r="103" spans="1:5">
      <c r="A103" t="s">
        <v>211</v>
      </c>
      <c r="B103" t="s">
        <v>233</v>
      </c>
      <c r="C103" t="b">
        <f>TRUE()</f>
        <v>1</v>
      </c>
      <c r="E103" t="b">
        <f>TRUE()</f>
        <v>1</v>
      </c>
    </row>
    <row r="104" spans="1:5">
      <c r="A104" t="s">
        <v>212</v>
      </c>
      <c r="B104" t="s">
        <v>213</v>
      </c>
      <c r="C104" t="b">
        <f>TRUE()</f>
        <v>1</v>
      </c>
      <c r="E104" t="b">
        <f>TRUE()</f>
        <v>1</v>
      </c>
    </row>
    <row r="105" spans="1:5">
      <c r="A105" t="s">
        <v>214</v>
      </c>
      <c r="B105" t="s">
        <v>215</v>
      </c>
      <c r="C105" t="b">
        <f>TRUE()</f>
        <v>1</v>
      </c>
      <c r="E105" t="b">
        <f>TRUE()</f>
        <v>1</v>
      </c>
    </row>
    <row r="106" spans="1:5">
      <c r="A106" t="s">
        <v>216</v>
      </c>
      <c r="B106" t="s">
        <v>273</v>
      </c>
      <c r="C106" t="b">
        <f>TRUE()</f>
        <v>1</v>
      </c>
      <c r="E106" t="b">
        <f>TRUE()</f>
        <v>1</v>
      </c>
    </row>
    <row r="107" spans="1:5">
      <c r="A107" t="s">
        <v>218</v>
      </c>
      <c r="B107" t="s">
        <v>266</v>
      </c>
      <c r="C107" t="b">
        <f>TRUE()</f>
        <v>1</v>
      </c>
      <c r="E107" t="b">
        <f>TRUE()</f>
        <v>1</v>
      </c>
    </row>
    <row r="108" spans="1:5">
      <c r="A108" t="s">
        <v>219</v>
      </c>
      <c r="B108" t="s">
        <v>274</v>
      </c>
      <c r="C108" t="s">
        <v>8</v>
      </c>
      <c r="E108" t="b">
        <v>0</v>
      </c>
    </row>
    <row r="109" spans="1:5">
      <c r="A109" t="s">
        <v>221</v>
      </c>
      <c r="B109" t="s">
        <v>251</v>
      </c>
      <c r="C109" t="b">
        <f>FALSE()</f>
        <v>0</v>
      </c>
      <c r="E109" t="b">
        <f>FALSE()</f>
        <v>0</v>
      </c>
    </row>
    <row r="110" spans="1:5">
      <c r="A110" t="s">
        <v>223</v>
      </c>
      <c r="B110" t="s">
        <v>224</v>
      </c>
      <c r="C110" t="b">
        <f>TRUE()</f>
        <v>1</v>
      </c>
      <c r="E110" t="b">
        <f>TRUE()</f>
        <v>1</v>
      </c>
    </row>
    <row r="111" spans="1:5">
      <c r="A111" t="s">
        <v>225</v>
      </c>
      <c r="B111" t="s">
        <v>226</v>
      </c>
      <c r="C111" t="b">
        <f>TRUE()</f>
        <v>1</v>
      </c>
      <c r="E111" t="b">
        <f>TRUE()</f>
        <v>1</v>
      </c>
    </row>
    <row r="112" spans="1:5">
      <c r="A112" t="s">
        <v>227</v>
      </c>
      <c r="B112" t="s">
        <v>275</v>
      </c>
      <c r="C112" t="b">
        <f>TRUE()</f>
        <v>1</v>
      </c>
      <c r="E112" t="b">
        <f>TRUE()</f>
        <v>1</v>
      </c>
    </row>
    <row r="113" spans="1:5">
      <c r="A113" t="s">
        <v>229</v>
      </c>
      <c r="B113" t="s">
        <v>186</v>
      </c>
      <c r="C113" t="b">
        <f>TRUE()</f>
        <v>1</v>
      </c>
      <c r="E113" t="b">
        <f>TRUE()</f>
        <v>1</v>
      </c>
    </row>
    <row r="114" spans="1:5">
      <c r="A114" t="s">
        <v>230</v>
      </c>
      <c r="B114" t="s">
        <v>254</v>
      </c>
      <c r="C114" t="s">
        <v>8</v>
      </c>
      <c r="E114" t="b">
        <v>0</v>
      </c>
    </row>
    <row r="115" spans="1:5">
      <c r="A115" t="s">
        <v>232</v>
      </c>
      <c r="B115" t="s">
        <v>110</v>
      </c>
      <c r="C115" t="b">
        <f>TRUE()</f>
        <v>1</v>
      </c>
      <c r="E115" t="b">
        <f>TRUE()</f>
        <v>1</v>
      </c>
    </row>
    <row r="116" spans="1:5">
      <c r="A116" t="s">
        <v>234</v>
      </c>
      <c r="B116" t="s">
        <v>235</v>
      </c>
      <c r="C116" t="b">
        <f>TRUE()</f>
        <v>1</v>
      </c>
      <c r="E116" t="b">
        <f>TRUE()</f>
        <v>1</v>
      </c>
    </row>
    <row r="117" spans="1:5">
      <c r="A117" t="s">
        <v>236</v>
      </c>
      <c r="B117" t="s">
        <v>237</v>
      </c>
      <c r="C117" t="b">
        <f>TRUE()</f>
        <v>1</v>
      </c>
      <c r="E117" t="b">
        <f>TRUE()</f>
        <v>1</v>
      </c>
    </row>
    <row r="118" spans="1:5">
      <c r="A118" t="s">
        <v>238</v>
      </c>
      <c r="B118" t="s">
        <v>239</v>
      </c>
      <c r="C118" t="b">
        <f>TRUE()</f>
        <v>1</v>
      </c>
      <c r="E118" t="b">
        <f>TRUE()</f>
        <v>1</v>
      </c>
    </row>
    <row r="119" spans="1:5">
      <c r="A119" t="s">
        <v>240</v>
      </c>
      <c r="B119" t="s">
        <v>266</v>
      </c>
      <c r="C119" t="b">
        <f>TRUE()</f>
        <v>1</v>
      </c>
      <c r="E119" t="b">
        <f>TRUE()</f>
        <v>1</v>
      </c>
    </row>
    <row r="120" spans="1:5">
      <c r="A120" t="s">
        <v>242</v>
      </c>
      <c r="B120" t="s">
        <v>276</v>
      </c>
      <c r="C120" t="s">
        <v>8</v>
      </c>
      <c r="E120" t="b">
        <v>0</v>
      </c>
    </row>
    <row r="121" spans="1:5">
      <c r="A121" t="s">
        <v>244</v>
      </c>
      <c r="B121" t="s">
        <v>277</v>
      </c>
      <c r="C121" t="b">
        <f>FALSE()</f>
        <v>0</v>
      </c>
      <c r="E12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topLeftCell="A101" zoomScaleNormal="100" workbookViewId="0">
      <selection activeCell="E121" sqref="E121"/>
    </sheetView>
  </sheetViews>
  <sheetFormatPr defaultColWidth="8.5703125" defaultRowHeight="15"/>
  <cols>
    <col min="1" max="1" width="45.140625" customWidth="1"/>
    <col min="2" max="2" width="32.2851562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246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278</v>
      </c>
      <c r="C4" t="b">
        <f>FALSE()</f>
        <v>0</v>
      </c>
      <c r="E4" t="b">
        <f>FALSE()</f>
        <v>0</v>
      </c>
    </row>
    <row r="5" spans="1:5">
      <c r="A5" t="s">
        <v>28</v>
      </c>
      <c r="B5" t="s">
        <v>41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31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33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41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43</v>
      </c>
      <c r="C12" t="b">
        <f>FALSE()</f>
        <v>0</v>
      </c>
      <c r="E12" t="b">
        <f>FALSE()</f>
        <v>0</v>
      </c>
    </row>
    <row r="13" spans="1:5">
      <c r="A13" t="s">
        <v>44</v>
      </c>
      <c r="B13" t="s">
        <v>279</v>
      </c>
      <c r="C13" t="b">
        <f>FALSE()</f>
        <v>0</v>
      </c>
      <c r="E13" t="b">
        <f>FALSE()</f>
        <v>0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41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280</v>
      </c>
      <c r="C18" t="s">
        <v>8</v>
      </c>
      <c r="E18" t="b">
        <v>0</v>
      </c>
    </row>
    <row r="19" spans="1:5">
      <c r="A19" t="s">
        <v>56</v>
      </c>
      <c r="B19" t="s">
        <v>57</v>
      </c>
      <c r="C19" t="b">
        <f>TRUE()</f>
        <v>1</v>
      </c>
      <c r="E19" t="b">
        <f>TRUE()</f>
        <v>1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63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41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281</v>
      </c>
      <c r="C24" t="s">
        <v>8</v>
      </c>
      <c r="E24" t="b">
        <v>0</v>
      </c>
    </row>
    <row r="25" spans="1:5">
      <c r="A25" t="s">
        <v>67</v>
      </c>
      <c r="B25" t="s">
        <v>78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74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41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282</v>
      </c>
      <c r="C30" t="s">
        <v>8</v>
      </c>
      <c r="E30" t="b">
        <v>0</v>
      </c>
    </row>
    <row r="31" spans="1:5">
      <c r="A31" t="s">
        <v>77</v>
      </c>
      <c r="B31" t="s">
        <v>78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29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283</v>
      </c>
      <c r="C36" t="s">
        <v>8</v>
      </c>
      <c r="E36" t="b">
        <v>0</v>
      </c>
    </row>
    <row r="37" spans="1:5">
      <c r="A37" t="s">
        <v>89</v>
      </c>
      <c r="B37" t="s">
        <v>284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84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41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285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78</v>
      </c>
      <c r="C43" t="b">
        <f>FALSE()</f>
        <v>0</v>
      </c>
      <c r="E43" t="b">
        <f>FALSE()</f>
        <v>0</v>
      </c>
    </row>
    <row r="44" spans="1:5">
      <c r="A44" t="s">
        <v>101</v>
      </c>
      <c r="B44" t="s">
        <v>102</v>
      </c>
      <c r="C44" t="b">
        <f>TRUE()</f>
        <v>1</v>
      </c>
      <c r="E44" t="b">
        <f>TRUE()</f>
        <v>1</v>
      </c>
    </row>
    <row r="45" spans="1:5">
      <c r="A45" t="s">
        <v>103</v>
      </c>
      <c r="B45" t="s">
        <v>104</v>
      </c>
      <c r="C45" t="b">
        <f>TRUE()</f>
        <v>1</v>
      </c>
      <c r="E45" t="b">
        <f>TRUE()</f>
        <v>1</v>
      </c>
    </row>
    <row r="46" spans="1:5">
      <c r="A46" t="s">
        <v>105</v>
      </c>
      <c r="B46" t="s">
        <v>78</v>
      </c>
      <c r="C46" t="b">
        <f>TRUE()</f>
        <v>1</v>
      </c>
      <c r="E46" t="b">
        <f>TRUE()</f>
        <v>1</v>
      </c>
    </row>
    <row r="47" spans="1:5">
      <c r="A47" t="s">
        <v>106</v>
      </c>
      <c r="B47" t="s">
        <v>41</v>
      </c>
      <c r="C47" t="b">
        <f>TRUE()</f>
        <v>1</v>
      </c>
      <c r="E47" t="b">
        <f>TRUE()</f>
        <v>1</v>
      </c>
    </row>
    <row r="48" spans="1:5">
      <c r="A48" t="s">
        <v>107</v>
      </c>
      <c r="B48" t="s">
        <v>286</v>
      </c>
      <c r="C48" t="b">
        <f>FALSE()</f>
        <v>0</v>
      </c>
      <c r="E48" t="b">
        <f>FALSE()</f>
        <v>0</v>
      </c>
    </row>
    <row r="49" spans="1:5">
      <c r="A49" t="s">
        <v>109</v>
      </c>
      <c r="B49" t="s">
        <v>110</v>
      </c>
      <c r="C49" t="b">
        <f>FALSE()</f>
        <v>0</v>
      </c>
      <c r="E49" t="b">
        <f>FALSE()</f>
        <v>0</v>
      </c>
    </row>
    <row r="50" spans="1:5">
      <c r="A50" t="s">
        <v>111</v>
      </c>
      <c r="B50" t="s">
        <v>112</v>
      </c>
      <c r="C50" t="b">
        <f>TRUE()</f>
        <v>1</v>
      </c>
      <c r="E50" t="b">
        <f>TRUE()</f>
        <v>1</v>
      </c>
    </row>
    <row r="51" spans="1:5">
      <c r="A51" t="s">
        <v>113</v>
      </c>
      <c r="B51" t="s">
        <v>114</v>
      </c>
      <c r="C51" t="b">
        <f>TRUE()</f>
        <v>1</v>
      </c>
      <c r="E51" t="b">
        <f>TRUE()</f>
        <v>1</v>
      </c>
    </row>
    <row r="52" spans="1:5">
      <c r="A52" t="s">
        <v>115</v>
      </c>
      <c r="B52" t="s">
        <v>116</v>
      </c>
      <c r="C52" t="b">
        <f>TRUE()</f>
        <v>1</v>
      </c>
      <c r="E52" t="b">
        <f>TRUE()</f>
        <v>1</v>
      </c>
    </row>
    <row r="53" spans="1:5">
      <c r="A53" t="s">
        <v>117</v>
      </c>
      <c r="B53" t="s">
        <v>41</v>
      </c>
      <c r="C53" t="b">
        <f>TRUE()</f>
        <v>1</v>
      </c>
      <c r="E53" t="b">
        <f>TRUE()</f>
        <v>1</v>
      </c>
    </row>
    <row r="54" spans="1:5">
      <c r="A54" t="s">
        <v>118</v>
      </c>
      <c r="B54" t="s">
        <v>287</v>
      </c>
      <c r="C54" t="b">
        <f>FALSE()</f>
        <v>0</v>
      </c>
      <c r="E54" t="b">
        <f>FALSE()</f>
        <v>0</v>
      </c>
    </row>
    <row r="55" spans="1:5">
      <c r="A55" t="s">
        <v>120</v>
      </c>
      <c r="B55" t="s">
        <v>255</v>
      </c>
      <c r="C55" t="b">
        <f>TRUE()</f>
        <v>1</v>
      </c>
      <c r="E55" t="b">
        <f>TRUE()</f>
        <v>1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74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41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288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255</v>
      </c>
      <c r="C61" t="b">
        <f>TRUE()</f>
        <v>1</v>
      </c>
      <c r="E61" t="b">
        <f>TRUE()</f>
        <v>1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FALSE()</f>
        <v>0</v>
      </c>
      <c r="E64" t="b">
        <f>FALSE()</f>
        <v>0</v>
      </c>
    </row>
    <row r="65" spans="1:5">
      <c r="A65" t="s">
        <v>137</v>
      </c>
      <c r="B65" t="s">
        <v>138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289</v>
      </c>
      <c r="C66" t="s">
        <v>8</v>
      </c>
      <c r="E66" t="b">
        <v>0</v>
      </c>
    </row>
    <row r="67" spans="1:5">
      <c r="A67" t="s">
        <v>141</v>
      </c>
      <c r="B67" t="s">
        <v>253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186</v>
      </c>
      <c r="C71" t="b">
        <f>TRUE()</f>
        <v>1</v>
      </c>
      <c r="E71" t="b">
        <f>TRUE()</f>
        <v>1</v>
      </c>
    </row>
    <row r="72" spans="1:5">
      <c r="A72" t="s">
        <v>151</v>
      </c>
      <c r="B72" t="s">
        <v>290</v>
      </c>
      <c r="C72" t="b">
        <f>FALSE()</f>
        <v>0</v>
      </c>
      <c r="E72" t="b">
        <f>FALSE()</f>
        <v>0</v>
      </c>
    </row>
    <row r="73" spans="1:5">
      <c r="A73" t="s">
        <v>153</v>
      </c>
      <c r="B73" t="s">
        <v>78</v>
      </c>
      <c r="C73" t="b">
        <f>FALSE()</f>
        <v>0</v>
      </c>
      <c r="E73" t="b">
        <f>FALSE()</f>
        <v>0</v>
      </c>
    </row>
    <row r="74" spans="1:5">
      <c r="A74" t="s">
        <v>155</v>
      </c>
      <c r="B74" t="s">
        <v>156</v>
      </c>
      <c r="C74" t="b">
        <f>TRUE()</f>
        <v>1</v>
      </c>
      <c r="E74" t="b">
        <f>TRUE()</f>
        <v>1</v>
      </c>
    </row>
    <row r="75" spans="1:5">
      <c r="A75" t="s">
        <v>157</v>
      </c>
      <c r="B75" t="s">
        <v>158</v>
      </c>
      <c r="C75" t="b">
        <f>TRUE()</f>
        <v>1</v>
      </c>
      <c r="E75" t="b">
        <f>TRUE()</f>
        <v>1</v>
      </c>
    </row>
    <row r="76" spans="1:5">
      <c r="A76" t="s">
        <v>159</v>
      </c>
      <c r="B76" t="s">
        <v>265</v>
      </c>
      <c r="C76" t="b">
        <f>TRUE()</f>
        <v>1</v>
      </c>
      <c r="E76" t="b">
        <f>TRUE()</f>
        <v>1</v>
      </c>
    </row>
    <row r="77" spans="1:5">
      <c r="A77" t="s">
        <v>161</v>
      </c>
      <c r="B77" t="s">
        <v>291</v>
      </c>
      <c r="C77" t="b">
        <f>TRUE()</f>
        <v>1</v>
      </c>
      <c r="E77" t="b">
        <f>TRUE()</f>
        <v>1</v>
      </c>
    </row>
    <row r="78" spans="1:5">
      <c r="A78" t="s">
        <v>163</v>
      </c>
      <c r="B78" t="s">
        <v>292</v>
      </c>
      <c r="C78" t="b">
        <f>FALSE()</f>
        <v>0</v>
      </c>
      <c r="E78" t="b">
        <f>FALSE()</f>
        <v>0</v>
      </c>
    </row>
    <row r="79" spans="1:5">
      <c r="A79" t="s">
        <v>165</v>
      </c>
      <c r="B79" t="s">
        <v>110</v>
      </c>
      <c r="C79" t="b">
        <f>FALSE()</f>
        <v>0</v>
      </c>
      <c r="E79" t="b">
        <f>FALSE()</f>
        <v>0</v>
      </c>
    </row>
    <row r="80" spans="1:5">
      <c r="A80" t="s">
        <v>167</v>
      </c>
      <c r="B80" t="s">
        <v>180</v>
      </c>
      <c r="C80" t="b">
        <f>FALSE()</f>
        <v>0</v>
      </c>
      <c r="E80" t="b">
        <f>FALSE()</f>
        <v>0</v>
      </c>
    </row>
    <row r="81" spans="1:5">
      <c r="A81" t="s">
        <v>169</v>
      </c>
      <c r="B81" t="s">
        <v>170</v>
      </c>
      <c r="C81" t="b">
        <f>TRUE()</f>
        <v>1</v>
      </c>
      <c r="E81" t="b">
        <f>TRUE()</f>
        <v>1</v>
      </c>
    </row>
    <row r="82" spans="1:5">
      <c r="A82" t="s">
        <v>171</v>
      </c>
      <c r="B82" t="s">
        <v>172</v>
      </c>
      <c r="C82" t="b">
        <f>TRUE()</f>
        <v>1</v>
      </c>
      <c r="E82" t="b">
        <f>TRUE()</f>
        <v>1</v>
      </c>
    </row>
    <row r="83" spans="1:5">
      <c r="A83" t="s">
        <v>173</v>
      </c>
      <c r="B83" t="s">
        <v>186</v>
      </c>
      <c r="C83" t="b">
        <f>TRUE()</f>
        <v>1</v>
      </c>
      <c r="E83" t="b">
        <f>TRUE()</f>
        <v>1</v>
      </c>
    </row>
    <row r="84" spans="1:5">
      <c r="A84" t="s">
        <v>175</v>
      </c>
      <c r="B84" t="s">
        <v>293</v>
      </c>
      <c r="C84" t="b">
        <f>FALSE()</f>
        <v>0</v>
      </c>
      <c r="E84" t="b">
        <f>FALSE()</f>
        <v>0</v>
      </c>
    </row>
    <row r="85" spans="1:5">
      <c r="A85" t="s">
        <v>177</v>
      </c>
      <c r="B85" t="s">
        <v>255</v>
      </c>
      <c r="C85" t="b">
        <f>FALSE()</f>
        <v>0</v>
      </c>
      <c r="E85" t="b">
        <f>FALSE()</f>
        <v>0</v>
      </c>
    </row>
    <row r="86" spans="1:5">
      <c r="A86" t="s">
        <v>179</v>
      </c>
      <c r="B86" t="s">
        <v>180</v>
      </c>
      <c r="C86" t="b">
        <f>TRUE()</f>
        <v>1</v>
      </c>
      <c r="E86" t="b">
        <f>TRUE()</f>
        <v>1</v>
      </c>
    </row>
    <row r="87" spans="1:5">
      <c r="A87" t="s">
        <v>181</v>
      </c>
      <c r="B87" t="s">
        <v>182</v>
      </c>
      <c r="C87" t="b">
        <f>TRUE()</f>
        <v>1</v>
      </c>
      <c r="E87" t="b">
        <f>TRUE()</f>
        <v>1</v>
      </c>
    </row>
    <row r="88" spans="1:5">
      <c r="A88" t="s">
        <v>183</v>
      </c>
      <c r="B88" t="s">
        <v>263</v>
      </c>
      <c r="C88" t="b">
        <f>TRUE()</f>
        <v>1</v>
      </c>
      <c r="E88" t="b">
        <f>TRUE()</f>
        <v>1</v>
      </c>
    </row>
    <row r="89" spans="1:5">
      <c r="A89" t="s">
        <v>185</v>
      </c>
      <c r="B89" t="s">
        <v>186</v>
      </c>
      <c r="C89" t="b">
        <f>TRUE()</f>
        <v>1</v>
      </c>
      <c r="E89" t="b">
        <f>TRUE()</f>
        <v>1</v>
      </c>
    </row>
    <row r="90" spans="1:5">
      <c r="A90" t="s">
        <v>187</v>
      </c>
      <c r="B90" t="s">
        <v>294</v>
      </c>
      <c r="C90" t="b">
        <f>FALSE()</f>
        <v>0</v>
      </c>
      <c r="E90" t="b">
        <f>FALSE()</f>
        <v>0</v>
      </c>
    </row>
    <row r="91" spans="1:5">
      <c r="A91" t="s">
        <v>189</v>
      </c>
      <c r="B91" t="s">
        <v>110</v>
      </c>
      <c r="C91" t="b">
        <f>FALSE()</f>
        <v>0</v>
      </c>
      <c r="E91" t="b">
        <f>FALSE()</f>
        <v>0</v>
      </c>
    </row>
    <row r="92" spans="1:5">
      <c r="A92" t="s">
        <v>190</v>
      </c>
      <c r="B92" t="s">
        <v>191</v>
      </c>
      <c r="C92" t="b">
        <f>TRUE()</f>
        <v>1</v>
      </c>
      <c r="E92" t="b">
        <f>TRUE()</f>
        <v>1</v>
      </c>
    </row>
    <row r="93" spans="1:5">
      <c r="A93" t="s">
        <v>192</v>
      </c>
      <c r="B93" t="s">
        <v>193</v>
      </c>
      <c r="C93" t="b">
        <f>TRUE()</f>
        <v>1</v>
      </c>
      <c r="E93" t="b">
        <f>TRUE()</f>
        <v>1</v>
      </c>
    </row>
    <row r="94" spans="1:5">
      <c r="A94" t="s">
        <v>194</v>
      </c>
      <c r="B94" t="s">
        <v>295</v>
      </c>
      <c r="C94" t="b">
        <f>TRUE()</f>
        <v>1</v>
      </c>
      <c r="E94" t="b">
        <f>TRUE()</f>
        <v>1</v>
      </c>
    </row>
    <row r="95" spans="1:5">
      <c r="A95" t="s">
        <v>196</v>
      </c>
      <c r="B95" t="s">
        <v>296</v>
      </c>
      <c r="C95" t="b">
        <f>TRUE()</f>
        <v>1</v>
      </c>
      <c r="E95" t="b">
        <f>TRUE()</f>
        <v>1</v>
      </c>
    </row>
    <row r="96" spans="1:5">
      <c r="A96" t="s">
        <v>198</v>
      </c>
      <c r="B96" t="s">
        <v>297</v>
      </c>
      <c r="C96" t="b">
        <f>FALSE()</f>
        <v>0</v>
      </c>
      <c r="E96" t="b">
        <f>FALSE()</f>
        <v>0</v>
      </c>
    </row>
    <row r="97" spans="1:5">
      <c r="A97" t="s">
        <v>200</v>
      </c>
      <c r="B97" t="s">
        <v>253</v>
      </c>
      <c r="C97" t="b">
        <f>FALSE()</f>
        <v>0</v>
      </c>
      <c r="E97" t="b">
        <f>FALSE()</f>
        <v>0</v>
      </c>
    </row>
    <row r="98" spans="1:5">
      <c r="A98" t="s">
        <v>202</v>
      </c>
      <c r="B98" t="s">
        <v>203</v>
      </c>
      <c r="C98" t="b">
        <f>TRUE()</f>
        <v>1</v>
      </c>
      <c r="E98" t="b">
        <f>TRUE()</f>
        <v>1</v>
      </c>
    </row>
    <row r="99" spans="1:5">
      <c r="A99" t="s">
        <v>204</v>
      </c>
      <c r="B99" t="s">
        <v>205</v>
      </c>
      <c r="C99" t="b">
        <f>TRUE()</f>
        <v>1</v>
      </c>
      <c r="E99" t="b">
        <f>TRUE()</f>
        <v>1</v>
      </c>
    </row>
    <row r="100" spans="1:5">
      <c r="A100" t="s">
        <v>206</v>
      </c>
      <c r="B100" t="s">
        <v>207</v>
      </c>
      <c r="C100" t="b">
        <f>TRUE()</f>
        <v>1</v>
      </c>
      <c r="E100" t="b">
        <f>TRUE()</f>
        <v>1</v>
      </c>
    </row>
    <row r="101" spans="1:5">
      <c r="A101" t="s">
        <v>208</v>
      </c>
      <c r="B101" t="s">
        <v>186</v>
      </c>
      <c r="C101" t="b">
        <f>TRUE()</f>
        <v>1</v>
      </c>
      <c r="E101" t="b">
        <f>TRUE()</f>
        <v>1</v>
      </c>
    </row>
    <row r="102" spans="1:5">
      <c r="A102" t="s">
        <v>209</v>
      </c>
      <c r="B102" t="s">
        <v>298</v>
      </c>
      <c r="C102" t="b">
        <f>FALSE()</f>
        <v>0</v>
      </c>
      <c r="E102" t="b">
        <f>FALSE()</f>
        <v>0</v>
      </c>
    </row>
    <row r="103" spans="1:5">
      <c r="A103" t="s">
        <v>211</v>
      </c>
      <c r="B103" t="s">
        <v>110</v>
      </c>
      <c r="C103" t="b">
        <f>FALSE()</f>
        <v>0</v>
      </c>
      <c r="E103" t="b">
        <f>FALSE()</f>
        <v>0</v>
      </c>
    </row>
    <row r="104" spans="1:5">
      <c r="A104" t="s">
        <v>212</v>
      </c>
      <c r="B104" t="s">
        <v>213</v>
      </c>
      <c r="C104" t="b">
        <f>TRUE()</f>
        <v>1</v>
      </c>
      <c r="E104" t="b">
        <f>TRUE()</f>
        <v>1</v>
      </c>
    </row>
    <row r="105" spans="1:5">
      <c r="A105" t="s">
        <v>214</v>
      </c>
      <c r="B105" t="s">
        <v>215</v>
      </c>
      <c r="C105" t="b">
        <f>TRUE()</f>
        <v>1</v>
      </c>
      <c r="E105" t="b">
        <f>TRUE()</f>
        <v>1</v>
      </c>
    </row>
    <row r="106" spans="1:5">
      <c r="A106" t="s">
        <v>216</v>
      </c>
      <c r="B106" t="s">
        <v>299</v>
      </c>
      <c r="C106" t="b">
        <f>FALSE()</f>
        <v>0</v>
      </c>
      <c r="E106" t="b">
        <f>FALSE()</f>
        <v>0</v>
      </c>
    </row>
    <row r="107" spans="1:5">
      <c r="A107" t="s">
        <v>218</v>
      </c>
      <c r="B107" t="s">
        <v>186</v>
      </c>
      <c r="C107" t="b">
        <f>TRUE()</f>
        <v>1</v>
      </c>
      <c r="E107" t="b">
        <f>TRUE()</f>
        <v>1</v>
      </c>
    </row>
    <row r="108" spans="1:5">
      <c r="A108" t="s">
        <v>219</v>
      </c>
      <c r="B108" t="s">
        <v>300</v>
      </c>
      <c r="C108" t="b">
        <f>FALSE()</f>
        <v>0</v>
      </c>
      <c r="E108" t="b">
        <f>FALSE()</f>
        <v>0</v>
      </c>
    </row>
    <row r="109" spans="1:5">
      <c r="A109" t="s">
        <v>221</v>
      </c>
      <c r="B109" t="s">
        <v>249</v>
      </c>
      <c r="C109" t="b">
        <f>FALSE()</f>
        <v>0</v>
      </c>
      <c r="E109" t="b">
        <f>FALSE()</f>
        <v>0</v>
      </c>
    </row>
    <row r="110" spans="1:5">
      <c r="A110" t="s">
        <v>223</v>
      </c>
      <c r="B110" t="s">
        <v>224</v>
      </c>
      <c r="C110" t="b">
        <f>TRUE()</f>
        <v>1</v>
      </c>
      <c r="E110" t="b">
        <f>TRUE()</f>
        <v>1</v>
      </c>
    </row>
    <row r="111" spans="1:5">
      <c r="A111" t="s">
        <v>225</v>
      </c>
      <c r="B111" t="s">
        <v>226</v>
      </c>
      <c r="C111" t="b">
        <f>TRUE()</f>
        <v>1</v>
      </c>
      <c r="E111" t="b">
        <f>TRUE()</f>
        <v>1</v>
      </c>
    </row>
    <row r="112" spans="1:5">
      <c r="A112" t="s">
        <v>227</v>
      </c>
      <c r="B112" t="s">
        <v>275</v>
      </c>
      <c r="C112" t="b">
        <f>TRUE()</f>
        <v>1</v>
      </c>
      <c r="E112" t="b">
        <f>TRUE()</f>
        <v>1</v>
      </c>
    </row>
    <row r="113" spans="1:5">
      <c r="A113" t="s">
        <v>229</v>
      </c>
      <c r="B113" t="s">
        <v>186</v>
      </c>
      <c r="C113" t="b">
        <f>TRUE()</f>
        <v>1</v>
      </c>
      <c r="E113" t="b">
        <f>TRUE()</f>
        <v>1</v>
      </c>
    </row>
    <row r="114" spans="1:5">
      <c r="A114" t="s">
        <v>230</v>
      </c>
      <c r="B114" t="s">
        <v>301</v>
      </c>
      <c r="C114" t="b">
        <f>FALSE()</f>
        <v>0</v>
      </c>
      <c r="E114" t="b">
        <f>FALSE()</f>
        <v>0</v>
      </c>
    </row>
    <row r="115" spans="1:5">
      <c r="A115" t="s">
        <v>232</v>
      </c>
      <c r="B115" t="s">
        <v>110</v>
      </c>
      <c r="C115" t="b">
        <f>TRUE()</f>
        <v>1</v>
      </c>
      <c r="E115" t="b">
        <f>TRUE()</f>
        <v>1</v>
      </c>
    </row>
    <row r="116" spans="1:5">
      <c r="A116" t="s">
        <v>234</v>
      </c>
      <c r="B116" t="s">
        <v>235</v>
      </c>
      <c r="C116" t="b">
        <f>TRUE()</f>
        <v>1</v>
      </c>
      <c r="E116" t="b">
        <f>TRUE()</f>
        <v>1</v>
      </c>
    </row>
    <row r="117" spans="1:5">
      <c r="A117" t="s">
        <v>236</v>
      </c>
      <c r="B117" t="s">
        <v>237</v>
      </c>
      <c r="C117" t="b">
        <f>TRUE()</f>
        <v>1</v>
      </c>
      <c r="E117" t="b">
        <f>TRUE()</f>
        <v>1</v>
      </c>
    </row>
    <row r="118" spans="1:5">
      <c r="A118" t="s">
        <v>238</v>
      </c>
      <c r="B118" t="s">
        <v>239</v>
      </c>
      <c r="C118" t="b">
        <f>TRUE()</f>
        <v>1</v>
      </c>
      <c r="E118" t="b">
        <f>TRUE()</f>
        <v>1</v>
      </c>
    </row>
    <row r="119" spans="1:5">
      <c r="A119" t="s">
        <v>240</v>
      </c>
      <c r="B119" t="s">
        <v>186</v>
      </c>
      <c r="C119" t="b">
        <f>TRUE()</f>
        <v>1</v>
      </c>
      <c r="E119" t="b">
        <f>TRUE()</f>
        <v>1</v>
      </c>
    </row>
    <row r="120" spans="1:5">
      <c r="A120" t="s">
        <v>242</v>
      </c>
      <c r="B120" t="s">
        <v>302</v>
      </c>
      <c r="C120" t="b">
        <f>FALSE()</f>
        <v>0</v>
      </c>
      <c r="E120" t="b">
        <f>FALSE()</f>
        <v>0</v>
      </c>
    </row>
    <row r="121" spans="1:5">
      <c r="A121" t="s">
        <v>244</v>
      </c>
      <c r="B121" t="s">
        <v>110</v>
      </c>
      <c r="C121" t="b">
        <f>FALSE()</f>
        <v>0</v>
      </c>
      <c r="E12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1"/>
  <sheetViews>
    <sheetView topLeftCell="A91" zoomScaleNormal="100" workbookViewId="0">
      <selection activeCell="E121" sqref="E121"/>
    </sheetView>
  </sheetViews>
  <sheetFormatPr defaultColWidth="8.5703125" defaultRowHeight="15"/>
  <cols>
    <col min="1" max="1" width="45.140625" customWidth="1"/>
    <col min="2" max="2" width="31" customWidth="1"/>
    <col min="5" max="5" width="10.570312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246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41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270</v>
      </c>
      <c r="C6" t="s">
        <v>8</v>
      </c>
      <c r="E6" t="b">
        <v>0</v>
      </c>
    </row>
    <row r="7" spans="1:5">
      <c r="A7" t="s">
        <v>32</v>
      </c>
      <c r="B7" t="s">
        <v>255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41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303</v>
      </c>
      <c r="C12" t="s">
        <v>8</v>
      </c>
      <c r="E12" t="b">
        <v>0</v>
      </c>
    </row>
    <row r="13" spans="1:5">
      <c r="A13" t="s">
        <v>44</v>
      </c>
      <c r="B13" t="s">
        <v>78</v>
      </c>
      <c r="C13" t="b">
        <f>FALSE()</f>
        <v>0</v>
      </c>
      <c r="E13" t="b">
        <f>FALSE()</f>
        <v>0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41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250</v>
      </c>
      <c r="C18" t="s">
        <v>8</v>
      </c>
      <c r="E18" t="b">
        <v>0</v>
      </c>
    </row>
    <row r="19" spans="1:5">
      <c r="A19" t="s">
        <v>56</v>
      </c>
      <c r="B19" t="s">
        <v>262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63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41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304</v>
      </c>
      <c r="C24" t="s">
        <v>8</v>
      </c>
      <c r="E24" t="b">
        <v>0</v>
      </c>
    </row>
    <row r="25" spans="1:5">
      <c r="A25" t="s">
        <v>67</v>
      </c>
      <c r="B25" t="s">
        <v>255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74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41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254</v>
      </c>
      <c r="C30" t="s">
        <v>8</v>
      </c>
      <c r="E30" t="b">
        <v>0</v>
      </c>
    </row>
    <row r="31" spans="1:5">
      <c r="A31" t="s">
        <v>77</v>
      </c>
      <c r="B31" t="s">
        <v>255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41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305</v>
      </c>
      <c r="C36" t="s">
        <v>8</v>
      </c>
      <c r="E36" t="b">
        <v>0</v>
      </c>
    </row>
    <row r="37" spans="1:5">
      <c r="A37" t="s">
        <v>89</v>
      </c>
      <c r="B37" t="s">
        <v>78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84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41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271</v>
      </c>
      <c r="C42" t="s">
        <v>8</v>
      </c>
      <c r="E42" t="b">
        <v>0</v>
      </c>
    </row>
    <row r="43" spans="1:5">
      <c r="A43" t="s">
        <v>99</v>
      </c>
      <c r="B43" t="s">
        <v>255</v>
      </c>
      <c r="C43" t="b">
        <f>FALSE()</f>
        <v>0</v>
      </c>
      <c r="E43" t="b">
        <f>FALSE()</f>
        <v>0</v>
      </c>
    </row>
    <row r="44" spans="1:5">
      <c r="A44" t="s">
        <v>101</v>
      </c>
      <c r="B44" t="s">
        <v>102</v>
      </c>
      <c r="C44" t="b">
        <f>TRUE()</f>
        <v>1</v>
      </c>
      <c r="E44" t="b">
        <f>TRUE()</f>
        <v>1</v>
      </c>
    </row>
    <row r="45" spans="1:5">
      <c r="A45" t="s">
        <v>103</v>
      </c>
      <c r="B45" t="s">
        <v>104</v>
      </c>
      <c r="C45" t="b">
        <f>TRUE()</f>
        <v>1</v>
      </c>
      <c r="E45" t="b">
        <f>TRUE()</f>
        <v>1</v>
      </c>
    </row>
    <row r="46" spans="1:5">
      <c r="A46" t="s">
        <v>105</v>
      </c>
      <c r="B46" t="s">
        <v>78</v>
      </c>
      <c r="C46" t="b">
        <f>TRUE()</f>
        <v>1</v>
      </c>
      <c r="E46" t="b">
        <f>TRUE()</f>
        <v>1</v>
      </c>
    </row>
    <row r="47" spans="1:5">
      <c r="A47" t="s">
        <v>106</v>
      </c>
      <c r="B47" t="s">
        <v>41</v>
      </c>
      <c r="C47" t="b">
        <f>TRUE()</f>
        <v>1</v>
      </c>
      <c r="E47" t="b">
        <f>TRUE()</f>
        <v>1</v>
      </c>
    </row>
    <row r="48" spans="1:5">
      <c r="A48" t="s">
        <v>107</v>
      </c>
      <c r="B48" t="s">
        <v>306</v>
      </c>
      <c r="C48" t="s">
        <v>8</v>
      </c>
      <c r="E48" t="b">
        <v>0</v>
      </c>
    </row>
    <row r="49" spans="1:5">
      <c r="A49" t="s">
        <v>109</v>
      </c>
      <c r="B49" t="s">
        <v>110</v>
      </c>
      <c r="C49" t="b">
        <f>FALSE()</f>
        <v>0</v>
      </c>
      <c r="E49" t="b">
        <f>FALSE()</f>
        <v>0</v>
      </c>
    </row>
    <row r="50" spans="1:5">
      <c r="A50" t="s">
        <v>111</v>
      </c>
      <c r="B50" t="s">
        <v>112</v>
      </c>
      <c r="C50" t="b">
        <f>TRUE()</f>
        <v>1</v>
      </c>
      <c r="E50" t="b">
        <f>TRUE()</f>
        <v>1</v>
      </c>
    </row>
    <row r="51" spans="1:5">
      <c r="A51" t="s">
        <v>113</v>
      </c>
      <c r="B51" t="s">
        <v>114</v>
      </c>
      <c r="C51" t="b">
        <f>TRUE()</f>
        <v>1</v>
      </c>
      <c r="E51" t="b">
        <f>TRUE()</f>
        <v>1</v>
      </c>
    </row>
    <row r="52" spans="1:5">
      <c r="A52" t="s">
        <v>115</v>
      </c>
      <c r="B52" t="s">
        <v>116</v>
      </c>
      <c r="C52" t="b">
        <f>TRUE()</f>
        <v>1</v>
      </c>
      <c r="E52" t="b">
        <f>TRUE()</f>
        <v>1</v>
      </c>
    </row>
    <row r="53" spans="1:5">
      <c r="A53" t="s">
        <v>117</v>
      </c>
      <c r="B53" t="s">
        <v>41</v>
      </c>
      <c r="C53" t="b">
        <f>TRUE()</f>
        <v>1</v>
      </c>
      <c r="E53" t="b">
        <f>TRUE()</f>
        <v>1</v>
      </c>
    </row>
    <row r="54" spans="1:5">
      <c r="A54" t="s">
        <v>118</v>
      </c>
      <c r="B54" t="s">
        <v>287</v>
      </c>
      <c r="C54" t="b">
        <f>FALSE()</f>
        <v>0</v>
      </c>
      <c r="E54" t="b">
        <f>FALSE()</f>
        <v>0</v>
      </c>
    </row>
    <row r="55" spans="1:5">
      <c r="A55" t="s">
        <v>120</v>
      </c>
      <c r="B55" t="s">
        <v>110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74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41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259</v>
      </c>
      <c r="C60" t="s">
        <v>8</v>
      </c>
      <c r="E60" t="b">
        <v>0</v>
      </c>
    </row>
    <row r="61" spans="1:5">
      <c r="A61" t="s">
        <v>129</v>
      </c>
      <c r="B61" t="s">
        <v>110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260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186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289</v>
      </c>
      <c r="C66" t="s">
        <v>8</v>
      </c>
      <c r="E66" t="b">
        <v>0</v>
      </c>
    </row>
    <row r="67" spans="1:5">
      <c r="A67" t="s">
        <v>141</v>
      </c>
      <c r="B67" t="s">
        <v>255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263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186</v>
      </c>
      <c r="C71" t="b">
        <f>TRUE()</f>
        <v>1</v>
      </c>
      <c r="E71" t="b">
        <f>TRUE()</f>
        <v>1</v>
      </c>
    </row>
    <row r="72" spans="1:5">
      <c r="A72" t="s">
        <v>151</v>
      </c>
      <c r="B72" t="s">
        <v>307</v>
      </c>
      <c r="C72" t="s">
        <v>8</v>
      </c>
      <c r="E72" t="b">
        <v>0</v>
      </c>
    </row>
    <row r="73" spans="1:5">
      <c r="A73" t="s">
        <v>153</v>
      </c>
      <c r="B73" t="s">
        <v>110</v>
      </c>
      <c r="C73" t="b">
        <f>FALSE()</f>
        <v>0</v>
      </c>
      <c r="E73" t="b">
        <f>FALSE()</f>
        <v>0</v>
      </c>
    </row>
    <row r="74" spans="1:5">
      <c r="A74" t="s">
        <v>155</v>
      </c>
      <c r="B74" t="s">
        <v>156</v>
      </c>
      <c r="C74" t="b">
        <f>TRUE()</f>
        <v>1</v>
      </c>
      <c r="E74" t="b">
        <f>TRUE()</f>
        <v>1</v>
      </c>
    </row>
    <row r="75" spans="1:5">
      <c r="A75" t="s">
        <v>157</v>
      </c>
      <c r="B75" t="s">
        <v>158</v>
      </c>
      <c r="C75" t="b">
        <f>TRUE()</f>
        <v>1</v>
      </c>
      <c r="E75" t="b">
        <f>TRUE()</f>
        <v>1</v>
      </c>
    </row>
    <row r="76" spans="1:5">
      <c r="A76" t="s">
        <v>159</v>
      </c>
      <c r="B76" t="s">
        <v>265</v>
      </c>
      <c r="C76" t="b">
        <f>TRUE()</f>
        <v>1</v>
      </c>
      <c r="E76" t="b">
        <f>TRUE()</f>
        <v>1</v>
      </c>
    </row>
    <row r="77" spans="1:5">
      <c r="A77" t="s">
        <v>161</v>
      </c>
      <c r="B77" t="s">
        <v>186</v>
      </c>
      <c r="C77" t="b">
        <f>TRUE()</f>
        <v>1</v>
      </c>
      <c r="E77" t="b">
        <f>TRUE()</f>
        <v>1</v>
      </c>
    </row>
    <row r="78" spans="1:5">
      <c r="A78" t="s">
        <v>163</v>
      </c>
      <c r="B78" t="s">
        <v>267</v>
      </c>
      <c r="C78" t="s">
        <v>8</v>
      </c>
      <c r="E78" t="b">
        <v>0</v>
      </c>
    </row>
    <row r="79" spans="1:5">
      <c r="A79" t="s">
        <v>165</v>
      </c>
      <c r="B79" t="s">
        <v>110</v>
      </c>
      <c r="C79" t="b">
        <f>FALSE()</f>
        <v>0</v>
      </c>
      <c r="E79" t="b">
        <f>FALSE()</f>
        <v>0</v>
      </c>
    </row>
    <row r="80" spans="1:5">
      <c r="A80" t="s">
        <v>167</v>
      </c>
      <c r="B80" t="s">
        <v>168</v>
      </c>
      <c r="C80" t="b">
        <f>TRUE()</f>
        <v>1</v>
      </c>
      <c r="E80" t="b">
        <f>TRUE()</f>
        <v>1</v>
      </c>
    </row>
    <row r="81" spans="1:5">
      <c r="A81" t="s">
        <v>169</v>
      </c>
      <c r="B81" t="s">
        <v>170</v>
      </c>
      <c r="C81" t="b">
        <f>TRUE()</f>
        <v>1</v>
      </c>
      <c r="E81" t="b">
        <f>TRUE()</f>
        <v>1</v>
      </c>
    </row>
    <row r="82" spans="1:5">
      <c r="A82" t="s">
        <v>171</v>
      </c>
      <c r="B82" t="s">
        <v>268</v>
      </c>
      <c r="C82" t="b">
        <f>TRUE()</f>
        <v>1</v>
      </c>
      <c r="E82" t="b">
        <f>TRUE()</f>
        <v>1</v>
      </c>
    </row>
    <row r="83" spans="1:5">
      <c r="A83" t="s">
        <v>173</v>
      </c>
      <c r="B83" t="s">
        <v>186</v>
      </c>
      <c r="C83" t="b">
        <f>TRUE()</f>
        <v>1</v>
      </c>
      <c r="E83" t="b">
        <f>TRUE()</f>
        <v>1</v>
      </c>
    </row>
    <row r="84" spans="1:5">
      <c r="A84" t="s">
        <v>175</v>
      </c>
      <c r="B84" t="s">
        <v>269</v>
      </c>
      <c r="C84" t="s">
        <v>8</v>
      </c>
      <c r="E84" t="b">
        <v>0</v>
      </c>
    </row>
    <row r="85" spans="1:5">
      <c r="A85" t="s">
        <v>177</v>
      </c>
      <c r="B85" t="s">
        <v>255</v>
      </c>
      <c r="C85" t="b">
        <f>FALSE()</f>
        <v>0</v>
      </c>
      <c r="E85" t="b">
        <f>FALSE()</f>
        <v>0</v>
      </c>
    </row>
    <row r="86" spans="1:5">
      <c r="A86" t="s">
        <v>179</v>
      </c>
      <c r="B86" t="s">
        <v>180</v>
      </c>
      <c r="C86" t="b">
        <f>TRUE()</f>
        <v>1</v>
      </c>
      <c r="E86" t="b">
        <f>TRUE()</f>
        <v>1</v>
      </c>
    </row>
    <row r="87" spans="1:5">
      <c r="A87" t="s">
        <v>181</v>
      </c>
      <c r="B87" t="s">
        <v>182</v>
      </c>
      <c r="C87" t="b">
        <f>TRUE()</f>
        <v>1</v>
      </c>
      <c r="E87" t="b">
        <f>TRUE()</f>
        <v>1</v>
      </c>
    </row>
    <row r="88" spans="1:5">
      <c r="A88" t="s">
        <v>183</v>
      </c>
      <c r="B88" t="s">
        <v>263</v>
      </c>
      <c r="C88" t="b">
        <f>TRUE()</f>
        <v>1</v>
      </c>
      <c r="E88" t="b">
        <f>TRUE()</f>
        <v>1</v>
      </c>
    </row>
    <row r="89" spans="1:5">
      <c r="A89" t="s">
        <v>185</v>
      </c>
      <c r="B89" t="s">
        <v>186</v>
      </c>
      <c r="C89" t="b">
        <f>TRUE()</f>
        <v>1</v>
      </c>
      <c r="E89" t="b">
        <f>TRUE()</f>
        <v>1</v>
      </c>
    </row>
    <row r="90" spans="1:5">
      <c r="A90" t="s">
        <v>187</v>
      </c>
      <c r="B90" t="s">
        <v>270</v>
      </c>
      <c r="C90" t="s">
        <v>8</v>
      </c>
      <c r="E90" t="b">
        <v>0</v>
      </c>
    </row>
    <row r="91" spans="1:5">
      <c r="A91" t="s">
        <v>189</v>
      </c>
      <c r="B91" t="s">
        <v>110</v>
      </c>
      <c r="C91" t="b">
        <f>FALSE()</f>
        <v>0</v>
      </c>
      <c r="E91" t="b">
        <f>FALSE()</f>
        <v>0</v>
      </c>
    </row>
    <row r="92" spans="1:5">
      <c r="A92" t="s">
        <v>190</v>
      </c>
      <c r="B92" t="s">
        <v>191</v>
      </c>
      <c r="C92" t="b">
        <f>TRUE()</f>
        <v>1</v>
      </c>
      <c r="E92" t="b">
        <f>TRUE()</f>
        <v>1</v>
      </c>
    </row>
    <row r="93" spans="1:5">
      <c r="A93" t="s">
        <v>192</v>
      </c>
      <c r="B93" t="s">
        <v>193</v>
      </c>
      <c r="C93" t="b">
        <f>TRUE()</f>
        <v>1</v>
      </c>
      <c r="E93" t="b">
        <f>TRUE()</f>
        <v>1</v>
      </c>
    </row>
    <row r="94" spans="1:5">
      <c r="A94" t="s">
        <v>194</v>
      </c>
      <c r="B94" t="s">
        <v>116</v>
      </c>
      <c r="C94" t="b">
        <f>TRUE()</f>
        <v>1</v>
      </c>
      <c r="E94" t="b">
        <f>TRUE()</f>
        <v>1</v>
      </c>
    </row>
    <row r="95" spans="1:5">
      <c r="A95" t="s">
        <v>196</v>
      </c>
      <c r="B95" t="s">
        <v>186</v>
      </c>
      <c r="C95" t="b">
        <f>TRUE()</f>
        <v>1</v>
      </c>
      <c r="E95" t="b">
        <f>TRUE()</f>
        <v>1</v>
      </c>
    </row>
    <row r="96" spans="1:5">
      <c r="A96" t="s">
        <v>198</v>
      </c>
      <c r="B96" t="s">
        <v>308</v>
      </c>
      <c r="C96" t="s">
        <v>8</v>
      </c>
      <c r="E96" t="b">
        <v>0</v>
      </c>
    </row>
    <row r="97" spans="1:5">
      <c r="A97" t="s">
        <v>200</v>
      </c>
      <c r="B97" t="s">
        <v>309</v>
      </c>
      <c r="C97" t="b">
        <f>FALSE()</f>
        <v>0</v>
      </c>
      <c r="E97" t="b">
        <f>FALSE()</f>
        <v>0</v>
      </c>
    </row>
    <row r="98" spans="1:5">
      <c r="A98" t="s">
        <v>202</v>
      </c>
      <c r="B98" t="s">
        <v>203</v>
      </c>
      <c r="C98" t="b">
        <f>TRUE()</f>
        <v>1</v>
      </c>
      <c r="E98" t="b">
        <f>TRUE()</f>
        <v>1</v>
      </c>
    </row>
    <row r="99" spans="1:5">
      <c r="A99" t="s">
        <v>204</v>
      </c>
      <c r="B99" t="s">
        <v>205</v>
      </c>
      <c r="C99" t="b">
        <f>TRUE()</f>
        <v>1</v>
      </c>
      <c r="E99" t="b">
        <f>TRUE()</f>
        <v>1</v>
      </c>
    </row>
    <row r="100" spans="1:5">
      <c r="A100" t="s">
        <v>206</v>
      </c>
      <c r="B100" t="s">
        <v>207</v>
      </c>
      <c r="C100" t="b">
        <f>TRUE()</f>
        <v>1</v>
      </c>
      <c r="E100" t="b">
        <f>TRUE()</f>
        <v>1</v>
      </c>
    </row>
    <row r="101" spans="1:5">
      <c r="A101" t="s">
        <v>208</v>
      </c>
      <c r="B101" t="s">
        <v>186</v>
      </c>
      <c r="C101" t="b">
        <f>TRUE()</f>
        <v>1</v>
      </c>
      <c r="E101" t="b">
        <f>TRUE()</f>
        <v>1</v>
      </c>
    </row>
    <row r="102" spans="1:5">
      <c r="A102" t="s">
        <v>209</v>
      </c>
      <c r="B102" t="s">
        <v>310</v>
      </c>
      <c r="C102" t="s">
        <v>8</v>
      </c>
      <c r="E102" t="b">
        <v>0</v>
      </c>
    </row>
    <row r="103" spans="1:5">
      <c r="A103" t="s">
        <v>211</v>
      </c>
      <c r="B103" t="s">
        <v>233</v>
      </c>
      <c r="C103" t="b">
        <f>TRUE()</f>
        <v>1</v>
      </c>
      <c r="E103" t="b">
        <f>TRUE()</f>
        <v>1</v>
      </c>
    </row>
    <row r="104" spans="1:5">
      <c r="A104" t="s">
        <v>212</v>
      </c>
      <c r="B104" t="s">
        <v>213</v>
      </c>
      <c r="C104" t="b">
        <f>TRUE()</f>
        <v>1</v>
      </c>
      <c r="E104" t="b">
        <f>TRUE()</f>
        <v>1</v>
      </c>
    </row>
    <row r="105" spans="1:5">
      <c r="A105" t="s">
        <v>214</v>
      </c>
      <c r="B105" t="s">
        <v>215</v>
      </c>
      <c r="C105" t="b">
        <f>TRUE()</f>
        <v>1</v>
      </c>
      <c r="E105" t="b">
        <f>TRUE()</f>
        <v>1</v>
      </c>
    </row>
    <row r="106" spans="1:5">
      <c r="A106" t="s">
        <v>216</v>
      </c>
      <c r="B106" t="s">
        <v>273</v>
      </c>
      <c r="C106" t="b">
        <f>TRUE()</f>
        <v>1</v>
      </c>
      <c r="E106" t="b">
        <f>TRUE()</f>
        <v>1</v>
      </c>
    </row>
    <row r="107" spans="1:5">
      <c r="A107" t="s">
        <v>218</v>
      </c>
      <c r="B107" t="s">
        <v>186</v>
      </c>
      <c r="C107" t="b">
        <f>TRUE()</f>
        <v>1</v>
      </c>
      <c r="E107" t="b">
        <f>TRUE()</f>
        <v>1</v>
      </c>
    </row>
    <row r="108" spans="1:5">
      <c r="A108" t="s">
        <v>219</v>
      </c>
      <c r="B108" t="s">
        <v>300</v>
      </c>
      <c r="C108" t="b">
        <f>FALSE()</f>
        <v>0</v>
      </c>
      <c r="E108" t="b">
        <f>FALSE()</f>
        <v>0</v>
      </c>
    </row>
    <row r="109" spans="1:5">
      <c r="A109" t="s">
        <v>221</v>
      </c>
      <c r="B109" t="s">
        <v>255</v>
      </c>
      <c r="C109" t="b">
        <f>FALSE()</f>
        <v>0</v>
      </c>
      <c r="E109" t="b">
        <f>FALSE()</f>
        <v>0</v>
      </c>
    </row>
    <row r="110" spans="1:5">
      <c r="A110" t="s">
        <v>223</v>
      </c>
      <c r="B110" t="s">
        <v>224</v>
      </c>
      <c r="C110" t="b">
        <f>TRUE()</f>
        <v>1</v>
      </c>
      <c r="E110" t="b">
        <f>TRUE()</f>
        <v>1</v>
      </c>
    </row>
    <row r="111" spans="1:5">
      <c r="A111" t="s">
        <v>225</v>
      </c>
      <c r="B111" t="s">
        <v>226</v>
      </c>
      <c r="C111" t="b">
        <f>TRUE()</f>
        <v>1</v>
      </c>
      <c r="E111" t="b">
        <f>TRUE()</f>
        <v>1</v>
      </c>
    </row>
    <row r="112" spans="1:5">
      <c r="A112" t="s">
        <v>227</v>
      </c>
      <c r="B112" t="s">
        <v>275</v>
      </c>
      <c r="C112" t="b">
        <f>TRUE()</f>
        <v>1</v>
      </c>
      <c r="E112" t="b">
        <f>TRUE()</f>
        <v>1</v>
      </c>
    </row>
    <row r="113" spans="1:5">
      <c r="A113" t="s">
        <v>229</v>
      </c>
      <c r="B113" t="s">
        <v>186</v>
      </c>
      <c r="C113" t="b">
        <f>TRUE()</f>
        <v>1</v>
      </c>
      <c r="E113" t="b">
        <f>TRUE()</f>
        <v>1</v>
      </c>
    </row>
    <row r="114" spans="1:5">
      <c r="A114" t="s">
        <v>230</v>
      </c>
      <c r="B114" t="s">
        <v>254</v>
      </c>
      <c r="C114" t="s">
        <v>8</v>
      </c>
      <c r="E114" t="b">
        <v>0</v>
      </c>
    </row>
    <row r="115" spans="1:5">
      <c r="A115" t="s">
        <v>232</v>
      </c>
      <c r="B115" t="s">
        <v>110</v>
      </c>
      <c r="C115" t="b">
        <f>TRUE()</f>
        <v>1</v>
      </c>
      <c r="E115" t="b">
        <f>TRUE()</f>
        <v>1</v>
      </c>
    </row>
    <row r="116" spans="1:5">
      <c r="A116" t="s">
        <v>234</v>
      </c>
      <c r="B116" t="s">
        <v>235</v>
      </c>
      <c r="C116" t="b">
        <f>TRUE()</f>
        <v>1</v>
      </c>
      <c r="E116" t="b">
        <f>TRUE()</f>
        <v>1</v>
      </c>
    </row>
    <row r="117" spans="1:5">
      <c r="A117" t="s">
        <v>236</v>
      </c>
      <c r="B117" t="s">
        <v>237</v>
      </c>
      <c r="C117" t="b">
        <f>TRUE()</f>
        <v>1</v>
      </c>
      <c r="E117" t="b">
        <f>TRUE()</f>
        <v>1</v>
      </c>
    </row>
    <row r="118" spans="1:5">
      <c r="A118" t="s">
        <v>238</v>
      </c>
      <c r="B118" t="s">
        <v>239</v>
      </c>
      <c r="C118" t="b">
        <f>TRUE()</f>
        <v>1</v>
      </c>
      <c r="E118" t="b">
        <f>TRUE()</f>
        <v>1</v>
      </c>
    </row>
    <row r="119" spans="1:5">
      <c r="A119" t="s">
        <v>240</v>
      </c>
      <c r="B119" t="s">
        <v>186</v>
      </c>
      <c r="C119" t="b">
        <f>TRUE()</f>
        <v>1</v>
      </c>
      <c r="E119" t="b">
        <f>TRUE()</f>
        <v>1</v>
      </c>
    </row>
    <row r="120" spans="1:5">
      <c r="A120" t="s">
        <v>242</v>
      </c>
      <c r="B120" t="s">
        <v>311</v>
      </c>
      <c r="C120" t="s">
        <v>8</v>
      </c>
      <c r="E120" t="b">
        <v>0</v>
      </c>
    </row>
    <row r="121" spans="1:5">
      <c r="A121" t="s">
        <v>244</v>
      </c>
      <c r="B121" t="s">
        <v>110</v>
      </c>
      <c r="C121" t="b">
        <f>FALSE()</f>
        <v>0</v>
      </c>
      <c r="E12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topLeftCell="A95" zoomScaleNormal="100" workbookViewId="0">
      <selection activeCell="E133" sqref="E133"/>
    </sheetView>
  </sheetViews>
  <sheetFormatPr defaultColWidth="8.5703125" defaultRowHeight="15"/>
  <cols>
    <col min="1" max="1" width="43.5703125" customWidth="1"/>
    <col min="2" max="2" width="29.42578125" customWidth="1"/>
    <col min="4" max="4" width="29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246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41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312</v>
      </c>
      <c r="C6" t="s">
        <v>8</v>
      </c>
      <c r="E6" t="s">
        <v>8</v>
      </c>
    </row>
    <row r="7" spans="1:5">
      <c r="A7" t="s">
        <v>32</v>
      </c>
      <c r="B7" t="s">
        <v>253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41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313</v>
      </c>
      <c r="C12" t="s">
        <v>8</v>
      </c>
      <c r="E12" t="s">
        <v>8</v>
      </c>
    </row>
    <row r="13" spans="1:5">
      <c r="A13" t="s">
        <v>44</v>
      </c>
      <c r="B13" t="s">
        <v>45</v>
      </c>
      <c r="C13" t="b">
        <f>TRUE()</f>
        <v>1</v>
      </c>
      <c r="E13" t="b">
        <f>TRUE()</f>
        <v>1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314</v>
      </c>
      <c r="C18" t="s">
        <v>8</v>
      </c>
      <c r="E18" t="s">
        <v>8</v>
      </c>
    </row>
    <row r="19" spans="1:5">
      <c r="A19" t="s">
        <v>56</v>
      </c>
      <c r="B19" t="s">
        <v>57</v>
      </c>
      <c r="C19" t="b">
        <f>TRUE()</f>
        <v>1</v>
      </c>
      <c r="E19" t="b">
        <f>TRUE()</f>
        <v>1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63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66</v>
      </c>
      <c r="C24" t="s">
        <v>8</v>
      </c>
      <c r="E24" t="s">
        <v>8</v>
      </c>
    </row>
    <row r="25" spans="1:5">
      <c r="A25" t="s">
        <v>67</v>
      </c>
      <c r="B25" t="s">
        <v>110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74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315</v>
      </c>
      <c r="C30" t="s">
        <v>8</v>
      </c>
      <c r="E30" t="b">
        <v>0</v>
      </c>
    </row>
    <row r="31" spans="1:5">
      <c r="A31" t="s">
        <v>77</v>
      </c>
      <c r="B31" t="s">
        <v>78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29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316</v>
      </c>
      <c r="C36" t="b">
        <f>FALSE()</f>
        <v>0</v>
      </c>
      <c r="E36" t="b">
        <f>FALSE()</f>
        <v>0</v>
      </c>
    </row>
    <row r="37" spans="1:5">
      <c r="A37" t="s">
        <v>89</v>
      </c>
      <c r="B37" t="s">
        <v>317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84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29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98</v>
      </c>
      <c r="C42" t="s">
        <v>8</v>
      </c>
      <c r="E42" t="b">
        <v>0</v>
      </c>
    </row>
    <row r="43" spans="1:5">
      <c r="A43" t="s">
        <v>99</v>
      </c>
      <c r="B43" t="s">
        <v>78</v>
      </c>
      <c r="C43" t="b">
        <f>FALSE()</f>
        <v>0</v>
      </c>
      <c r="E43" t="b">
        <f>FALSE()</f>
        <v>0</v>
      </c>
    </row>
    <row r="44" spans="1:5">
      <c r="A44" t="s">
        <v>101</v>
      </c>
      <c r="B44" t="s">
        <v>102</v>
      </c>
      <c r="C44" t="b">
        <f>TRUE()</f>
        <v>1</v>
      </c>
      <c r="E44" t="b">
        <f>TRUE()</f>
        <v>1</v>
      </c>
    </row>
    <row r="45" spans="1:5">
      <c r="A45" t="s">
        <v>103</v>
      </c>
      <c r="B45" t="s">
        <v>104</v>
      </c>
      <c r="C45" t="b">
        <f>TRUE()</f>
        <v>1</v>
      </c>
      <c r="E45" t="b">
        <f>TRUE()</f>
        <v>1</v>
      </c>
    </row>
    <row r="46" spans="1:5">
      <c r="A46" t="s">
        <v>105</v>
      </c>
      <c r="B46" t="s">
        <v>78</v>
      </c>
      <c r="C46" t="b">
        <f>TRUE()</f>
        <v>1</v>
      </c>
      <c r="E46" t="b">
        <f>TRUE()</f>
        <v>1</v>
      </c>
    </row>
    <row r="47" spans="1:5">
      <c r="A47" t="s">
        <v>106</v>
      </c>
      <c r="B47" t="s">
        <v>29</v>
      </c>
      <c r="C47" t="b">
        <f>TRUE()</f>
        <v>1</v>
      </c>
      <c r="E47" t="b">
        <f>TRUE()</f>
        <v>1</v>
      </c>
    </row>
    <row r="48" spans="1:5">
      <c r="A48" t="s">
        <v>107</v>
      </c>
      <c r="B48" t="s">
        <v>108</v>
      </c>
      <c r="C48" t="s">
        <v>8</v>
      </c>
      <c r="E48" t="b">
        <v>0</v>
      </c>
    </row>
    <row r="49" spans="1:5">
      <c r="A49" t="s">
        <v>109</v>
      </c>
      <c r="B49" t="s">
        <v>110</v>
      </c>
      <c r="C49" t="b">
        <f>FALSE()</f>
        <v>0</v>
      </c>
      <c r="E49" t="b">
        <f>FALSE()</f>
        <v>0</v>
      </c>
    </row>
    <row r="50" spans="1:5">
      <c r="A50" t="s">
        <v>111</v>
      </c>
      <c r="B50" t="s">
        <v>112</v>
      </c>
      <c r="C50" t="b">
        <f>TRUE()</f>
        <v>1</v>
      </c>
      <c r="E50" t="b">
        <f>TRUE()</f>
        <v>1</v>
      </c>
    </row>
    <row r="51" spans="1:5">
      <c r="A51" t="s">
        <v>113</v>
      </c>
      <c r="B51" t="s">
        <v>114</v>
      </c>
      <c r="C51" t="b">
        <f>TRUE()</f>
        <v>1</v>
      </c>
      <c r="E51" t="b">
        <f>TRUE()</f>
        <v>1</v>
      </c>
    </row>
    <row r="52" spans="1:5">
      <c r="A52" t="s">
        <v>115</v>
      </c>
      <c r="B52" t="s">
        <v>116</v>
      </c>
      <c r="C52" t="b">
        <f>TRUE()</f>
        <v>1</v>
      </c>
      <c r="E52" t="b">
        <f>TRUE()</f>
        <v>1</v>
      </c>
    </row>
    <row r="53" spans="1:5">
      <c r="A53" t="s">
        <v>117</v>
      </c>
      <c r="B53" t="s">
        <v>29</v>
      </c>
      <c r="C53" t="b">
        <f>TRUE()</f>
        <v>1</v>
      </c>
      <c r="E53" t="b">
        <f>TRUE()</f>
        <v>1</v>
      </c>
    </row>
    <row r="54" spans="1:5">
      <c r="A54" t="s">
        <v>118</v>
      </c>
      <c r="B54" t="s">
        <v>318</v>
      </c>
      <c r="C54" t="b">
        <f>FALSE()</f>
        <v>0</v>
      </c>
      <c r="E54" t="b">
        <f>FALSE()</f>
        <v>0</v>
      </c>
    </row>
    <row r="55" spans="1:5">
      <c r="A55" t="s">
        <v>120</v>
      </c>
      <c r="B55" t="s">
        <v>110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74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29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319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110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260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266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140</v>
      </c>
      <c r="C66" t="b">
        <f>FALSE()</f>
        <v>0</v>
      </c>
      <c r="E66" t="b">
        <f>FALSE()</f>
        <v>0</v>
      </c>
    </row>
    <row r="67" spans="1:5">
      <c r="A67" t="s">
        <v>141</v>
      </c>
      <c r="B67" t="s">
        <v>78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263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266</v>
      </c>
      <c r="C71" t="b">
        <f>TRUE()</f>
        <v>1</v>
      </c>
      <c r="E71" t="b">
        <f>TRUE()</f>
        <v>1</v>
      </c>
    </row>
    <row r="72" spans="1:5">
      <c r="A72" t="s">
        <v>151</v>
      </c>
      <c r="B72" t="s">
        <v>320</v>
      </c>
      <c r="C72" t="b">
        <f>FALSE()</f>
        <v>0</v>
      </c>
      <c r="E72" t="b">
        <f>FALSE()</f>
        <v>0</v>
      </c>
    </row>
    <row r="73" spans="1:5">
      <c r="A73" t="s">
        <v>153</v>
      </c>
      <c r="B73" t="s">
        <v>78</v>
      </c>
      <c r="C73" t="b">
        <f>FALSE()</f>
        <v>0</v>
      </c>
      <c r="E73" t="b">
        <f>FALSE()</f>
        <v>0</v>
      </c>
    </row>
    <row r="74" spans="1:5">
      <c r="A74" t="s">
        <v>155</v>
      </c>
      <c r="B74" t="s">
        <v>156</v>
      </c>
      <c r="C74" t="b">
        <f>TRUE()</f>
        <v>1</v>
      </c>
      <c r="E74" t="b">
        <f>TRUE()</f>
        <v>1</v>
      </c>
    </row>
    <row r="75" spans="1:5">
      <c r="A75" t="s">
        <v>157</v>
      </c>
      <c r="B75" t="s">
        <v>158</v>
      </c>
      <c r="C75" t="b">
        <f>TRUE()</f>
        <v>1</v>
      </c>
      <c r="E75" t="b">
        <f>TRUE()</f>
        <v>1</v>
      </c>
    </row>
    <row r="76" spans="1:5">
      <c r="A76" t="s">
        <v>159</v>
      </c>
      <c r="B76" t="s">
        <v>265</v>
      </c>
      <c r="C76" t="b">
        <f>TRUE()</f>
        <v>1</v>
      </c>
      <c r="E76" t="b">
        <f>TRUE()</f>
        <v>1</v>
      </c>
    </row>
    <row r="77" spans="1:5">
      <c r="A77" t="s">
        <v>161</v>
      </c>
      <c r="B77" t="s">
        <v>266</v>
      </c>
      <c r="C77" t="b">
        <f>TRUE()</f>
        <v>1</v>
      </c>
      <c r="E77" t="b">
        <f>TRUE()</f>
        <v>1</v>
      </c>
    </row>
    <row r="78" spans="1:5">
      <c r="A78" t="s">
        <v>163</v>
      </c>
      <c r="B78" t="s">
        <v>320</v>
      </c>
      <c r="C78" t="s">
        <v>8</v>
      </c>
      <c r="E78" t="b">
        <v>0</v>
      </c>
    </row>
    <row r="79" spans="1:5">
      <c r="A79" t="s">
        <v>165</v>
      </c>
      <c r="B79" t="s">
        <v>110</v>
      </c>
      <c r="C79" t="b">
        <f>FALSE()</f>
        <v>0</v>
      </c>
      <c r="E79" t="b">
        <f>FALSE()</f>
        <v>0</v>
      </c>
    </row>
    <row r="80" spans="1:5">
      <c r="A80" t="s">
        <v>167</v>
      </c>
      <c r="B80" t="s">
        <v>168</v>
      </c>
      <c r="C80" t="b">
        <f>TRUE()</f>
        <v>1</v>
      </c>
      <c r="E80" t="b">
        <f>TRUE()</f>
        <v>1</v>
      </c>
    </row>
    <row r="81" spans="1:5">
      <c r="A81" t="s">
        <v>169</v>
      </c>
      <c r="B81" t="s">
        <v>170</v>
      </c>
      <c r="C81" t="b">
        <f>TRUE()</f>
        <v>1</v>
      </c>
      <c r="E81" t="b">
        <f>TRUE()</f>
        <v>1</v>
      </c>
    </row>
    <row r="82" spans="1:5">
      <c r="A82" t="s">
        <v>171</v>
      </c>
      <c r="B82" t="s">
        <v>268</v>
      </c>
      <c r="C82" t="b">
        <f>TRUE()</f>
        <v>1</v>
      </c>
      <c r="E82" t="b">
        <f>TRUE()</f>
        <v>1</v>
      </c>
    </row>
    <row r="83" spans="1:5">
      <c r="A83" t="s">
        <v>173</v>
      </c>
      <c r="B83" t="s">
        <v>266</v>
      </c>
      <c r="C83" t="b">
        <f>TRUE()</f>
        <v>1</v>
      </c>
      <c r="E83" t="b">
        <f>TRUE()</f>
        <v>1</v>
      </c>
    </row>
    <row r="84" spans="1:5">
      <c r="A84" t="s">
        <v>175</v>
      </c>
      <c r="B84" t="s">
        <v>293</v>
      </c>
      <c r="C84" t="b">
        <f>FALSE()</f>
        <v>0</v>
      </c>
      <c r="E84" t="b">
        <f>FALSE()</f>
        <v>0</v>
      </c>
    </row>
    <row r="85" spans="1:5">
      <c r="A85" t="s">
        <v>177</v>
      </c>
      <c r="B85" t="s">
        <v>253</v>
      </c>
      <c r="C85" t="b">
        <f>FALSE()</f>
        <v>0</v>
      </c>
      <c r="E85" t="b">
        <f>FALSE()</f>
        <v>0</v>
      </c>
    </row>
    <row r="86" spans="1:5">
      <c r="A86" t="s">
        <v>179</v>
      </c>
      <c r="B86" t="s">
        <v>180</v>
      </c>
      <c r="C86" t="b">
        <f>TRUE()</f>
        <v>1</v>
      </c>
      <c r="E86" t="b">
        <f>TRUE()</f>
        <v>1</v>
      </c>
    </row>
    <row r="87" spans="1:5">
      <c r="A87" t="s">
        <v>181</v>
      </c>
      <c r="B87" t="s">
        <v>182</v>
      </c>
      <c r="C87" t="b">
        <f>TRUE()</f>
        <v>1</v>
      </c>
      <c r="E87" t="b">
        <f>TRUE()</f>
        <v>1</v>
      </c>
    </row>
    <row r="88" spans="1:5">
      <c r="A88" t="s">
        <v>183</v>
      </c>
      <c r="B88" t="s">
        <v>263</v>
      </c>
      <c r="C88" t="b">
        <f>TRUE()</f>
        <v>1</v>
      </c>
      <c r="E88" t="b">
        <f>TRUE()</f>
        <v>1</v>
      </c>
    </row>
    <row r="89" spans="1:5">
      <c r="A89" t="s">
        <v>185</v>
      </c>
      <c r="B89" t="s">
        <v>266</v>
      </c>
      <c r="C89" t="b">
        <f>TRUE()</f>
        <v>1</v>
      </c>
      <c r="E89" t="b">
        <f>TRUE()</f>
        <v>1</v>
      </c>
    </row>
    <row r="90" spans="1:5">
      <c r="A90" t="s">
        <v>187</v>
      </c>
      <c r="B90" t="s">
        <v>321</v>
      </c>
      <c r="C90" t="b">
        <f>FALSE()</f>
        <v>0</v>
      </c>
      <c r="E90" t="b">
        <f>FALSE()</f>
        <v>0</v>
      </c>
    </row>
    <row r="91" spans="1:5">
      <c r="A91" t="s">
        <v>189</v>
      </c>
      <c r="B91" t="s">
        <v>110</v>
      </c>
      <c r="C91" t="b">
        <f>FALSE()</f>
        <v>0</v>
      </c>
      <c r="E91" t="b">
        <f>FALSE()</f>
        <v>0</v>
      </c>
    </row>
    <row r="92" spans="1:5">
      <c r="A92" t="s">
        <v>190</v>
      </c>
      <c r="B92" t="s">
        <v>191</v>
      </c>
      <c r="C92" t="b">
        <f>TRUE()</f>
        <v>1</v>
      </c>
      <c r="E92" t="b">
        <f>TRUE()</f>
        <v>1</v>
      </c>
    </row>
    <row r="93" spans="1:5">
      <c r="A93" t="s">
        <v>192</v>
      </c>
      <c r="B93" t="s">
        <v>193</v>
      </c>
      <c r="C93" t="b">
        <f>TRUE()</f>
        <v>1</v>
      </c>
      <c r="E93" t="b">
        <f>TRUE()</f>
        <v>1</v>
      </c>
    </row>
    <row r="94" spans="1:5">
      <c r="A94" t="s">
        <v>194</v>
      </c>
      <c r="B94" t="s">
        <v>116</v>
      </c>
      <c r="C94" t="b">
        <f>TRUE()</f>
        <v>1</v>
      </c>
      <c r="E94" t="b">
        <f>TRUE()</f>
        <v>1</v>
      </c>
    </row>
    <row r="95" spans="1:5">
      <c r="A95" t="s">
        <v>196</v>
      </c>
      <c r="B95" t="s">
        <v>266</v>
      </c>
      <c r="C95" t="b">
        <f>TRUE()</f>
        <v>1</v>
      </c>
      <c r="E95" t="b">
        <f>TRUE()</f>
        <v>1</v>
      </c>
    </row>
    <row r="96" spans="1:5">
      <c r="A96" t="s">
        <v>198</v>
      </c>
      <c r="B96" t="s">
        <v>322</v>
      </c>
      <c r="C96" t="s">
        <v>8</v>
      </c>
      <c r="D96" t="s">
        <v>323</v>
      </c>
      <c r="E96" t="b">
        <v>0</v>
      </c>
    </row>
    <row r="97" spans="1:5">
      <c r="A97" t="s">
        <v>200</v>
      </c>
      <c r="B97" t="s">
        <v>201</v>
      </c>
      <c r="C97" t="b">
        <f>TRUE()</f>
        <v>1</v>
      </c>
      <c r="E97" t="b">
        <f>TRUE()</f>
        <v>1</v>
      </c>
    </row>
    <row r="98" spans="1:5">
      <c r="A98" t="s">
        <v>202</v>
      </c>
      <c r="B98" t="s">
        <v>203</v>
      </c>
      <c r="C98" t="b">
        <f>TRUE()</f>
        <v>1</v>
      </c>
      <c r="E98" t="b">
        <f>TRUE()</f>
        <v>1</v>
      </c>
    </row>
    <row r="99" spans="1:5">
      <c r="A99" t="s">
        <v>204</v>
      </c>
      <c r="B99" t="s">
        <v>205</v>
      </c>
      <c r="C99" t="b">
        <f>TRUE()</f>
        <v>1</v>
      </c>
      <c r="E99" t="b">
        <f>TRUE()</f>
        <v>1</v>
      </c>
    </row>
    <row r="100" spans="1:5">
      <c r="A100" t="s">
        <v>206</v>
      </c>
      <c r="B100" t="s">
        <v>207</v>
      </c>
      <c r="C100" t="b">
        <f>TRUE()</f>
        <v>1</v>
      </c>
      <c r="E100" t="b">
        <f>TRUE()</f>
        <v>1</v>
      </c>
    </row>
    <row r="101" spans="1:5">
      <c r="A101" t="s">
        <v>208</v>
      </c>
      <c r="B101" t="s">
        <v>266</v>
      </c>
      <c r="C101" t="b">
        <f>TRUE()</f>
        <v>1</v>
      </c>
      <c r="E101" t="b">
        <f>TRUE()</f>
        <v>1</v>
      </c>
    </row>
    <row r="102" spans="1:5">
      <c r="A102" t="s">
        <v>209</v>
      </c>
      <c r="B102" t="s">
        <v>324</v>
      </c>
      <c r="C102" t="b">
        <f>FALSE()</f>
        <v>0</v>
      </c>
      <c r="E102" t="b">
        <f>FALSE()</f>
        <v>0</v>
      </c>
    </row>
    <row r="103" spans="1:5">
      <c r="A103" t="s">
        <v>211</v>
      </c>
      <c r="B103" t="s">
        <v>325</v>
      </c>
      <c r="C103" t="b">
        <f>FALSE()</f>
        <v>0</v>
      </c>
      <c r="E103" t="b">
        <f>FALSE()</f>
        <v>0</v>
      </c>
    </row>
    <row r="104" spans="1:5">
      <c r="A104" t="s">
        <v>212</v>
      </c>
      <c r="B104" t="s">
        <v>213</v>
      </c>
      <c r="C104" t="b">
        <f>TRUE()</f>
        <v>1</v>
      </c>
      <c r="E104" t="b">
        <f>TRUE()</f>
        <v>1</v>
      </c>
    </row>
    <row r="105" spans="1:5">
      <c r="A105" t="s">
        <v>214</v>
      </c>
      <c r="B105" t="s">
        <v>215</v>
      </c>
      <c r="C105" t="b">
        <f>TRUE()</f>
        <v>1</v>
      </c>
      <c r="E105" t="b">
        <f>TRUE()</f>
        <v>1</v>
      </c>
    </row>
    <row r="106" spans="1:5">
      <c r="A106" t="s">
        <v>216</v>
      </c>
      <c r="B106" t="s">
        <v>273</v>
      </c>
      <c r="C106" t="b">
        <f>TRUE()</f>
        <v>1</v>
      </c>
      <c r="E106" t="b">
        <f>TRUE()</f>
        <v>1</v>
      </c>
    </row>
    <row r="107" spans="1:5">
      <c r="A107" t="s">
        <v>218</v>
      </c>
      <c r="B107" t="s">
        <v>266</v>
      </c>
      <c r="C107" t="b">
        <f>TRUE()</f>
        <v>1</v>
      </c>
      <c r="E107" t="b">
        <f>TRUE()</f>
        <v>1</v>
      </c>
    </row>
    <row r="108" spans="1:5">
      <c r="A108" t="s">
        <v>219</v>
      </c>
      <c r="B108" t="s">
        <v>326</v>
      </c>
      <c r="C108" t="s">
        <v>8</v>
      </c>
      <c r="E108" t="s">
        <v>8</v>
      </c>
    </row>
    <row r="109" spans="1:5">
      <c r="A109" t="s">
        <v>221</v>
      </c>
      <c r="B109" t="s">
        <v>253</v>
      </c>
      <c r="C109" t="b">
        <f>FALSE()</f>
        <v>0</v>
      </c>
      <c r="E109" t="b">
        <f>FALSE()</f>
        <v>0</v>
      </c>
    </row>
    <row r="110" spans="1:5">
      <c r="A110" t="s">
        <v>223</v>
      </c>
      <c r="B110" t="s">
        <v>224</v>
      </c>
      <c r="C110" t="b">
        <f>TRUE()</f>
        <v>1</v>
      </c>
      <c r="E110" t="b">
        <f>TRUE()</f>
        <v>1</v>
      </c>
    </row>
    <row r="111" spans="1:5">
      <c r="A111" t="s">
        <v>225</v>
      </c>
      <c r="B111" t="s">
        <v>226</v>
      </c>
      <c r="C111" t="b">
        <f>TRUE()</f>
        <v>1</v>
      </c>
      <c r="E111" t="b">
        <f>TRUE()</f>
        <v>1</v>
      </c>
    </row>
    <row r="112" spans="1:5">
      <c r="A112" t="s">
        <v>227</v>
      </c>
      <c r="B112" t="s">
        <v>275</v>
      </c>
      <c r="C112" t="b">
        <f>TRUE()</f>
        <v>1</v>
      </c>
      <c r="E112" t="b">
        <f>TRUE()</f>
        <v>1</v>
      </c>
    </row>
    <row r="113" spans="1:5">
      <c r="A113" t="s">
        <v>229</v>
      </c>
      <c r="B113" t="s">
        <v>266</v>
      </c>
      <c r="C113" t="b">
        <f>TRUE()</f>
        <v>1</v>
      </c>
      <c r="E113" t="b">
        <f>TRUE()</f>
        <v>1</v>
      </c>
    </row>
    <row r="114" spans="1:5">
      <c r="A114" t="s">
        <v>230</v>
      </c>
      <c r="B114" t="s">
        <v>327</v>
      </c>
      <c r="C114" t="b">
        <f>FALSE()</f>
        <v>0</v>
      </c>
      <c r="E114" t="b">
        <f>FALSE()</f>
        <v>0</v>
      </c>
    </row>
    <row r="115" spans="1:5">
      <c r="A115" t="s">
        <v>232</v>
      </c>
      <c r="B115" t="s">
        <v>110</v>
      </c>
      <c r="C115" t="b">
        <f>TRUE()</f>
        <v>1</v>
      </c>
      <c r="E115" t="b">
        <f>TRUE()</f>
        <v>1</v>
      </c>
    </row>
    <row r="116" spans="1:5">
      <c r="A116" t="s">
        <v>234</v>
      </c>
      <c r="B116" t="s">
        <v>235</v>
      </c>
      <c r="C116" t="b">
        <f>TRUE()</f>
        <v>1</v>
      </c>
      <c r="E116" t="b">
        <f>TRUE()</f>
        <v>1</v>
      </c>
    </row>
    <row r="117" spans="1:5">
      <c r="A117" t="s">
        <v>236</v>
      </c>
      <c r="B117" t="s">
        <v>237</v>
      </c>
      <c r="C117" t="b">
        <f>TRUE()</f>
        <v>1</v>
      </c>
      <c r="E117" t="b">
        <f>TRUE()</f>
        <v>1</v>
      </c>
    </row>
    <row r="118" spans="1:5">
      <c r="A118" t="s">
        <v>238</v>
      </c>
      <c r="B118" t="s">
        <v>239</v>
      </c>
      <c r="C118" t="b">
        <f>TRUE()</f>
        <v>1</v>
      </c>
      <c r="E118" t="b">
        <f>TRUE()</f>
        <v>1</v>
      </c>
    </row>
    <row r="119" spans="1:5">
      <c r="A119" t="s">
        <v>240</v>
      </c>
      <c r="B119" t="s">
        <v>241</v>
      </c>
      <c r="C119" t="b">
        <f>TRUE()</f>
        <v>1</v>
      </c>
      <c r="E119" t="b">
        <f>TRUE()</f>
        <v>1</v>
      </c>
    </row>
    <row r="120" spans="1:5">
      <c r="A120" t="s">
        <v>242</v>
      </c>
      <c r="B120" t="s">
        <v>328</v>
      </c>
      <c r="C120" t="b">
        <f>FALSE()</f>
        <v>0</v>
      </c>
      <c r="E120" t="b">
        <f>FALSE()</f>
        <v>0</v>
      </c>
    </row>
    <row r="121" spans="1:5">
      <c r="A121" t="s">
        <v>244</v>
      </c>
      <c r="B121" t="s">
        <v>245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1"/>
  <sheetViews>
    <sheetView topLeftCell="A101" zoomScaleNormal="100" workbookViewId="0">
      <selection activeCell="E121" sqref="E121"/>
    </sheetView>
  </sheetViews>
  <sheetFormatPr defaultColWidth="8.5703125" defaultRowHeight="15"/>
  <cols>
    <col min="1" max="1" width="43.42578125" customWidth="1"/>
    <col min="2" max="2" width="30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246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41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247</v>
      </c>
      <c r="C6" t="s">
        <v>8</v>
      </c>
      <c r="E6" t="b">
        <v>0</v>
      </c>
    </row>
    <row r="7" spans="1:5">
      <c r="A7" t="s">
        <v>32</v>
      </c>
      <c r="B7" t="s">
        <v>255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248</v>
      </c>
      <c r="C12" t="s">
        <v>8</v>
      </c>
      <c r="E12" t="b">
        <v>0</v>
      </c>
    </row>
    <row r="13" spans="1:5">
      <c r="A13" t="s">
        <v>44</v>
      </c>
      <c r="B13" t="s">
        <v>249</v>
      </c>
      <c r="C13" t="b">
        <f>TRUE()</f>
        <v>1</v>
      </c>
      <c r="E13" t="b">
        <f>TRUE()</f>
        <v>1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250</v>
      </c>
      <c r="C18" t="s">
        <v>8</v>
      </c>
      <c r="E18" t="b">
        <v>0</v>
      </c>
    </row>
    <row r="19" spans="1:5">
      <c r="A19" t="s">
        <v>56</v>
      </c>
      <c r="B19" t="s">
        <v>329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63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270</v>
      </c>
      <c r="C24" t="s">
        <v>8</v>
      </c>
      <c r="E24" t="b">
        <v>0</v>
      </c>
    </row>
    <row r="25" spans="1:5">
      <c r="A25" t="s">
        <v>67</v>
      </c>
      <c r="B25" t="s">
        <v>110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74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330</v>
      </c>
      <c r="C30" t="s">
        <v>8</v>
      </c>
      <c r="E30" t="b">
        <v>0</v>
      </c>
    </row>
    <row r="31" spans="1:5">
      <c r="A31" t="s">
        <v>77</v>
      </c>
      <c r="B31" t="s">
        <v>78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29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256</v>
      </c>
      <c r="C36" t="s">
        <v>8</v>
      </c>
      <c r="E36" t="b">
        <v>0</v>
      </c>
    </row>
    <row r="37" spans="1:5">
      <c r="A37" t="s">
        <v>89</v>
      </c>
      <c r="B37" t="s">
        <v>262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84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29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331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255</v>
      </c>
      <c r="C43" t="b">
        <f>FALSE()</f>
        <v>0</v>
      </c>
      <c r="E43" t="b">
        <f>FALSE()</f>
        <v>0</v>
      </c>
    </row>
    <row r="44" spans="1:5">
      <c r="A44" t="s">
        <v>101</v>
      </c>
      <c r="B44" t="s">
        <v>102</v>
      </c>
      <c r="C44" t="b">
        <f>TRUE()</f>
        <v>1</v>
      </c>
      <c r="E44" t="b">
        <f>TRUE()</f>
        <v>1</v>
      </c>
    </row>
    <row r="45" spans="1:5">
      <c r="A45" t="s">
        <v>103</v>
      </c>
      <c r="B45" t="s">
        <v>104</v>
      </c>
      <c r="C45" t="b">
        <f>TRUE()</f>
        <v>1</v>
      </c>
      <c r="E45" t="b">
        <f>TRUE()</f>
        <v>1</v>
      </c>
    </row>
    <row r="46" spans="1:5">
      <c r="A46" t="s">
        <v>105</v>
      </c>
      <c r="B46" t="s">
        <v>78</v>
      </c>
      <c r="C46" t="b">
        <f>TRUE()</f>
        <v>1</v>
      </c>
      <c r="E46" t="b">
        <f>TRUE()</f>
        <v>1</v>
      </c>
    </row>
    <row r="47" spans="1:5">
      <c r="A47" t="s">
        <v>106</v>
      </c>
      <c r="B47" t="s">
        <v>29</v>
      </c>
      <c r="C47" t="b">
        <f>TRUE()</f>
        <v>1</v>
      </c>
      <c r="E47" t="b">
        <f>TRUE()</f>
        <v>1</v>
      </c>
    </row>
    <row r="48" spans="1:5">
      <c r="A48" t="s">
        <v>107</v>
      </c>
      <c r="B48" t="s">
        <v>258</v>
      </c>
      <c r="C48" t="s">
        <v>8</v>
      </c>
      <c r="E48" t="b">
        <v>0</v>
      </c>
    </row>
    <row r="49" spans="1:5">
      <c r="A49" t="s">
        <v>109</v>
      </c>
      <c r="B49" t="s">
        <v>110</v>
      </c>
      <c r="C49" t="b">
        <f>FALSE()</f>
        <v>0</v>
      </c>
      <c r="E49" t="b">
        <f>FALSE()</f>
        <v>0</v>
      </c>
    </row>
    <row r="50" spans="1:5">
      <c r="A50" t="s">
        <v>111</v>
      </c>
      <c r="B50" t="s">
        <v>112</v>
      </c>
      <c r="C50" t="b">
        <f>TRUE()</f>
        <v>1</v>
      </c>
      <c r="E50" t="b">
        <f>TRUE()</f>
        <v>1</v>
      </c>
    </row>
    <row r="51" spans="1:5">
      <c r="A51" t="s">
        <v>113</v>
      </c>
      <c r="B51" t="s">
        <v>114</v>
      </c>
      <c r="C51" t="b">
        <f>TRUE()</f>
        <v>1</v>
      </c>
      <c r="E51" t="b">
        <f>TRUE()</f>
        <v>1</v>
      </c>
    </row>
    <row r="52" spans="1:5">
      <c r="A52" t="s">
        <v>115</v>
      </c>
      <c r="B52" t="s">
        <v>116</v>
      </c>
      <c r="C52" t="b">
        <f>TRUE()</f>
        <v>1</v>
      </c>
      <c r="E52" t="b">
        <f>TRUE()</f>
        <v>1</v>
      </c>
    </row>
    <row r="53" spans="1:5">
      <c r="A53" t="s">
        <v>117</v>
      </c>
      <c r="B53" t="s">
        <v>29</v>
      </c>
      <c r="C53" t="b">
        <f>TRUE()</f>
        <v>1</v>
      </c>
      <c r="E53" t="b">
        <f>TRUE()</f>
        <v>1</v>
      </c>
    </row>
    <row r="54" spans="1:5">
      <c r="A54" t="s">
        <v>118</v>
      </c>
      <c r="B54" t="s">
        <v>332</v>
      </c>
      <c r="C54" t="s">
        <v>8</v>
      </c>
      <c r="E54" t="b">
        <v>0</v>
      </c>
    </row>
    <row r="55" spans="1:5">
      <c r="A55" t="s">
        <v>120</v>
      </c>
      <c r="B55" t="s">
        <v>110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74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41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333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110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260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266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334</v>
      </c>
      <c r="C66" t="b">
        <f>FALSE()</f>
        <v>0</v>
      </c>
      <c r="E66" t="b">
        <f>FALSE()</f>
        <v>0</v>
      </c>
    </row>
    <row r="67" spans="1:5">
      <c r="A67" t="s">
        <v>141</v>
      </c>
      <c r="B67" t="s">
        <v>78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263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266</v>
      </c>
      <c r="C71" t="b">
        <f>TRUE()</f>
        <v>1</v>
      </c>
      <c r="E71" t="b">
        <f>TRUE()</f>
        <v>1</v>
      </c>
    </row>
    <row r="72" spans="1:5">
      <c r="A72" t="s">
        <v>151</v>
      </c>
      <c r="B72" t="s">
        <v>264</v>
      </c>
      <c r="C72" t="s">
        <v>8</v>
      </c>
      <c r="E72" t="b">
        <v>0</v>
      </c>
    </row>
    <row r="73" spans="1:5">
      <c r="A73" t="s">
        <v>153</v>
      </c>
      <c r="B73" t="s">
        <v>110</v>
      </c>
      <c r="C73" t="b">
        <f>FALSE()</f>
        <v>0</v>
      </c>
      <c r="E73" t="b">
        <f>FALSE()</f>
        <v>0</v>
      </c>
    </row>
    <row r="74" spans="1:5">
      <c r="A74" t="s">
        <v>155</v>
      </c>
      <c r="B74" t="s">
        <v>156</v>
      </c>
      <c r="C74" t="b">
        <f>TRUE()</f>
        <v>1</v>
      </c>
      <c r="E74" t="b">
        <f>TRUE()</f>
        <v>1</v>
      </c>
    </row>
    <row r="75" spans="1:5">
      <c r="A75" t="s">
        <v>157</v>
      </c>
      <c r="B75" t="s">
        <v>158</v>
      </c>
      <c r="C75" t="b">
        <f>TRUE()</f>
        <v>1</v>
      </c>
      <c r="E75" t="b">
        <f>TRUE()</f>
        <v>1</v>
      </c>
    </row>
    <row r="76" spans="1:5">
      <c r="A76" t="s">
        <v>159</v>
      </c>
      <c r="B76" t="s">
        <v>265</v>
      </c>
      <c r="C76" t="b">
        <f>TRUE()</f>
        <v>1</v>
      </c>
      <c r="E76" t="b">
        <f>TRUE()</f>
        <v>1</v>
      </c>
    </row>
    <row r="77" spans="1:5">
      <c r="A77" t="s">
        <v>161</v>
      </c>
      <c r="B77" t="s">
        <v>266</v>
      </c>
      <c r="C77" t="b">
        <f>TRUE()</f>
        <v>1</v>
      </c>
      <c r="E77" t="b">
        <f>TRUE()</f>
        <v>1</v>
      </c>
    </row>
    <row r="78" spans="1:5">
      <c r="A78" t="s">
        <v>163</v>
      </c>
      <c r="B78" t="s">
        <v>267</v>
      </c>
      <c r="C78" t="s">
        <v>8</v>
      </c>
      <c r="E78" t="b">
        <v>0</v>
      </c>
    </row>
    <row r="79" spans="1:5">
      <c r="A79" t="s">
        <v>165</v>
      </c>
      <c r="B79" t="s">
        <v>110</v>
      </c>
      <c r="C79" t="b">
        <f>FALSE()</f>
        <v>0</v>
      </c>
      <c r="E79" t="b">
        <f>FALSE()</f>
        <v>0</v>
      </c>
    </row>
    <row r="80" spans="1:5">
      <c r="A80" t="s">
        <v>167</v>
      </c>
      <c r="B80" t="s">
        <v>168</v>
      </c>
      <c r="C80" t="b">
        <f>TRUE()</f>
        <v>1</v>
      </c>
      <c r="E80" t="b">
        <f>TRUE()</f>
        <v>1</v>
      </c>
    </row>
    <row r="81" spans="1:5">
      <c r="A81" t="s">
        <v>169</v>
      </c>
      <c r="B81" t="s">
        <v>170</v>
      </c>
      <c r="C81" t="b">
        <f>TRUE()</f>
        <v>1</v>
      </c>
      <c r="E81" t="b">
        <f>TRUE()</f>
        <v>1</v>
      </c>
    </row>
    <row r="82" spans="1:5">
      <c r="A82" t="s">
        <v>171</v>
      </c>
      <c r="B82" t="s">
        <v>268</v>
      </c>
      <c r="C82" t="b">
        <f>TRUE()</f>
        <v>1</v>
      </c>
      <c r="E82" t="b">
        <f>TRUE()</f>
        <v>1</v>
      </c>
    </row>
    <row r="83" spans="1:5">
      <c r="A83" t="s">
        <v>173</v>
      </c>
      <c r="B83" t="s">
        <v>266</v>
      </c>
      <c r="C83" t="b">
        <f>TRUE()</f>
        <v>1</v>
      </c>
      <c r="E83" t="b">
        <f>TRUE()</f>
        <v>1</v>
      </c>
    </row>
    <row r="84" spans="1:5">
      <c r="A84" t="s">
        <v>175</v>
      </c>
      <c r="B84" t="s">
        <v>257</v>
      </c>
      <c r="C84" t="s">
        <v>8</v>
      </c>
      <c r="E84" t="b">
        <v>0</v>
      </c>
    </row>
    <row r="85" spans="1:5">
      <c r="A85" t="s">
        <v>177</v>
      </c>
      <c r="B85" t="s">
        <v>253</v>
      </c>
      <c r="C85" t="b">
        <f>FALSE()</f>
        <v>0</v>
      </c>
      <c r="E85" t="b">
        <f>FALSE()</f>
        <v>0</v>
      </c>
    </row>
    <row r="86" spans="1:5">
      <c r="A86" t="s">
        <v>179</v>
      </c>
      <c r="B86" t="s">
        <v>180</v>
      </c>
      <c r="C86" t="b">
        <f>TRUE()</f>
        <v>1</v>
      </c>
      <c r="E86" t="b">
        <f>TRUE()</f>
        <v>1</v>
      </c>
    </row>
    <row r="87" spans="1:5">
      <c r="A87" t="s">
        <v>181</v>
      </c>
      <c r="B87" t="s">
        <v>182</v>
      </c>
      <c r="C87" t="b">
        <f>TRUE()</f>
        <v>1</v>
      </c>
      <c r="E87" t="b">
        <f>TRUE()</f>
        <v>1</v>
      </c>
    </row>
    <row r="88" spans="1:5">
      <c r="A88" t="s">
        <v>183</v>
      </c>
      <c r="B88" t="s">
        <v>263</v>
      </c>
      <c r="C88" t="b">
        <f>TRUE()</f>
        <v>1</v>
      </c>
      <c r="E88" t="b">
        <f>TRUE()</f>
        <v>1</v>
      </c>
    </row>
    <row r="89" spans="1:5">
      <c r="A89" t="s">
        <v>185</v>
      </c>
      <c r="B89" t="s">
        <v>186</v>
      </c>
      <c r="C89" t="b">
        <f>TRUE()</f>
        <v>1</v>
      </c>
      <c r="E89" t="b">
        <f>TRUE()</f>
        <v>1</v>
      </c>
    </row>
    <row r="90" spans="1:5">
      <c r="A90" t="s">
        <v>187</v>
      </c>
      <c r="B90" t="s">
        <v>335</v>
      </c>
      <c r="C90" t="s">
        <v>8</v>
      </c>
      <c r="E90" t="b">
        <v>0</v>
      </c>
    </row>
    <row r="91" spans="1:5">
      <c r="A91" t="s">
        <v>189</v>
      </c>
      <c r="B91" t="s">
        <v>255</v>
      </c>
      <c r="C91" t="b">
        <f>FALSE()</f>
        <v>0</v>
      </c>
      <c r="E91" t="b">
        <f>FALSE()</f>
        <v>0</v>
      </c>
    </row>
    <row r="92" spans="1:5">
      <c r="A92" t="s">
        <v>190</v>
      </c>
      <c r="B92" t="s">
        <v>191</v>
      </c>
      <c r="C92" t="b">
        <f>TRUE()</f>
        <v>1</v>
      </c>
      <c r="E92" t="b">
        <f>TRUE()</f>
        <v>1</v>
      </c>
    </row>
    <row r="93" spans="1:5">
      <c r="A93" t="s">
        <v>192</v>
      </c>
      <c r="B93" t="s">
        <v>193</v>
      </c>
      <c r="C93" t="b">
        <f>TRUE()</f>
        <v>1</v>
      </c>
      <c r="E93" t="b">
        <f>TRUE()</f>
        <v>1</v>
      </c>
    </row>
    <row r="94" spans="1:5">
      <c r="A94" t="s">
        <v>194</v>
      </c>
      <c r="B94" t="s">
        <v>116</v>
      </c>
      <c r="C94" t="b">
        <f>TRUE()</f>
        <v>1</v>
      </c>
      <c r="E94" t="b">
        <f>TRUE()</f>
        <v>1</v>
      </c>
    </row>
    <row r="95" spans="1:5">
      <c r="A95" t="s">
        <v>196</v>
      </c>
      <c r="B95" t="s">
        <v>266</v>
      </c>
      <c r="C95" t="b">
        <f>TRUE()</f>
        <v>1</v>
      </c>
      <c r="E95" t="b">
        <f>TRUE()</f>
        <v>1</v>
      </c>
    </row>
    <row r="96" spans="1:5">
      <c r="A96" t="s">
        <v>198</v>
      </c>
      <c r="B96" t="s">
        <v>336</v>
      </c>
      <c r="C96" t="s">
        <v>8</v>
      </c>
      <c r="E96" t="b">
        <v>0</v>
      </c>
    </row>
    <row r="97" spans="1:5">
      <c r="A97" t="s">
        <v>200</v>
      </c>
      <c r="B97" t="s">
        <v>329</v>
      </c>
      <c r="C97" t="b">
        <f>FALSE()</f>
        <v>0</v>
      </c>
      <c r="E97" t="b">
        <f>FALSE()</f>
        <v>0</v>
      </c>
    </row>
    <row r="98" spans="1:5">
      <c r="A98" t="s">
        <v>202</v>
      </c>
      <c r="B98" t="s">
        <v>203</v>
      </c>
      <c r="C98" t="b">
        <f>TRUE()</f>
        <v>1</v>
      </c>
      <c r="E98" t="b">
        <f>TRUE()</f>
        <v>1</v>
      </c>
    </row>
    <row r="99" spans="1:5">
      <c r="A99" t="s">
        <v>204</v>
      </c>
      <c r="B99" t="s">
        <v>205</v>
      </c>
      <c r="C99" t="b">
        <f>TRUE()</f>
        <v>1</v>
      </c>
      <c r="E99" t="b">
        <f>TRUE()</f>
        <v>1</v>
      </c>
    </row>
    <row r="100" spans="1:5">
      <c r="A100" t="s">
        <v>206</v>
      </c>
      <c r="B100" t="s">
        <v>207</v>
      </c>
      <c r="C100" t="b">
        <f>TRUE()</f>
        <v>1</v>
      </c>
      <c r="E100" t="b">
        <f>TRUE()</f>
        <v>1</v>
      </c>
    </row>
    <row r="101" spans="1:5">
      <c r="A101" t="s">
        <v>208</v>
      </c>
      <c r="B101" t="s">
        <v>186</v>
      </c>
      <c r="C101" t="b">
        <f>TRUE()</f>
        <v>1</v>
      </c>
      <c r="E101" t="b">
        <f>TRUE()</f>
        <v>1</v>
      </c>
    </row>
    <row r="102" spans="1:5">
      <c r="A102" t="s">
        <v>209</v>
      </c>
      <c r="B102" t="s">
        <v>272</v>
      </c>
      <c r="C102" t="s">
        <v>8</v>
      </c>
      <c r="E102" t="b">
        <v>0</v>
      </c>
    </row>
    <row r="103" spans="1:5">
      <c r="A103" t="s">
        <v>211</v>
      </c>
      <c r="B103" t="s">
        <v>325</v>
      </c>
      <c r="C103" t="b">
        <f>FALSE()</f>
        <v>0</v>
      </c>
      <c r="E103" t="b">
        <f>FALSE()</f>
        <v>0</v>
      </c>
    </row>
    <row r="104" spans="1:5">
      <c r="A104" t="s">
        <v>212</v>
      </c>
      <c r="B104" t="s">
        <v>213</v>
      </c>
      <c r="C104" t="b">
        <f>TRUE()</f>
        <v>1</v>
      </c>
      <c r="E104" t="b">
        <f>TRUE()</f>
        <v>1</v>
      </c>
    </row>
    <row r="105" spans="1:5">
      <c r="A105" t="s">
        <v>214</v>
      </c>
      <c r="B105" t="s">
        <v>215</v>
      </c>
      <c r="C105" t="b">
        <f>TRUE()</f>
        <v>1</v>
      </c>
      <c r="E105" t="b">
        <f>TRUE()</f>
        <v>1</v>
      </c>
    </row>
    <row r="106" spans="1:5">
      <c r="A106" t="s">
        <v>216</v>
      </c>
      <c r="B106" t="s">
        <v>273</v>
      </c>
      <c r="C106" t="b">
        <f>TRUE()</f>
        <v>1</v>
      </c>
      <c r="E106" t="b">
        <f>TRUE()</f>
        <v>1</v>
      </c>
    </row>
    <row r="107" spans="1:5">
      <c r="A107" t="s">
        <v>218</v>
      </c>
      <c r="B107" t="s">
        <v>266</v>
      </c>
      <c r="C107" t="b">
        <f>TRUE()</f>
        <v>1</v>
      </c>
      <c r="E107" t="b">
        <f>TRUE()</f>
        <v>1</v>
      </c>
    </row>
    <row r="108" spans="1:5">
      <c r="A108" t="s">
        <v>219</v>
      </c>
      <c r="B108" t="s">
        <v>337</v>
      </c>
      <c r="C108" t="s">
        <v>8</v>
      </c>
      <c r="E108" t="b">
        <v>0</v>
      </c>
    </row>
    <row r="109" spans="1:5">
      <c r="A109" t="s">
        <v>221</v>
      </c>
      <c r="B109" t="s">
        <v>338</v>
      </c>
      <c r="C109" t="b">
        <f>FALSE()</f>
        <v>0</v>
      </c>
      <c r="E109" t="b">
        <f>FALSE()</f>
        <v>0</v>
      </c>
    </row>
    <row r="110" spans="1:5">
      <c r="A110" t="s">
        <v>223</v>
      </c>
      <c r="B110" t="s">
        <v>224</v>
      </c>
      <c r="C110" t="b">
        <f>TRUE()</f>
        <v>1</v>
      </c>
      <c r="E110" t="b">
        <f>TRUE()</f>
        <v>1</v>
      </c>
    </row>
    <row r="111" spans="1:5">
      <c r="A111" t="s">
        <v>225</v>
      </c>
      <c r="B111" t="s">
        <v>226</v>
      </c>
      <c r="C111" t="b">
        <f>TRUE()</f>
        <v>1</v>
      </c>
      <c r="E111" t="b">
        <f>TRUE()</f>
        <v>1</v>
      </c>
    </row>
    <row r="112" spans="1:5">
      <c r="A112" t="s">
        <v>227</v>
      </c>
      <c r="B112" t="s">
        <v>275</v>
      </c>
      <c r="C112" t="b">
        <f>TRUE()</f>
        <v>1</v>
      </c>
      <c r="E112" t="b">
        <f>TRUE()</f>
        <v>1</v>
      </c>
    </row>
    <row r="113" spans="1:5">
      <c r="A113" t="s">
        <v>229</v>
      </c>
      <c r="B113" t="s">
        <v>266</v>
      </c>
      <c r="C113" t="b">
        <f>TRUE()</f>
        <v>1</v>
      </c>
      <c r="E113" t="b">
        <f>TRUE()</f>
        <v>1</v>
      </c>
    </row>
    <row r="114" spans="1:5">
      <c r="A114" t="s">
        <v>230</v>
      </c>
      <c r="B114" t="s">
        <v>254</v>
      </c>
      <c r="C114" t="s">
        <v>8</v>
      </c>
      <c r="E114" t="b">
        <v>0</v>
      </c>
    </row>
    <row r="115" spans="1:5">
      <c r="A115" t="s">
        <v>232</v>
      </c>
      <c r="B115" t="s">
        <v>233</v>
      </c>
      <c r="C115" t="b">
        <f>FALSE()</f>
        <v>0</v>
      </c>
      <c r="E115" t="b">
        <f>FALSE()</f>
        <v>0</v>
      </c>
    </row>
    <row r="116" spans="1:5">
      <c r="A116" t="s">
        <v>234</v>
      </c>
      <c r="B116" t="s">
        <v>235</v>
      </c>
      <c r="C116" t="b">
        <f>TRUE()</f>
        <v>1</v>
      </c>
      <c r="E116" t="b">
        <f>TRUE()</f>
        <v>1</v>
      </c>
    </row>
    <row r="117" spans="1:5">
      <c r="A117" t="s">
        <v>236</v>
      </c>
      <c r="B117" t="s">
        <v>237</v>
      </c>
      <c r="C117" t="b">
        <f>TRUE()</f>
        <v>1</v>
      </c>
      <c r="E117" t="b">
        <f>TRUE()</f>
        <v>1</v>
      </c>
    </row>
    <row r="118" spans="1:5">
      <c r="A118" t="s">
        <v>238</v>
      </c>
      <c r="B118" t="s">
        <v>239</v>
      </c>
      <c r="C118" t="b">
        <f>TRUE()</f>
        <v>1</v>
      </c>
      <c r="E118" t="b">
        <f>TRUE()</f>
        <v>1</v>
      </c>
    </row>
    <row r="119" spans="1:5">
      <c r="A119" t="s">
        <v>240</v>
      </c>
      <c r="B119" t="s">
        <v>266</v>
      </c>
      <c r="C119" t="b">
        <f>TRUE()</f>
        <v>1</v>
      </c>
      <c r="E119" t="b">
        <f>TRUE()</f>
        <v>1</v>
      </c>
    </row>
    <row r="120" spans="1:5">
      <c r="A120" t="s">
        <v>242</v>
      </c>
      <c r="B120" t="s">
        <v>276</v>
      </c>
      <c r="C120" t="s">
        <v>8</v>
      </c>
      <c r="E120" t="b">
        <v>0</v>
      </c>
    </row>
    <row r="121" spans="1:5">
      <c r="A121" t="s">
        <v>244</v>
      </c>
      <c r="B121" t="s">
        <v>277</v>
      </c>
      <c r="C121" t="b">
        <f>FALSE()</f>
        <v>0</v>
      </c>
      <c r="E12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1"/>
  <sheetViews>
    <sheetView topLeftCell="A102" zoomScaleNormal="100" workbookViewId="0">
      <selection activeCell="E124" sqref="E124"/>
    </sheetView>
  </sheetViews>
  <sheetFormatPr defaultColWidth="8.5703125" defaultRowHeight="15"/>
  <cols>
    <col min="1" max="1" width="43.140625" customWidth="1"/>
    <col min="2" max="2" width="33.42578125" customWidth="1"/>
    <col min="4" max="4" width="6.570312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246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339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340</v>
      </c>
      <c r="C6" t="s">
        <v>8</v>
      </c>
      <c r="E6" t="b">
        <v>0</v>
      </c>
    </row>
    <row r="7" spans="1:5">
      <c r="A7" t="s">
        <v>32</v>
      </c>
      <c r="B7" t="s">
        <v>255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341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342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343</v>
      </c>
      <c r="C12" t="s">
        <v>8</v>
      </c>
      <c r="E12" t="b">
        <v>0</v>
      </c>
    </row>
    <row r="13" spans="1:5">
      <c r="A13" t="s">
        <v>44</v>
      </c>
      <c r="B13" t="s">
        <v>78</v>
      </c>
      <c r="C13" t="b">
        <f>FALSE()</f>
        <v>0</v>
      </c>
      <c r="E13" t="b">
        <f>FALSE()</f>
        <v>0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344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345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346</v>
      </c>
      <c r="C18" t="s">
        <v>8</v>
      </c>
      <c r="E18" t="b">
        <v>0</v>
      </c>
    </row>
    <row r="19" spans="1:5">
      <c r="A19" t="s">
        <v>56</v>
      </c>
      <c r="B19" t="s">
        <v>78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347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348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349</v>
      </c>
      <c r="C24" t="s">
        <v>8</v>
      </c>
      <c r="D24" t="s">
        <v>350</v>
      </c>
      <c r="E24" t="b">
        <v>0</v>
      </c>
    </row>
    <row r="25" spans="1:5">
      <c r="A25" t="s">
        <v>67</v>
      </c>
      <c r="B25" t="s">
        <v>110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351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352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353</v>
      </c>
      <c r="C30" t="b">
        <f>FALSE()</f>
        <v>0</v>
      </c>
      <c r="E30" t="b">
        <f>FALSE()</f>
        <v>0</v>
      </c>
    </row>
    <row r="31" spans="1:5">
      <c r="A31" t="s">
        <v>77</v>
      </c>
      <c r="B31" t="s">
        <v>110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354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355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356</v>
      </c>
      <c r="C36" t="b">
        <f>FALSE()</f>
        <v>0</v>
      </c>
      <c r="E36" t="b">
        <f>FALSE()</f>
        <v>0</v>
      </c>
    </row>
    <row r="37" spans="1:5">
      <c r="A37" t="s">
        <v>89</v>
      </c>
      <c r="B37" t="s">
        <v>78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357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358</v>
      </c>
      <c r="C41" t="b">
        <f>FALSE()</f>
        <v>0</v>
      </c>
      <c r="E41" t="b">
        <f>FALSE()</f>
        <v>0</v>
      </c>
    </row>
    <row r="42" spans="1:5">
      <c r="A42" t="s">
        <v>97</v>
      </c>
      <c r="B42" t="s">
        <v>358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110</v>
      </c>
      <c r="C43" t="b">
        <f>FALSE()</f>
        <v>0</v>
      </c>
      <c r="E43" t="b">
        <f>FALSE()</f>
        <v>0</v>
      </c>
    </row>
    <row r="44" spans="1:5">
      <c r="A44" t="s">
        <v>101</v>
      </c>
      <c r="B44" t="s">
        <v>102</v>
      </c>
      <c r="C44" t="b">
        <f>TRUE()</f>
        <v>1</v>
      </c>
      <c r="E44" t="b">
        <f>TRUE()</f>
        <v>1</v>
      </c>
    </row>
    <row r="45" spans="1:5">
      <c r="A45" t="s">
        <v>103</v>
      </c>
      <c r="B45" t="s">
        <v>359</v>
      </c>
      <c r="C45" t="b">
        <f>FALSE()</f>
        <v>0</v>
      </c>
      <c r="E45" t="b">
        <f>FALSE()</f>
        <v>0</v>
      </c>
    </row>
    <row r="46" spans="1:5">
      <c r="A46" t="s">
        <v>105</v>
      </c>
      <c r="B46" t="s">
        <v>360</v>
      </c>
      <c r="C46" t="b">
        <f>TRUE()</f>
        <v>1</v>
      </c>
      <c r="E46" t="b">
        <f>TRUE()</f>
        <v>1</v>
      </c>
    </row>
    <row r="47" spans="1:5">
      <c r="A47" t="s">
        <v>106</v>
      </c>
      <c r="B47" t="s">
        <v>361</v>
      </c>
      <c r="C47" t="b">
        <f>TRUE()</f>
        <v>1</v>
      </c>
      <c r="E47" t="b">
        <f>TRUE()</f>
        <v>1</v>
      </c>
    </row>
    <row r="48" spans="1:5">
      <c r="A48" t="s">
        <v>107</v>
      </c>
      <c r="B48" t="s">
        <v>362</v>
      </c>
      <c r="C48" t="b">
        <f>FALSE()</f>
        <v>0</v>
      </c>
      <c r="E48" t="b">
        <f>FALSE()</f>
        <v>0</v>
      </c>
    </row>
    <row r="49" spans="1:5">
      <c r="A49" t="s">
        <v>109</v>
      </c>
      <c r="B49" t="s">
        <v>78</v>
      </c>
      <c r="C49" t="b">
        <f>FALSE()</f>
        <v>0</v>
      </c>
      <c r="E49" t="b">
        <f>FALSE()</f>
        <v>0</v>
      </c>
    </row>
    <row r="50" spans="1:5">
      <c r="A50" t="s">
        <v>111</v>
      </c>
      <c r="B50" t="s">
        <v>112</v>
      </c>
      <c r="C50" t="b">
        <f>TRUE()</f>
        <v>1</v>
      </c>
      <c r="E50" t="b">
        <f>TRUE()</f>
        <v>1</v>
      </c>
    </row>
    <row r="51" spans="1:5">
      <c r="A51" t="s">
        <v>113</v>
      </c>
      <c r="B51" t="s">
        <v>114</v>
      </c>
      <c r="C51" t="b">
        <f>TRUE()</f>
        <v>1</v>
      </c>
      <c r="E51" t="b">
        <f>TRUE()</f>
        <v>1</v>
      </c>
    </row>
    <row r="52" spans="1:5">
      <c r="A52" t="s">
        <v>115</v>
      </c>
      <c r="B52" t="s">
        <v>363</v>
      </c>
      <c r="C52" t="b">
        <f>FALSE()</f>
        <v>0</v>
      </c>
      <c r="E52" t="b">
        <f>FALSE()</f>
        <v>0</v>
      </c>
    </row>
    <row r="53" spans="1:5">
      <c r="A53" t="s">
        <v>117</v>
      </c>
      <c r="B53" t="s">
        <v>363</v>
      </c>
      <c r="C53" t="b">
        <f>FALSE()</f>
        <v>0</v>
      </c>
      <c r="E53" t="b">
        <f>FALSE()</f>
        <v>0</v>
      </c>
    </row>
    <row r="54" spans="1:5">
      <c r="A54" t="s">
        <v>118</v>
      </c>
      <c r="B54" t="s">
        <v>363</v>
      </c>
      <c r="C54" t="b">
        <f>FALSE()</f>
        <v>0</v>
      </c>
      <c r="E54" t="b">
        <f>FALSE()</f>
        <v>0</v>
      </c>
    </row>
    <row r="55" spans="1:5">
      <c r="A55" t="s">
        <v>120</v>
      </c>
      <c r="B55" t="s">
        <v>110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364</v>
      </c>
      <c r="C57" t="b">
        <f>FALSE()</f>
        <v>0</v>
      </c>
      <c r="E57" t="b">
        <f>FALSE()</f>
        <v>0</v>
      </c>
    </row>
    <row r="58" spans="1:5">
      <c r="A58" t="s">
        <v>125</v>
      </c>
      <c r="B58" t="s">
        <v>365</v>
      </c>
      <c r="C58" t="b">
        <f>FALSE()</f>
        <v>0</v>
      </c>
      <c r="E58" t="b">
        <f>FALSE()</f>
        <v>0</v>
      </c>
    </row>
    <row r="59" spans="1:5">
      <c r="A59" t="s">
        <v>126</v>
      </c>
      <c r="B59" t="s">
        <v>366</v>
      </c>
      <c r="C59" t="b">
        <f>FALSE()</f>
        <v>0</v>
      </c>
      <c r="E59" t="b">
        <f>FALSE()</f>
        <v>0</v>
      </c>
    </row>
    <row r="60" spans="1:5">
      <c r="A60" t="s">
        <v>127</v>
      </c>
      <c r="B60" t="s">
        <v>319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110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367</v>
      </c>
      <c r="C63" t="b">
        <f>FALSE()</f>
        <v>0</v>
      </c>
      <c r="E63" t="b">
        <f>FALSE()</f>
        <v>0</v>
      </c>
    </row>
    <row r="64" spans="1:5">
      <c r="A64" t="s">
        <v>135</v>
      </c>
      <c r="B64" t="s">
        <v>136</v>
      </c>
      <c r="C64" t="b">
        <f>FALSE()</f>
        <v>0</v>
      </c>
      <c r="E64" t="b">
        <f>FALSE()</f>
        <v>0</v>
      </c>
    </row>
    <row r="65" spans="1:5">
      <c r="A65" t="s">
        <v>137</v>
      </c>
      <c r="B65" t="s">
        <v>368</v>
      </c>
      <c r="C65" t="b">
        <f>FALSE()</f>
        <v>0</v>
      </c>
      <c r="E65" t="b">
        <f>FALSE()</f>
        <v>0</v>
      </c>
    </row>
    <row r="66" spans="1:5">
      <c r="A66" t="s">
        <v>139</v>
      </c>
      <c r="B66" t="s">
        <v>334</v>
      </c>
      <c r="C66" t="b">
        <f>FALSE()</f>
        <v>0</v>
      </c>
      <c r="E66" t="b">
        <f>FALSE()</f>
        <v>0</v>
      </c>
    </row>
    <row r="67" spans="1:5">
      <c r="A67" t="s">
        <v>141</v>
      </c>
      <c r="B67" t="s">
        <v>142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369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370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371</v>
      </c>
      <c r="C71" t="b">
        <f>TRUE()</f>
        <v>1</v>
      </c>
      <c r="E71" t="b">
        <f>TRUE()</f>
        <v>1</v>
      </c>
    </row>
    <row r="72" spans="1:5">
      <c r="A72" t="s">
        <v>151</v>
      </c>
      <c r="B72" t="s">
        <v>372</v>
      </c>
      <c r="C72" t="b">
        <f>FALSE()</f>
        <v>0</v>
      </c>
      <c r="E72" t="b">
        <f>FALSE()</f>
        <v>0</v>
      </c>
    </row>
    <row r="73" spans="1:5">
      <c r="A73" t="s">
        <v>153</v>
      </c>
      <c r="B73" t="s">
        <v>255</v>
      </c>
      <c r="C73" t="b">
        <f>FALSE()</f>
        <v>0</v>
      </c>
      <c r="E73" t="b">
        <f>FALSE()</f>
        <v>0</v>
      </c>
    </row>
    <row r="74" spans="1:5">
      <c r="A74" t="s">
        <v>155</v>
      </c>
      <c r="B74" t="s">
        <v>156</v>
      </c>
      <c r="C74" t="b">
        <f>TRUE()</f>
        <v>1</v>
      </c>
      <c r="E74" t="b">
        <f>TRUE()</f>
        <v>1</v>
      </c>
    </row>
    <row r="75" spans="1:5">
      <c r="A75" t="s">
        <v>157</v>
      </c>
      <c r="B75" t="s">
        <v>373</v>
      </c>
      <c r="C75" t="b">
        <f>TRUE()</f>
        <v>1</v>
      </c>
      <c r="E75" t="b">
        <f>TRUE()</f>
        <v>1</v>
      </c>
    </row>
    <row r="76" spans="1:5">
      <c r="A76" t="s">
        <v>159</v>
      </c>
      <c r="B76" t="s">
        <v>374</v>
      </c>
      <c r="C76" t="b">
        <f>TRUE()</f>
        <v>1</v>
      </c>
      <c r="E76" t="b">
        <f>TRUE()</f>
        <v>1</v>
      </c>
    </row>
    <row r="77" spans="1:5">
      <c r="A77" t="s">
        <v>161</v>
      </c>
      <c r="B77" t="s">
        <v>375</v>
      </c>
      <c r="C77" t="b">
        <f>TRUE()</f>
        <v>1</v>
      </c>
      <c r="E77" t="b">
        <f>TRUE()</f>
        <v>1</v>
      </c>
    </row>
    <row r="78" spans="1:5">
      <c r="A78" t="s">
        <v>163</v>
      </c>
      <c r="B78" t="s">
        <v>271</v>
      </c>
      <c r="C78" t="s">
        <v>8</v>
      </c>
      <c r="E78" t="b">
        <v>0</v>
      </c>
    </row>
    <row r="79" spans="1:5">
      <c r="A79" t="s">
        <v>165</v>
      </c>
      <c r="B79" t="s">
        <v>110</v>
      </c>
      <c r="C79" t="b">
        <f>FALSE()</f>
        <v>0</v>
      </c>
      <c r="E79" t="b">
        <f>FALSE()</f>
        <v>0</v>
      </c>
    </row>
    <row r="80" spans="1:5">
      <c r="A80" t="s">
        <v>167</v>
      </c>
      <c r="B80" t="s">
        <v>168</v>
      </c>
      <c r="C80" t="b">
        <f>TRUE()</f>
        <v>1</v>
      </c>
      <c r="E80" t="b">
        <f>TRUE()</f>
        <v>1</v>
      </c>
    </row>
    <row r="81" spans="1:5">
      <c r="A81" t="s">
        <v>169</v>
      </c>
      <c r="B81" t="s">
        <v>376</v>
      </c>
      <c r="C81" t="b">
        <f>TRUE()</f>
        <v>1</v>
      </c>
      <c r="E81" t="b">
        <f>TRUE()</f>
        <v>1</v>
      </c>
    </row>
    <row r="82" spans="1:5">
      <c r="A82" t="s">
        <v>171</v>
      </c>
      <c r="B82" t="s">
        <v>377</v>
      </c>
      <c r="C82" t="b">
        <f>TRUE()</f>
        <v>1</v>
      </c>
      <c r="E82" t="b">
        <f>TRUE()</f>
        <v>1</v>
      </c>
    </row>
    <row r="83" spans="1:5">
      <c r="A83" t="s">
        <v>173</v>
      </c>
      <c r="B83" t="s">
        <v>378</v>
      </c>
      <c r="C83" t="b">
        <f>TRUE()</f>
        <v>1</v>
      </c>
      <c r="E83" t="b">
        <f>TRUE()</f>
        <v>1</v>
      </c>
    </row>
    <row r="84" spans="1:5">
      <c r="A84" t="s">
        <v>175</v>
      </c>
      <c r="B84" t="s">
        <v>379</v>
      </c>
      <c r="C84" t="s">
        <v>8</v>
      </c>
      <c r="E84" t="b">
        <v>0</v>
      </c>
    </row>
    <row r="85" spans="1:5">
      <c r="A85" t="s">
        <v>177</v>
      </c>
      <c r="B85" t="s">
        <v>253</v>
      </c>
      <c r="C85" t="b">
        <f>FALSE()</f>
        <v>0</v>
      </c>
      <c r="E85" t="b">
        <f>FALSE()</f>
        <v>0</v>
      </c>
    </row>
    <row r="86" spans="1:5">
      <c r="A86" t="s">
        <v>179</v>
      </c>
      <c r="B86" t="s">
        <v>180</v>
      </c>
      <c r="C86" t="b">
        <f>TRUE()</f>
        <v>1</v>
      </c>
      <c r="E86" t="b">
        <f>TRUE()</f>
        <v>1</v>
      </c>
    </row>
    <row r="87" spans="1:5">
      <c r="A87" t="s">
        <v>181</v>
      </c>
      <c r="B87" t="s">
        <v>182</v>
      </c>
      <c r="C87" t="b">
        <f>TRUE()</f>
        <v>1</v>
      </c>
      <c r="E87" t="b">
        <f>TRUE()</f>
        <v>1</v>
      </c>
    </row>
    <row r="88" spans="1:5">
      <c r="A88" t="s">
        <v>183</v>
      </c>
      <c r="B88" t="s">
        <v>380</v>
      </c>
      <c r="C88" t="b">
        <f>TRUE()</f>
        <v>1</v>
      </c>
      <c r="E88" t="b">
        <f>TRUE()</f>
        <v>1</v>
      </c>
    </row>
    <row r="89" spans="1:5">
      <c r="A89" t="s">
        <v>185</v>
      </c>
      <c r="B89" t="s">
        <v>381</v>
      </c>
      <c r="C89" t="b">
        <f>TRUE()</f>
        <v>1</v>
      </c>
      <c r="E89" t="b">
        <f>TRUE()</f>
        <v>1</v>
      </c>
    </row>
    <row r="90" spans="1:5">
      <c r="A90" t="s">
        <v>187</v>
      </c>
      <c r="B90" t="s">
        <v>382</v>
      </c>
      <c r="C90" t="b">
        <f>FALSE()</f>
        <v>0</v>
      </c>
      <c r="E90" t="b">
        <f>FALSE()</f>
        <v>0</v>
      </c>
    </row>
    <row r="91" spans="1:5">
      <c r="A91" t="s">
        <v>189</v>
      </c>
      <c r="B91" t="s">
        <v>255</v>
      </c>
      <c r="C91" t="b">
        <f>FALSE()</f>
        <v>0</v>
      </c>
      <c r="E91" t="b">
        <f>FALSE()</f>
        <v>0</v>
      </c>
    </row>
    <row r="92" spans="1:5">
      <c r="A92" t="s">
        <v>190</v>
      </c>
      <c r="B92" t="s">
        <v>191</v>
      </c>
      <c r="C92" t="b">
        <f>TRUE()</f>
        <v>1</v>
      </c>
      <c r="E92" t="b">
        <f>TRUE()</f>
        <v>1</v>
      </c>
    </row>
    <row r="93" spans="1:5">
      <c r="A93" t="s">
        <v>192</v>
      </c>
      <c r="B93" t="s">
        <v>383</v>
      </c>
      <c r="C93" t="s">
        <v>8</v>
      </c>
      <c r="E93" t="b">
        <v>0</v>
      </c>
    </row>
    <row r="94" spans="1:5">
      <c r="A94" t="s">
        <v>194</v>
      </c>
      <c r="B94" t="s">
        <v>295</v>
      </c>
      <c r="C94" t="b">
        <f>TRUE()</f>
        <v>1</v>
      </c>
      <c r="E94" t="b">
        <f>TRUE()</f>
        <v>1</v>
      </c>
    </row>
    <row r="95" spans="1:5">
      <c r="A95" t="s">
        <v>196</v>
      </c>
      <c r="B95" t="s">
        <v>384</v>
      </c>
      <c r="C95" t="b">
        <f>TRUE()</f>
        <v>1</v>
      </c>
      <c r="E95" t="b">
        <f>TRUE()</f>
        <v>1</v>
      </c>
    </row>
    <row r="96" spans="1:5">
      <c r="A96" t="s">
        <v>198</v>
      </c>
      <c r="B96" t="s">
        <v>385</v>
      </c>
      <c r="C96" t="s">
        <v>8</v>
      </c>
      <c r="E96" t="b">
        <v>0</v>
      </c>
    </row>
    <row r="97" spans="1:5">
      <c r="A97" t="s">
        <v>200</v>
      </c>
      <c r="B97" t="s">
        <v>253</v>
      </c>
      <c r="C97" t="b">
        <f>FALSE()</f>
        <v>0</v>
      </c>
      <c r="E97" t="b">
        <v>0</v>
      </c>
    </row>
    <row r="98" spans="1:5">
      <c r="A98" t="s">
        <v>202</v>
      </c>
      <c r="B98" t="s">
        <v>203</v>
      </c>
      <c r="C98" t="b">
        <f>TRUE()</f>
        <v>1</v>
      </c>
      <c r="E98" t="b">
        <f>TRUE()</f>
        <v>1</v>
      </c>
    </row>
    <row r="99" spans="1:5">
      <c r="A99" t="s">
        <v>204</v>
      </c>
      <c r="B99" t="s">
        <v>386</v>
      </c>
      <c r="C99" t="b">
        <f>FALSE()</f>
        <v>0</v>
      </c>
      <c r="E99" t="b">
        <f>FALSE()</f>
        <v>0</v>
      </c>
    </row>
    <row r="100" spans="1:5">
      <c r="A100" t="s">
        <v>206</v>
      </c>
      <c r="B100" t="s">
        <v>387</v>
      </c>
      <c r="C100" t="b">
        <f>FALSE()</f>
        <v>0</v>
      </c>
      <c r="E100" t="b">
        <f>FALSE()</f>
        <v>0</v>
      </c>
    </row>
    <row r="101" spans="1:5">
      <c r="A101" t="s">
        <v>208</v>
      </c>
      <c r="B101" t="s">
        <v>388</v>
      </c>
      <c r="C101" t="b">
        <f>FALSE()</f>
        <v>0</v>
      </c>
      <c r="E101" t="b">
        <f>FALSE()</f>
        <v>0</v>
      </c>
    </row>
    <row r="102" spans="1:5">
      <c r="A102" t="s">
        <v>209</v>
      </c>
      <c r="B102" t="s">
        <v>389</v>
      </c>
      <c r="C102" t="b">
        <f>TRUE()</f>
        <v>1</v>
      </c>
      <c r="E102" t="b">
        <f>TRUE()</f>
        <v>1</v>
      </c>
    </row>
    <row r="103" spans="1:5">
      <c r="A103" t="s">
        <v>211</v>
      </c>
      <c r="B103" t="s">
        <v>110</v>
      </c>
      <c r="C103" t="b">
        <f>FALSE()</f>
        <v>0</v>
      </c>
      <c r="E103" t="b">
        <f>FALSE()</f>
        <v>0</v>
      </c>
    </row>
    <row r="104" spans="1:5">
      <c r="A104" t="s">
        <v>212</v>
      </c>
      <c r="B104" t="s">
        <v>213</v>
      </c>
      <c r="C104" t="b">
        <f>TRUE()</f>
        <v>1</v>
      </c>
      <c r="E104" t="b">
        <f>TRUE()</f>
        <v>1</v>
      </c>
    </row>
    <row r="105" spans="1:5">
      <c r="A105" t="s">
        <v>214</v>
      </c>
      <c r="B105" t="s">
        <v>299</v>
      </c>
      <c r="C105" t="b">
        <f>FALSE()</f>
        <v>0</v>
      </c>
      <c r="E105" t="b">
        <f>FALSE()</f>
        <v>0</v>
      </c>
    </row>
    <row r="106" spans="1:5">
      <c r="A106" t="s">
        <v>216</v>
      </c>
      <c r="B106" t="s">
        <v>217</v>
      </c>
      <c r="C106" t="b">
        <f>FALSE()</f>
        <v>0</v>
      </c>
      <c r="E106" t="b">
        <f>FALSE()</f>
        <v>0</v>
      </c>
    </row>
    <row r="107" spans="1:5">
      <c r="A107" t="s">
        <v>218</v>
      </c>
      <c r="B107" t="s">
        <v>217</v>
      </c>
      <c r="C107" t="b">
        <f>FALSE()</f>
        <v>0</v>
      </c>
      <c r="E107" t="b">
        <f>FALSE()</f>
        <v>0</v>
      </c>
    </row>
    <row r="108" spans="1:5">
      <c r="A108" t="s">
        <v>219</v>
      </c>
      <c r="B108" t="s">
        <v>390</v>
      </c>
      <c r="C108" t="b">
        <f>FALSE()</f>
        <v>0</v>
      </c>
      <c r="E108" t="b">
        <f>FALSE()</f>
        <v>0</v>
      </c>
    </row>
    <row r="109" spans="1:5">
      <c r="A109" t="s">
        <v>221</v>
      </c>
      <c r="B109" t="s">
        <v>255</v>
      </c>
      <c r="C109" t="b">
        <f>FALSE()</f>
        <v>0</v>
      </c>
      <c r="E109" t="b">
        <f>FALSE()</f>
        <v>0</v>
      </c>
    </row>
    <row r="110" spans="1:5">
      <c r="A110" t="s">
        <v>223</v>
      </c>
      <c r="B110" t="s">
        <v>224</v>
      </c>
      <c r="C110" t="b">
        <f>TRUE()</f>
        <v>1</v>
      </c>
      <c r="E110" t="b">
        <f>TRUE()</f>
        <v>1</v>
      </c>
    </row>
    <row r="111" spans="1:5">
      <c r="A111" t="s">
        <v>225</v>
      </c>
      <c r="B111" t="s">
        <v>391</v>
      </c>
      <c r="C111" t="s">
        <v>8</v>
      </c>
      <c r="E111" t="s">
        <v>8</v>
      </c>
    </row>
    <row r="112" spans="1:5">
      <c r="A112" t="s">
        <v>227</v>
      </c>
      <c r="B112" t="s">
        <v>392</v>
      </c>
      <c r="C112" t="b">
        <f>TRUE()</f>
        <v>1</v>
      </c>
      <c r="E112" t="b">
        <f>TRUE()</f>
        <v>1</v>
      </c>
    </row>
    <row r="113" spans="1:5">
      <c r="A113" t="s">
        <v>229</v>
      </c>
      <c r="B113" t="s">
        <v>393</v>
      </c>
      <c r="C113" t="b">
        <f>TRUE()</f>
        <v>1</v>
      </c>
      <c r="E113" t="b">
        <f>TRUE()</f>
        <v>1</v>
      </c>
    </row>
    <row r="114" spans="1:5">
      <c r="A114" t="s">
        <v>230</v>
      </c>
      <c r="B114" t="s">
        <v>394</v>
      </c>
      <c r="C114" t="s">
        <v>8</v>
      </c>
      <c r="E114" t="s">
        <v>8</v>
      </c>
    </row>
    <row r="115" spans="1:5">
      <c r="A115" t="s">
        <v>232</v>
      </c>
      <c r="B115" t="s">
        <v>233</v>
      </c>
      <c r="C115" t="b">
        <f>FALSE()</f>
        <v>0</v>
      </c>
      <c r="E115" t="b">
        <f>FALSE()</f>
        <v>0</v>
      </c>
    </row>
    <row r="116" spans="1:5">
      <c r="A116" t="s">
        <v>234</v>
      </c>
      <c r="B116" t="s">
        <v>235</v>
      </c>
      <c r="C116" t="b">
        <f>TRUE()</f>
        <v>1</v>
      </c>
      <c r="E116" t="b">
        <f>TRUE()</f>
        <v>1</v>
      </c>
    </row>
    <row r="117" spans="1:5">
      <c r="A117" t="s">
        <v>236</v>
      </c>
      <c r="B117" t="s">
        <v>395</v>
      </c>
      <c r="C117" t="b">
        <f>FALSE()</f>
        <v>0</v>
      </c>
      <c r="E117" t="b">
        <f>FALSE()</f>
        <v>0</v>
      </c>
    </row>
    <row r="118" spans="1:5">
      <c r="A118" t="s">
        <v>238</v>
      </c>
      <c r="B118" t="s">
        <v>396</v>
      </c>
      <c r="C118" t="b">
        <f>FALSE()</f>
        <v>0</v>
      </c>
      <c r="E118" t="b">
        <f>FALSE()</f>
        <v>0</v>
      </c>
    </row>
    <row r="119" spans="1:5">
      <c r="A119" t="s">
        <v>240</v>
      </c>
      <c r="B119" t="s">
        <v>397</v>
      </c>
      <c r="C119" t="b">
        <f>TRUE()</f>
        <v>1</v>
      </c>
      <c r="E119" t="b">
        <f>TRUE()</f>
        <v>1</v>
      </c>
    </row>
    <row r="120" spans="1:5">
      <c r="A120" t="s">
        <v>242</v>
      </c>
      <c r="B120" t="s">
        <v>398</v>
      </c>
      <c r="C120" t="b">
        <f>FALSE()</f>
        <v>0</v>
      </c>
      <c r="E120" t="b">
        <f>FALSE()</f>
        <v>0</v>
      </c>
    </row>
    <row r="121" spans="1:5">
      <c r="A121" t="s">
        <v>244</v>
      </c>
      <c r="B121" t="s">
        <v>245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1"/>
  <sheetViews>
    <sheetView topLeftCell="A101" zoomScaleNormal="100" workbookViewId="0">
      <selection activeCell="E116" sqref="E116"/>
    </sheetView>
  </sheetViews>
  <sheetFormatPr defaultColWidth="8.5703125" defaultRowHeight="15"/>
  <cols>
    <col min="1" max="1" width="43.5703125" customWidth="1"/>
    <col min="2" max="2" width="30.7109375" customWidth="1"/>
    <col min="5" max="5" width="10.5703125" customWidth="1"/>
  </cols>
  <sheetData>
    <row r="1" spans="1:5" ht="15" customHeight="1">
      <c r="A1" s="1" t="s">
        <v>18</v>
      </c>
      <c r="B1" s="1" t="s">
        <v>19</v>
      </c>
      <c r="C1" t="s">
        <v>20</v>
      </c>
      <c r="D1" t="s">
        <v>21</v>
      </c>
      <c r="E1" t="s">
        <v>246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339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399</v>
      </c>
      <c r="C6" t="s">
        <v>8</v>
      </c>
      <c r="E6" t="b">
        <v>0</v>
      </c>
    </row>
    <row r="7" spans="1:5">
      <c r="A7" t="s">
        <v>32</v>
      </c>
      <c r="B7" t="s">
        <v>33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400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342</v>
      </c>
      <c r="C11" t="b">
        <f>TRUE()</f>
        <v>1</v>
      </c>
      <c r="E11" t="b">
        <f>TRUE()</f>
        <v>1</v>
      </c>
    </row>
    <row r="12" spans="1:5" ht="31.35">
      <c r="A12" t="s">
        <v>42</v>
      </c>
      <c r="B12" s="2" t="s">
        <v>401</v>
      </c>
      <c r="C12" t="b">
        <f>FALSE()</f>
        <v>0</v>
      </c>
      <c r="E12" t="b">
        <f>FALSE()</f>
        <v>0</v>
      </c>
    </row>
    <row r="13" spans="1:5">
      <c r="A13" t="s">
        <v>44</v>
      </c>
      <c r="B13" t="s">
        <v>402</v>
      </c>
      <c r="C13" t="b">
        <f>FALSE()</f>
        <v>0</v>
      </c>
      <c r="E13" t="b">
        <f>FALSE()</f>
        <v>0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403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345</v>
      </c>
      <c r="C17" t="b">
        <f>TRUE()</f>
        <v>1</v>
      </c>
      <c r="E17" t="b">
        <f>TRUE()</f>
        <v>1</v>
      </c>
    </row>
    <row r="18" spans="1:5" ht="31.35">
      <c r="A18" t="s">
        <v>54</v>
      </c>
      <c r="B18" s="2" t="s">
        <v>404</v>
      </c>
      <c r="C18" t="b">
        <f>FALSE()</f>
        <v>0</v>
      </c>
      <c r="E18" t="b">
        <f>FALSE()</f>
        <v>0</v>
      </c>
    </row>
    <row r="19" spans="1:5">
      <c r="A19" t="s">
        <v>56</v>
      </c>
      <c r="B19" t="s">
        <v>405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347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348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406</v>
      </c>
      <c r="C24" t="s">
        <v>8</v>
      </c>
      <c r="E24" t="b">
        <v>0</v>
      </c>
    </row>
    <row r="25" spans="1:5">
      <c r="A25" t="s">
        <v>67</v>
      </c>
      <c r="B25" t="s">
        <v>110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407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352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315</v>
      </c>
      <c r="C30" t="s">
        <v>8</v>
      </c>
      <c r="E30" t="b">
        <v>0</v>
      </c>
    </row>
    <row r="31" spans="1:5">
      <c r="A31" t="s">
        <v>77</v>
      </c>
      <c r="B31" t="s">
        <v>408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354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355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409</v>
      </c>
      <c r="C36" t="s">
        <v>8</v>
      </c>
      <c r="E36" t="b">
        <v>0</v>
      </c>
    </row>
    <row r="37" spans="1:5">
      <c r="A37" t="s">
        <v>89</v>
      </c>
      <c r="B37" t="s">
        <v>90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358</v>
      </c>
      <c r="C40" t="b">
        <f>FALSE()</f>
        <v>0</v>
      </c>
      <c r="E40" t="b">
        <f>FALSE()</f>
        <v>0</v>
      </c>
    </row>
    <row r="41" spans="1:5">
      <c r="A41" t="s">
        <v>96</v>
      </c>
      <c r="B41" t="s">
        <v>358</v>
      </c>
      <c r="C41" t="b">
        <f>FALSE()</f>
        <v>0</v>
      </c>
      <c r="E41" t="b">
        <f>FALSE()</f>
        <v>0</v>
      </c>
    </row>
    <row r="42" spans="1:5">
      <c r="A42" t="s">
        <v>97</v>
      </c>
      <c r="B42" t="s">
        <v>358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110</v>
      </c>
      <c r="C43" t="b">
        <f>FALSE()</f>
        <v>0</v>
      </c>
      <c r="E43" t="b">
        <f>FALSE()</f>
        <v>0</v>
      </c>
    </row>
    <row r="44" spans="1:5">
      <c r="A44" t="s">
        <v>101</v>
      </c>
      <c r="B44" t="s">
        <v>102</v>
      </c>
      <c r="C44" t="b">
        <f>TRUE()</f>
        <v>1</v>
      </c>
      <c r="E44" t="b">
        <f>TRUE()</f>
        <v>1</v>
      </c>
    </row>
    <row r="45" spans="1:5">
      <c r="A45" t="s">
        <v>103</v>
      </c>
      <c r="B45" t="s">
        <v>104</v>
      </c>
      <c r="C45" t="b">
        <f>TRUE()</f>
        <v>1</v>
      </c>
      <c r="E45" t="b">
        <f>TRUE()</f>
        <v>1</v>
      </c>
    </row>
    <row r="46" spans="1:5">
      <c r="A46" t="s">
        <v>105</v>
      </c>
      <c r="B46" t="s">
        <v>410</v>
      </c>
      <c r="C46" t="b">
        <f>TRUE()</f>
        <v>1</v>
      </c>
      <c r="E46" t="b">
        <f>TRUE()</f>
        <v>1</v>
      </c>
    </row>
    <row r="47" spans="1:5">
      <c r="A47" t="s">
        <v>106</v>
      </c>
      <c r="B47" t="s">
        <v>361</v>
      </c>
      <c r="C47" t="b">
        <f>TRUE()</f>
        <v>1</v>
      </c>
      <c r="E47" t="b">
        <f>TRUE()</f>
        <v>1</v>
      </c>
    </row>
    <row r="48" spans="1:5">
      <c r="A48" t="s">
        <v>107</v>
      </c>
      <c r="B48" t="s">
        <v>362</v>
      </c>
      <c r="C48" t="b">
        <f>FALSE()</f>
        <v>0</v>
      </c>
      <c r="E48" t="b">
        <f>FALSE()</f>
        <v>0</v>
      </c>
    </row>
    <row r="49" spans="1:5">
      <c r="A49" t="s">
        <v>109</v>
      </c>
      <c r="B49" t="s">
        <v>78</v>
      </c>
      <c r="C49" t="b">
        <f>FALSE()</f>
        <v>0</v>
      </c>
      <c r="E49" t="b">
        <f>FALSE()</f>
        <v>0</v>
      </c>
    </row>
    <row r="50" spans="1:5">
      <c r="A50" t="s">
        <v>111</v>
      </c>
      <c r="B50" t="s">
        <v>112</v>
      </c>
      <c r="C50" t="b">
        <f>TRUE()</f>
        <v>1</v>
      </c>
      <c r="E50" t="b">
        <f>TRUE()</f>
        <v>1</v>
      </c>
    </row>
    <row r="51" spans="1:5">
      <c r="A51" t="s">
        <v>113</v>
      </c>
      <c r="B51" t="s">
        <v>114</v>
      </c>
      <c r="C51" t="b">
        <f>TRUE()</f>
        <v>1</v>
      </c>
      <c r="E51" t="b">
        <f>TRUE()</f>
        <v>1</v>
      </c>
    </row>
    <row r="52" spans="1:5">
      <c r="A52" t="s">
        <v>115</v>
      </c>
      <c r="B52" t="s">
        <v>411</v>
      </c>
      <c r="C52" t="b">
        <f>TRUE()</f>
        <v>1</v>
      </c>
      <c r="E52" t="b">
        <f>TRUE()</f>
        <v>1</v>
      </c>
    </row>
    <row r="53" spans="1:5">
      <c r="A53" t="s">
        <v>117</v>
      </c>
      <c r="B53" t="s">
        <v>363</v>
      </c>
      <c r="C53" t="b">
        <f>FALSE()</f>
        <v>0</v>
      </c>
      <c r="E53" t="b">
        <f>FALSE()</f>
        <v>0</v>
      </c>
    </row>
    <row r="54" spans="1:5">
      <c r="A54" t="s">
        <v>118</v>
      </c>
      <c r="B54" t="s">
        <v>363</v>
      </c>
      <c r="C54" t="b">
        <f>FALSE()</f>
        <v>0</v>
      </c>
      <c r="E54" t="b">
        <f>FALSE()</f>
        <v>0</v>
      </c>
    </row>
    <row r="55" spans="1:5">
      <c r="A55" t="s">
        <v>120</v>
      </c>
      <c r="B55" t="s">
        <v>412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413</v>
      </c>
      <c r="C56" t="b">
        <f>FALSE()</f>
        <v>0</v>
      </c>
      <c r="E56" t="b">
        <f>FALSE()</f>
        <v>0</v>
      </c>
    </row>
    <row r="57" spans="1:5">
      <c r="A57" t="s">
        <v>123</v>
      </c>
      <c r="B57" t="s">
        <v>364</v>
      </c>
      <c r="C57" t="b">
        <f>FALSE()</f>
        <v>0</v>
      </c>
      <c r="E57" t="b">
        <f>FALSE()</f>
        <v>0</v>
      </c>
    </row>
    <row r="58" spans="1:5">
      <c r="A58" t="s">
        <v>125</v>
      </c>
      <c r="B58" t="s">
        <v>365</v>
      </c>
      <c r="C58" t="b">
        <f>FALSE()</f>
        <v>0</v>
      </c>
      <c r="E58" t="b">
        <f>FALSE()</f>
        <v>0</v>
      </c>
    </row>
    <row r="59" spans="1:5">
      <c r="A59" t="s">
        <v>126</v>
      </c>
      <c r="B59" t="s">
        <v>366</v>
      </c>
      <c r="C59" t="b">
        <f>FALSE()</f>
        <v>0</v>
      </c>
      <c r="E59" t="b">
        <f>FALSE()</f>
        <v>0</v>
      </c>
    </row>
    <row r="60" spans="1:5">
      <c r="A60" t="s">
        <v>127</v>
      </c>
      <c r="B60" t="s">
        <v>319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255</v>
      </c>
      <c r="C61" t="b">
        <f>TRUE()</f>
        <v>1</v>
      </c>
      <c r="E61" t="b">
        <f>TRUE()</f>
        <v>1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367</v>
      </c>
      <c r="C63" t="b">
        <f>FALSE()</f>
        <v>0</v>
      </c>
      <c r="E63" t="b">
        <f>FALSE()</f>
        <v>0</v>
      </c>
    </row>
    <row r="64" spans="1:5">
      <c r="A64" t="s">
        <v>135</v>
      </c>
      <c r="B64" t="s">
        <v>136</v>
      </c>
      <c r="C64" t="b">
        <f>FALSE()</f>
        <v>0</v>
      </c>
      <c r="E64" t="b">
        <f>FALSE()</f>
        <v>0</v>
      </c>
    </row>
    <row r="65" spans="1:5">
      <c r="A65" t="s">
        <v>137</v>
      </c>
      <c r="B65" t="s">
        <v>368</v>
      </c>
      <c r="C65" t="b">
        <f>FALSE()</f>
        <v>0</v>
      </c>
      <c r="E65" t="b">
        <f>FALSE()</f>
        <v>0</v>
      </c>
    </row>
    <row r="66" spans="1:5">
      <c r="A66" t="s">
        <v>139</v>
      </c>
      <c r="B66" t="s">
        <v>334</v>
      </c>
      <c r="C66" t="b">
        <f>FALSE()</f>
        <v>0</v>
      </c>
      <c r="E66" t="b">
        <f>FALSE()</f>
        <v>0</v>
      </c>
    </row>
    <row r="67" spans="1:5">
      <c r="A67" t="s">
        <v>141</v>
      </c>
      <c r="B67" t="s">
        <v>142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370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371</v>
      </c>
      <c r="C71" t="b">
        <f>TRUE()</f>
        <v>1</v>
      </c>
      <c r="E71" t="b">
        <f>TRUE()</f>
        <v>1</v>
      </c>
    </row>
    <row r="72" spans="1:5">
      <c r="A72" t="s">
        <v>151</v>
      </c>
      <c r="B72" t="s">
        <v>315</v>
      </c>
      <c r="C72" t="s">
        <v>8</v>
      </c>
      <c r="E72" t="b">
        <v>0</v>
      </c>
    </row>
    <row r="73" spans="1:5">
      <c r="A73" t="s">
        <v>153</v>
      </c>
      <c r="B73" t="s">
        <v>414</v>
      </c>
      <c r="C73" t="b">
        <f>TRUE()</f>
        <v>1</v>
      </c>
      <c r="E73" t="b">
        <f>TRUE()</f>
        <v>1</v>
      </c>
    </row>
    <row r="74" spans="1:5">
      <c r="A74" t="s">
        <v>155</v>
      </c>
      <c r="B74" t="s">
        <v>156</v>
      </c>
      <c r="C74" t="b">
        <f>TRUE()</f>
        <v>1</v>
      </c>
      <c r="E74" t="b">
        <f>TRUE()</f>
        <v>1</v>
      </c>
    </row>
    <row r="75" spans="1:5">
      <c r="A75" t="s">
        <v>157</v>
      </c>
      <c r="B75" t="s">
        <v>373</v>
      </c>
      <c r="C75" t="b">
        <f>TRUE()</f>
        <v>1</v>
      </c>
      <c r="E75" t="b">
        <f>TRUE()</f>
        <v>1</v>
      </c>
    </row>
    <row r="76" spans="1:5">
      <c r="A76" t="s">
        <v>159</v>
      </c>
      <c r="B76" t="s">
        <v>374</v>
      </c>
      <c r="C76" t="b">
        <f>TRUE()</f>
        <v>1</v>
      </c>
      <c r="E76" t="b">
        <f>TRUE()</f>
        <v>1</v>
      </c>
    </row>
    <row r="77" spans="1:5">
      <c r="A77" t="s">
        <v>161</v>
      </c>
      <c r="B77" t="s">
        <v>375</v>
      </c>
      <c r="C77" t="b">
        <f>TRUE()</f>
        <v>1</v>
      </c>
      <c r="E77" t="b">
        <f>TRUE()</f>
        <v>1</v>
      </c>
    </row>
    <row r="78" spans="1:5">
      <c r="A78" t="s">
        <v>163</v>
      </c>
      <c r="B78" t="s">
        <v>315</v>
      </c>
      <c r="C78" t="s">
        <v>8</v>
      </c>
      <c r="E78" t="b">
        <v>0</v>
      </c>
    </row>
    <row r="79" spans="1:5">
      <c r="A79" t="s">
        <v>165</v>
      </c>
      <c r="B79" t="s">
        <v>415</v>
      </c>
      <c r="C79" t="b">
        <f>TRUE()</f>
        <v>1</v>
      </c>
      <c r="E79" t="b">
        <f>TRUE()</f>
        <v>1</v>
      </c>
    </row>
    <row r="80" spans="1:5">
      <c r="A80" t="s">
        <v>167</v>
      </c>
      <c r="B80" t="s">
        <v>168</v>
      </c>
      <c r="C80" t="b">
        <f>TRUE()</f>
        <v>1</v>
      </c>
      <c r="E80" t="b">
        <f>TRUE()</f>
        <v>1</v>
      </c>
    </row>
    <row r="81" spans="1:5">
      <c r="A81" t="s">
        <v>169</v>
      </c>
      <c r="B81" t="s">
        <v>376</v>
      </c>
      <c r="C81" t="b">
        <f>TRUE()</f>
        <v>1</v>
      </c>
      <c r="E81" t="b">
        <f>TRUE()</f>
        <v>1</v>
      </c>
    </row>
    <row r="82" spans="1:5">
      <c r="A82" t="s">
        <v>171</v>
      </c>
      <c r="B82" t="s">
        <v>377</v>
      </c>
      <c r="C82" t="b">
        <f>TRUE()</f>
        <v>1</v>
      </c>
      <c r="E82" t="b">
        <f>TRUE()</f>
        <v>1</v>
      </c>
    </row>
    <row r="83" spans="1:5">
      <c r="A83" t="s">
        <v>173</v>
      </c>
      <c r="B83" t="s">
        <v>378</v>
      </c>
      <c r="C83" t="b">
        <f>TRUE()</f>
        <v>1</v>
      </c>
      <c r="E83" t="b">
        <f>TRUE()</f>
        <v>1</v>
      </c>
    </row>
    <row r="84" spans="1:5">
      <c r="A84" t="s">
        <v>175</v>
      </c>
      <c r="B84" t="s">
        <v>416</v>
      </c>
      <c r="C84" t="s">
        <v>8</v>
      </c>
      <c r="E84" t="b">
        <v>0</v>
      </c>
    </row>
    <row r="85" spans="1:5">
      <c r="A85" t="s">
        <v>177</v>
      </c>
      <c r="B85" t="s">
        <v>178</v>
      </c>
      <c r="C85" t="b">
        <f>TRUE()</f>
        <v>1</v>
      </c>
      <c r="E85" t="b">
        <f>TRUE()</f>
        <v>1</v>
      </c>
    </row>
    <row r="86" spans="1:5">
      <c r="A86" t="s">
        <v>179</v>
      </c>
      <c r="B86" t="s">
        <v>180</v>
      </c>
      <c r="C86" t="b">
        <f>TRUE()</f>
        <v>1</v>
      </c>
      <c r="E86" t="b">
        <f>TRUE()</f>
        <v>1</v>
      </c>
    </row>
    <row r="87" spans="1:5">
      <c r="A87" t="s">
        <v>181</v>
      </c>
      <c r="B87" t="s">
        <v>182</v>
      </c>
      <c r="C87" t="b">
        <f>TRUE()</f>
        <v>1</v>
      </c>
      <c r="E87" t="b">
        <f>TRUE()</f>
        <v>1</v>
      </c>
    </row>
    <row r="88" spans="1:5">
      <c r="A88" t="s">
        <v>183</v>
      </c>
      <c r="B88" t="s">
        <v>380</v>
      </c>
      <c r="C88" t="b">
        <f>TRUE()</f>
        <v>1</v>
      </c>
      <c r="E88" t="b">
        <f>TRUE()</f>
        <v>1</v>
      </c>
    </row>
    <row r="89" spans="1:5">
      <c r="A89" t="s">
        <v>185</v>
      </c>
      <c r="B89" t="s">
        <v>381</v>
      </c>
      <c r="C89" t="b">
        <f>TRUE()</f>
        <v>1</v>
      </c>
      <c r="E89" t="b">
        <f>TRUE()</f>
        <v>1</v>
      </c>
    </row>
    <row r="90" spans="1:5">
      <c r="A90" t="s">
        <v>187</v>
      </c>
      <c r="B90" t="s">
        <v>417</v>
      </c>
      <c r="C90" t="s">
        <v>8</v>
      </c>
      <c r="E90" t="b">
        <v>0</v>
      </c>
    </row>
    <row r="91" spans="1:5">
      <c r="A91" t="s">
        <v>189</v>
      </c>
      <c r="B91" t="s">
        <v>255</v>
      </c>
      <c r="C91" t="b">
        <f>FALSE()</f>
        <v>0</v>
      </c>
      <c r="E91" t="b">
        <f>FALSE()</f>
        <v>0</v>
      </c>
    </row>
    <row r="92" spans="1:5">
      <c r="A92" t="s">
        <v>190</v>
      </c>
      <c r="B92" t="s">
        <v>191</v>
      </c>
      <c r="C92" t="b">
        <f>TRUE()</f>
        <v>1</v>
      </c>
      <c r="E92" t="b">
        <f>TRUE()</f>
        <v>1</v>
      </c>
    </row>
    <row r="93" spans="1:5">
      <c r="A93" t="s">
        <v>192</v>
      </c>
      <c r="B93" t="s">
        <v>193</v>
      </c>
      <c r="C93" t="b">
        <f>TRUE()</f>
        <v>1</v>
      </c>
      <c r="E93" t="b">
        <f>TRUE()</f>
        <v>1</v>
      </c>
    </row>
    <row r="94" spans="1:5">
      <c r="A94" t="s">
        <v>194</v>
      </c>
      <c r="B94" t="s">
        <v>295</v>
      </c>
      <c r="C94" t="b">
        <f>TRUE()</f>
        <v>1</v>
      </c>
      <c r="E94" t="b">
        <f>TRUE()</f>
        <v>1</v>
      </c>
    </row>
    <row r="95" spans="1:5">
      <c r="A95" t="s">
        <v>196</v>
      </c>
      <c r="B95" t="s">
        <v>384</v>
      </c>
      <c r="C95" t="b">
        <f>TRUE()</f>
        <v>1</v>
      </c>
      <c r="E95" t="b">
        <f>TRUE()</f>
        <v>1</v>
      </c>
    </row>
    <row r="96" spans="1:5">
      <c r="A96" t="s">
        <v>198</v>
      </c>
      <c r="B96" t="s">
        <v>315</v>
      </c>
      <c r="C96" t="s">
        <v>8</v>
      </c>
      <c r="E96" t="b">
        <v>0</v>
      </c>
    </row>
    <row r="97" spans="1:5">
      <c r="A97" t="s">
        <v>200</v>
      </c>
      <c r="B97" t="s">
        <v>201</v>
      </c>
      <c r="C97" t="b">
        <f>TRUE()</f>
        <v>1</v>
      </c>
      <c r="E97" t="b">
        <f>TRUE()</f>
        <v>1</v>
      </c>
    </row>
    <row r="98" spans="1:5">
      <c r="A98" t="s">
        <v>202</v>
      </c>
      <c r="B98" t="s">
        <v>203</v>
      </c>
      <c r="C98" t="b">
        <f>TRUE()</f>
        <v>1</v>
      </c>
      <c r="E98" t="b">
        <f>TRUE()</f>
        <v>1</v>
      </c>
    </row>
    <row r="99" spans="1:5">
      <c r="A99" t="s">
        <v>204</v>
      </c>
      <c r="B99" t="s">
        <v>386</v>
      </c>
      <c r="C99" t="b">
        <f>FALSE()</f>
        <v>0</v>
      </c>
      <c r="E99" t="b">
        <f>FALSE()</f>
        <v>0</v>
      </c>
    </row>
    <row r="100" spans="1:5">
      <c r="A100" t="s">
        <v>206</v>
      </c>
      <c r="B100" t="s">
        <v>387</v>
      </c>
      <c r="C100" t="b">
        <f>FALSE()</f>
        <v>0</v>
      </c>
      <c r="E100" t="b">
        <f>FALSE()</f>
        <v>0</v>
      </c>
    </row>
    <row r="101" spans="1:5">
      <c r="A101" t="s">
        <v>208</v>
      </c>
      <c r="B101" t="s">
        <v>388</v>
      </c>
      <c r="C101" t="b">
        <f>TRUE()</f>
        <v>1</v>
      </c>
      <c r="E101" t="b">
        <f>TRUE()</f>
        <v>1</v>
      </c>
    </row>
    <row r="102" spans="1:5">
      <c r="A102" t="s">
        <v>209</v>
      </c>
      <c r="B102" t="s">
        <v>389</v>
      </c>
      <c r="C102" t="b">
        <f>TRUE()</f>
        <v>1</v>
      </c>
      <c r="E102" t="b">
        <f>TRUE()</f>
        <v>1</v>
      </c>
    </row>
    <row r="103" spans="1:5">
      <c r="A103" t="s">
        <v>211</v>
      </c>
      <c r="B103" t="s">
        <v>110</v>
      </c>
      <c r="C103" t="b">
        <f>FALSE()</f>
        <v>0</v>
      </c>
      <c r="E103" t="b">
        <f>FALSE()</f>
        <v>0</v>
      </c>
    </row>
    <row r="104" spans="1:5">
      <c r="A104" t="s">
        <v>212</v>
      </c>
      <c r="B104" t="s">
        <v>213</v>
      </c>
      <c r="C104" t="b">
        <f>TRUE()</f>
        <v>1</v>
      </c>
      <c r="E104" t="b">
        <f>TRUE()</f>
        <v>1</v>
      </c>
    </row>
    <row r="105" spans="1:5">
      <c r="A105" t="s">
        <v>214</v>
      </c>
      <c r="B105" t="s">
        <v>299</v>
      </c>
      <c r="C105" t="b">
        <f>FALSE()</f>
        <v>0</v>
      </c>
      <c r="E105" t="b">
        <f>FALSE()</f>
        <v>0</v>
      </c>
    </row>
    <row r="106" spans="1:5">
      <c r="A106" t="s">
        <v>216</v>
      </c>
      <c r="B106" t="s">
        <v>217</v>
      </c>
      <c r="C106" t="b">
        <f>FALSE()</f>
        <v>0</v>
      </c>
      <c r="E106" t="b">
        <f>FALSE()</f>
        <v>0</v>
      </c>
    </row>
    <row r="107" spans="1:5">
      <c r="A107" t="s">
        <v>218</v>
      </c>
      <c r="B107" t="s">
        <v>217</v>
      </c>
      <c r="C107" t="b">
        <f>FALSE()</f>
        <v>0</v>
      </c>
      <c r="E107" t="b">
        <f>FALSE()</f>
        <v>0</v>
      </c>
    </row>
    <row r="108" spans="1:5">
      <c r="A108" t="s">
        <v>219</v>
      </c>
      <c r="B108" t="s">
        <v>274</v>
      </c>
      <c r="C108" t="s">
        <v>8</v>
      </c>
      <c r="E108" t="b">
        <v>0</v>
      </c>
    </row>
    <row r="109" spans="1:5">
      <c r="A109" t="s">
        <v>221</v>
      </c>
      <c r="B109" t="s">
        <v>262</v>
      </c>
      <c r="C109" t="b">
        <f>FALSE()</f>
        <v>0</v>
      </c>
      <c r="E109" t="b">
        <f>FALSE()</f>
        <v>0</v>
      </c>
    </row>
    <row r="110" spans="1:5">
      <c r="A110" t="s">
        <v>223</v>
      </c>
      <c r="B110" t="s">
        <v>224</v>
      </c>
      <c r="C110" t="b">
        <f>TRUE()</f>
        <v>1</v>
      </c>
      <c r="E110" t="b">
        <f>TRUE()</f>
        <v>1</v>
      </c>
    </row>
    <row r="111" spans="1:5">
      <c r="A111" t="s">
        <v>225</v>
      </c>
      <c r="B111" t="s">
        <v>391</v>
      </c>
      <c r="C111" t="s">
        <v>8</v>
      </c>
      <c r="E111" t="s">
        <v>8</v>
      </c>
    </row>
    <row r="112" spans="1:5">
      <c r="A112" t="s">
        <v>227</v>
      </c>
      <c r="B112" t="s">
        <v>418</v>
      </c>
      <c r="C112" t="b">
        <f>TRUE()</f>
        <v>1</v>
      </c>
      <c r="E112" t="b">
        <f>TRUE()</f>
        <v>1</v>
      </c>
    </row>
    <row r="113" spans="1:5">
      <c r="A113" t="s">
        <v>229</v>
      </c>
      <c r="B113" t="s">
        <v>393</v>
      </c>
      <c r="C113" t="b">
        <f>TRUE()</f>
        <v>1</v>
      </c>
      <c r="E113" t="b">
        <f>TRUE()</f>
        <v>1</v>
      </c>
    </row>
    <row r="114" spans="1:5">
      <c r="A114" t="s">
        <v>230</v>
      </c>
      <c r="B114" t="s">
        <v>419</v>
      </c>
      <c r="C114" t="s">
        <v>8</v>
      </c>
      <c r="E114" t="b">
        <v>0</v>
      </c>
    </row>
    <row r="115" spans="1:5">
      <c r="A115" t="s">
        <v>232</v>
      </c>
      <c r="B115" t="s">
        <v>233</v>
      </c>
      <c r="C115" t="b">
        <f>FALSE()</f>
        <v>0</v>
      </c>
      <c r="E115" t="b">
        <f>FALSE()</f>
        <v>0</v>
      </c>
    </row>
    <row r="116" spans="1:5">
      <c r="A116" t="s">
        <v>234</v>
      </c>
      <c r="B116" t="s">
        <v>235</v>
      </c>
      <c r="C116" t="b">
        <f>TRUE()</f>
        <v>1</v>
      </c>
      <c r="E116" t="b">
        <f>TRUE()</f>
        <v>1</v>
      </c>
    </row>
    <row r="117" spans="1:5">
      <c r="A117" t="s">
        <v>236</v>
      </c>
      <c r="B117" t="s">
        <v>395</v>
      </c>
      <c r="C117" t="b">
        <f>FALSE()</f>
        <v>0</v>
      </c>
      <c r="E117" t="b">
        <f>FALSE()</f>
        <v>0</v>
      </c>
    </row>
    <row r="118" spans="1:5">
      <c r="A118" t="s">
        <v>238</v>
      </c>
      <c r="B118" t="s">
        <v>396</v>
      </c>
      <c r="C118" t="b">
        <f>FALSE()</f>
        <v>0</v>
      </c>
      <c r="E118" t="b">
        <f>FALSE()</f>
        <v>0</v>
      </c>
    </row>
    <row r="119" spans="1:5">
      <c r="A119" t="s">
        <v>240</v>
      </c>
      <c r="B119" t="s">
        <v>397</v>
      </c>
      <c r="C119" t="b">
        <f>TRUE()</f>
        <v>1</v>
      </c>
      <c r="E119" t="b">
        <f>TRUE()</f>
        <v>1</v>
      </c>
    </row>
    <row r="120" spans="1:5">
      <c r="A120" t="s">
        <v>242</v>
      </c>
      <c r="B120" t="s">
        <v>398</v>
      </c>
      <c r="C120" t="b">
        <f>FALSE()</f>
        <v>0</v>
      </c>
      <c r="E120" t="b">
        <f>FALSE()</f>
        <v>0</v>
      </c>
    </row>
    <row r="121" spans="1:5">
      <c r="A121" t="s">
        <v>244</v>
      </c>
      <c r="B121" t="s">
        <v>245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6</cp:revision>
  <dcterms:created xsi:type="dcterms:W3CDTF">2026-06-08T11:26:33Z</dcterms:created>
  <dcterms:modified xsi:type="dcterms:W3CDTF">2026-09-16T12:57:35Z</dcterms:modified>
  <cp:category/>
  <cp:contentStatus/>
</cp:coreProperties>
</file>