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7" documentId="11_1425D31C3E468A74F465776BE49C0D79DE53C6A0" xr6:coauthVersionLast="47" xr6:coauthVersionMax="47" xr10:uidLastSave="{D478D3DE-EE7F-4EB9-8C38-1C325AD8F6A0}"/>
  <bookViews>
    <workbookView xWindow="0" yWindow="0" windowWidth="16384" windowHeight="8192" tabRatio="500" firstSheet="2" activeTab="1" xr2:uid="{00000000-000D-0000-FFFF-FFFF00000000}"/>
  </bookViews>
  <sheets>
    <sheet name="kappa" sheetId="5" r:id="rId1"/>
    <sheet name="people6" sheetId="1" r:id="rId2"/>
    <sheet name="people10" sheetId="2" r:id="rId3"/>
    <sheet name="people14" sheetId="3" r:id="rId4"/>
    <sheet name="people20" sheetId="4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" i="5" l="1"/>
  <c r="H15" i="5"/>
  <c r="G15" i="5"/>
  <c r="D15" i="5"/>
  <c r="C15" i="5"/>
  <c r="B15" i="5"/>
  <c r="I14" i="5"/>
  <c r="H14" i="5"/>
  <c r="G14" i="5"/>
  <c r="D14" i="5"/>
  <c r="C14" i="5"/>
  <c r="B14" i="5"/>
  <c r="I13" i="5"/>
  <c r="H13" i="5"/>
  <c r="G13" i="5"/>
  <c r="D13" i="5"/>
  <c r="C13" i="5"/>
  <c r="B13" i="5"/>
  <c r="I5" i="5"/>
  <c r="H5" i="5"/>
  <c r="G5" i="5"/>
  <c r="D5" i="5"/>
  <c r="D25" i="5" s="1"/>
  <c r="C5" i="5"/>
  <c r="C25" i="5" s="1"/>
  <c r="B5" i="5"/>
  <c r="B25" i="5" s="1"/>
  <c r="I4" i="5"/>
  <c r="H4" i="5"/>
  <c r="G4" i="5"/>
  <c r="D4" i="5"/>
  <c r="D24" i="5" s="1"/>
  <c r="C4" i="5"/>
  <c r="C24" i="5" s="1"/>
  <c r="B4" i="5"/>
  <c r="B24" i="5" s="1"/>
  <c r="I3" i="5"/>
  <c r="H3" i="5"/>
  <c r="G3" i="5"/>
  <c r="D3" i="5"/>
  <c r="D23" i="5" s="1"/>
  <c r="C3" i="5"/>
  <c r="C23" i="5" s="1"/>
  <c r="B3" i="5"/>
  <c r="E121" i="4"/>
  <c r="C121" i="4"/>
  <c r="E120" i="4"/>
  <c r="C120" i="4"/>
  <c r="E119" i="4"/>
  <c r="C119" i="4"/>
  <c r="E118" i="4"/>
  <c r="C118" i="4"/>
  <c r="E117" i="4"/>
  <c r="C117" i="4"/>
  <c r="E116" i="4"/>
  <c r="C116" i="4"/>
  <c r="E115" i="4"/>
  <c r="C115" i="4"/>
  <c r="E114" i="4"/>
  <c r="C114" i="4"/>
  <c r="E113" i="4"/>
  <c r="C113" i="4"/>
  <c r="E112" i="4"/>
  <c r="C112" i="4"/>
  <c r="E111" i="4"/>
  <c r="C111" i="4"/>
  <c r="E110" i="4"/>
  <c r="C110" i="4"/>
  <c r="E109" i="4"/>
  <c r="C109" i="4"/>
  <c r="E108" i="4"/>
  <c r="C108" i="4"/>
  <c r="E107" i="4"/>
  <c r="C107" i="4"/>
  <c r="E106" i="4"/>
  <c r="C106" i="4"/>
  <c r="E105" i="4"/>
  <c r="C105" i="4"/>
  <c r="E104" i="4"/>
  <c r="C104" i="4"/>
  <c r="E103" i="4"/>
  <c r="C103" i="4"/>
  <c r="E102" i="4"/>
  <c r="C102" i="4"/>
  <c r="E101" i="4"/>
  <c r="C101" i="4"/>
  <c r="E100" i="4"/>
  <c r="C100" i="4"/>
  <c r="E99" i="4"/>
  <c r="C99" i="4"/>
  <c r="E98" i="4"/>
  <c r="C98" i="4"/>
  <c r="E97" i="4"/>
  <c r="C97" i="4"/>
  <c r="E96" i="4"/>
  <c r="C96" i="4"/>
  <c r="E95" i="4"/>
  <c r="C95" i="4"/>
  <c r="E94" i="4"/>
  <c r="C94" i="4"/>
  <c r="E93" i="4"/>
  <c r="C93" i="4"/>
  <c r="E92" i="4"/>
  <c r="C92" i="4"/>
  <c r="E91" i="4"/>
  <c r="C91" i="4"/>
  <c r="E90" i="4"/>
  <c r="C90" i="4"/>
  <c r="E89" i="4"/>
  <c r="C89" i="4"/>
  <c r="E88" i="4"/>
  <c r="C88" i="4"/>
  <c r="E87" i="4"/>
  <c r="C87" i="4"/>
  <c r="E86" i="4"/>
  <c r="C86" i="4"/>
  <c r="E85" i="4"/>
  <c r="C85" i="4"/>
  <c r="E84" i="4"/>
  <c r="C84" i="4"/>
  <c r="E83" i="4"/>
  <c r="C83" i="4"/>
  <c r="E82" i="4"/>
  <c r="C82" i="4"/>
  <c r="E80" i="4"/>
  <c r="C80" i="4"/>
  <c r="E79" i="4"/>
  <c r="C79" i="4"/>
  <c r="E78" i="4"/>
  <c r="C78" i="4"/>
  <c r="E77" i="4"/>
  <c r="C77" i="4"/>
  <c r="E76" i="4"/>
  <c r="C76" i="4"/>
  <c r="E75" i="4"/>
  <c r="C75" i="4"/>
  <c r="E74" i="4"/>
  <c r="C74" i="4"/>
  <c r="E73" i="4"/>
  <c r="C73" i="4"/>
  <c r="E72" i="4"/>
  <c r="C72" i="4"/>
  <c r="E71" i="4"/>
  <c r="C71" i="4"/>
  <c r="E70" i="4"/>
  <c r="C70" i="4"/>
  <c r="E69" i="4"/>
  <c r="C69" i="4"/>
  <c r="E68" i="4"/>
  <c r="C68" i="4"/>
  <c r="E67" i="4"/>
  <c r="C67" i="4"/>
  <c r="E66" i="4"/>
  <c r="C66" i="4"/>
  <c r="E65" i="4"/>
  <c r="C65" i="4"/>
  <c r="E64" i="4"/>
  <c r="C64" i="4"/>
  <c r="E63" i="4"/>
  <c r="C63" i="4"/>
  <c r="E62" i="4"/>
  <c r="C62" i="4"/>
  <c r="E61" i="4"/>
  <c r="C61" i="4"/>
  <c r="E60" i="4"/>
  <c r="C60" i="4"/>
  <c r="E59" i="4"/>
  <c r="C59" i="4"/>
  <c r="E58" i="4"/>
  <c r="C58" i="4"/>
  <c r="E57" i="4"/>
  <c r="C57" i="4"/>
  <c r="E56" i="4"/>
  <c r="C56" i="4"/>
  <c r="E55" i="4"/>
  <c r="C55" i="4"/>
  <c r="E54" i="4"/>
  <c r="C54" i="4"/>
  <c r="E53" i="4"/>
  <c r="C53" i="4"/>
  <c r="E52" i="4"/>
  <c r="C52" i="4"/>
  <c r="E51" i="4"/>
  <c r="C51" i="4"/>
  <c r="E50" i="4"/>
  <c r="C50" i="4"/>
  <c r="E49" i="4"/>
  <c r="C49" i="4"/>
  <c r="E48" i="4"/>
  <c r="C48" i="4"/>
  <c r="E47" i="4"/>
  <c r="C47" i="4"/>
  <c r="E46" i="4"/>
  <c r="C46" i="4"/>
  <c r="E45" i="4"/>
  <c r="C45" i="4"/>
  <c r="E44" i="4"/>
  <c r="C44" i="4"/>
  <c r="E43" i="4"/>
  <c r="C43" i="4"/>
  <c r="E42" i="4"/>
  <c r="C42" i="4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E85" i="3"/>
  <c r="C85" i="3"/>
  <c r="E84" i="3"/>
  <c r="C84" i="3"/>
  <c r="E83" i="3"/>
  <c r="C83" i="3"/>
  <c r="E82" i="3"/>
  <c r="C82" i="3"/>
  <c r="E81" i="3"/>
  <c r="C81" i="3"/>
  <c r="E80" i="3"/>
  <c r="C80" i="3"/>
  <c r="E79" i="3"/>
  <c r="C79" i="3"/>
  <c r="E78" i="3"/>
  <c r="C78" i="3"/>
  <c r="E77" i="3"/>
  <c r="C77" i="3"/>
  <c r="E76" i="3"/>
  <c r="C76" i="3"/>
  <c r="E75" i="3"/>
  <c r="C75" i="3"/>
  <c r="E74" i="3"/>
  <c r="C74" i="3"/>
  <c r="E73" i="3"/>
  <c r="C73" i="3"/>
  <c r="E72" i="3"/>
  <c r="C72" i="3"/>
  <c r="E71" i="3"/>
  <c r="C71" i="3"/>
  <c r="E70" i="3"/>
  <c r="C70" i="3"/>
  <c r="E69" i="3"/>
  <c r="C69" i="3"/>
  <c r="E68" i="3"/>
  <c r="C68" i="3"/>
  <c r="E67" i="3"/>
  <c r="C67" i="3"/>
  <c r="E66" i="3"/>
  <c r="C66" i="3"/>
  <c r="E65" i="3"/>
  <c r="C65" i="3"/>
  <c r="E64" i="3"/>
  <c r="C64" i="3"/>
  <c r="E63" i="3"/>
  <c r="C63" i="3"/>
  <c r="E62" i="3"/>
  <c r="C62" i="3"/>
  <c r="E61" i="3"/>
  <c r="C61" i="3"/>
  <c r="E60" i="3"/>
  <c r="C60" i="3"/>
  <c r="E59" i="3"/>
  <c r="C59" i="3"/>
  <c r="E58" i="3"/>
  <c r="C58" i="3"/>
  <c r="E57" i="3"/>
  <c r="C57" i="3"/>
  <c r="E56" i="3"/>
  <c r="C56" i="3"/>
  <c r="E55" i="3"/>
  <c r="C55" i="3"/>
  <c r="E54" i="3"/>
  <c r="C54" i="3"/>
  <c r="E53" i="3"/>
  <c r="C53" i="3"/>
  <c r="E52" i="3"/>
  <c r="C52" i="3"/>
  <c r="E51" i="3"/>
  <c r="C51" i="3"/>
  <c r="E50" i="3"/>
  <c r="C50" i="3"/>
  <c r="E49" i="3"/>
  <c r="C49" i="3"/>
  <c r="E48" i="3"/>
  <c r="C48" i="3"/>
  <c r="E47" i="3"/>
  <c r="C47" i="3"/>
  <c r="E46" i="3"/>
  <c r="C46" i="3"/>
  <c r="E45" i="3"/>
  <c r="C45" i="3"/>
  <c r="E44" i="3"/>
  <c r="C44" i="3"/>
  <c r="E43" i="3"/>
  <c r="C43" i="3"/>
  <c r="E42" i="3"/>
  <c r="C42" i="3"/>
  <c r="E41" i="3"/>
  <c r="C41" i="3"/>
  <c r="E40" i="3"/>
  <c r="C40" i="3"/>
  <c r="E39" i="3"/>
  <c r="C39" i="3"/>
  <c r="E38" i="3"/>
  <c r="C38" i="3"/>
  <c r="E37" i="3"/>
  <c r="C37" i="3"/>
  <c r="E36" i="3"/>
  <c r="C36" i="3"/>
  <c r="E35" i="3"/>
  <c r="C35" i="3"/>
  <c r="E34" i="3"/>
  <c r="C34" i="3"/>
  <c r="E33" i="3"/>
  <c r="C33" i="3"/>
  <c r="E32" i="3"/>
  <c r="C32" i="3"/>
  <c r="E31" i="3"/>
  <c r="C31" i="3"/>
  <c r="E30" i="3"/>
  <c r="C30" i="3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E61" i="2"/>
  <c r="C61" i="2"/>
  <c r="E60" i="2"/>
  <c r="C60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B23" i="5" l="1"/>
  <c r="B6" i="5"/>
  <c r="G6" i="5"/>
  <c r="B16" i="5"/>
  <c r="G16" i="5"/>
  <c r="G18" i="5" l="1"/>
  <c r="G17" i="5"/>
  <c r="G19" i="5" s="1"/>
  <c r="B18" i="5"/>
  <c r="B17" i="5"/>
  <c r="B19" i="5" s="1"/>
  <c r="G8" i="5"/>
  <c r="G7" i="5"/>
  <c r="G9" i="5" s="1"/>
  <c r="B8" i="5"/>
  <c r="B7" i="5"/>
  <c r="B9" i="5" s="1"/>
  <c r="B26" i="5"/>
  <c r="B28" i="5" l="1"/>
  <c r="B27" i="5"/>
  <c r="B29" i="5" s="1"/>
</calcChain>
</file>

<file path=xl/sharedStrings.xml><?xml version="1.0" encoding="utf-8"?>
<sst xmlns="http://schemas.openxmlformats.org/spreadsheetml/2006/main" count="658" uniqueCount="319">
  <si>
    <t>people6</t>
  </si>
  <si>
    <t>people10</t>
  </si>
  <si>
    <t>half true</t>
  </si>
  <si>
    <t>N</t>
  </si>
  <si>
    <t>Po</t>
  </si>
  <si>
    <t>Pe</t>
  </si>
  <si>
    <t>Kappa</t>
  </si>
  <si>
    <t>people14</t>
  </si>
  <si>
    <t>people20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</si>
  <si>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</si>
  <si>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</si>
  <si>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</si>
  <si>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</si>
  <si>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</si>
  <si>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</si>
  <si>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</si>
  <si>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I couldn't find any information on a person named Saša Škrtić.</t>
  </si>
  <si>
    <t>What is Saša Škrtić's last name?</t>
  </si>
  <si>
    <t>Škrtić.</t>
  </si>
  <si>
    <t>What is Saša Škrtić's age?</t>
  </si>
  <si>
    <t>I don't have information on Saša Škrtić's age.</t>
  </si>
  <si>
    <t>What is Saša Škrtić's gender?</t>
  </si>
  <si>
    <t>Male.</t>
  </si>
  <si>
    <t>List all Saša Škrtić's friends.</t>
  </si>
  <si>
    <t>I couldn't find any information about Saša Škrtić's friends. If you could</t>
  </si>
  <si>
    <t>How many friends does Saša Škrtić have?</t>
  </si>
  <si>
    <t>I don't have that information.</t>
  </si>
  <si>
    <t>What is Duje Ravlić's first name?</t>
  </si>
  <si>
    <t>Duje.</t>
  </si>
  <si>
    <t>What is Duje Ravlić's last name?</t>
  </si>
  <si>
    <t>Ravlić.</t>
  </si>
  <si>
    <t>What is Duje Ravlić's age?</t>
  </si>
  <si>
    <t>I don't have real-time information, but as of my cut-off knowledge in 2023,</t>
  </si>
  <si>
    <t>What is Duje Ravlić's gender?</t>
  </si>
  <si>
    <t>List all Duje Ravlić's friends.</t>
  </si>
  <si>
    <t>I couldn't find any information on a person named Duje Ravlić. If you provide more</t>
  </si>
  <si>
    <t>How many friends does Duje Ravlić have?</t>
  </si>
  <si>
    <t>What is Eduard Tutić's first name?</t>
  </si>
  <si>
    <t>I couldn't find information on a person named Eduard Tutić.</t>
  </si>
  <si>
    <t>What is Eduard Tutić's last name?</t>
  </si>
  <si>
    <t>Tutić.</t>
  </si>
  <si>
    <t>What is Eduard Tutić's age?</t>
  </si>
  <si>
    <t>I don't have real-time information, but as of my cut-off knowledge date (December 202</t>
  </si>
  <si>
    <t>What is Eduard Tutić's gender?</t>
  </si>
  <si>
    <t>List all Eduard Tutić's friends.</t>
  </si>
  <si>
    <t>I couldn't find any information about Eduard Tutić's friends.</t>
  </si>
  <si>
    <t>How many friends does Eduard Tutić have?</t>
  </si>
  <si>
    <t>What is Jagoda Draženović's first name?</t>
  </si>
  <si>
    <t>Jagoda's first name is Draženović.</t>
  </si>
  <si>
    <t>What is Jagoda Draženović's last name?</t>
  </si>
  <si>
    <t>Draženović.</t>
  </si>
  <si>
    <t>What is Jagoda Draženović's age?</t>
  </si>
  <si>
    <t>I don't have the most current information on Jagoda Draženović's age.</t>
  </si>
  <si>
    <t>What is Jagoda Draženović's gender?</t>
  </si>
  <si>
    <t>FEMALE.</t>
  </si>
  <si>
    <t>List all Jagoda Draženović's friends.</t>
  </si>
  <si>
    <t>I couldn't find any information about a person named Jagoda Draženović.</t>
  </si>
  <si>
    <t>How many friends does Jagoda Draženović have?</t>
  </si>
  <si>
    <t>I couldn't find any information on Jagoda Draženović's friends.</t>
  </si>
  <si>
    <t>What is Monika Rimac's first name?</t>
  </si>
  <si>
    <t>I don't have information on a person named Monika Rimac.</t>
  </si>
  <si>
    <t>What is Monika Rimac's last name?</t>
  </si>
  <si>
    <t>Rimac.</t>
  </si>
  <si>
    <t>What is Monika Rimac's age?</t>
  </si>
  <si>
    <t>I don't have Monika Rimac's current age.</t>
  </si>
  <si>
    <t>What is Monika Rimac's gender?</t>
  </si>
  <si>
    <t>List all Monika Rimac's friends.</t>
  </si>
  <si>
    <t>I couldn't find any information about a person named Monika Rimac. However, I found information</t>
  </si>
  <si>
    <t>How many friends does Monika Rimac have?</t>
  </si>
  <si>
    <t>I couldn't find any information about Monika Rimac's friends.</t>
  </si>
  <si>
    <t>What is Mia Popić's first name?</t>
  </si>
  <si>
    <t>I couldn't find any information about Mia Popić.</t>
  </si>
  <si>
    <t>What is Mia Popić's last name?</t>
  </si>
  <si>
    <t>Popić.</t>
  </si>
  <si>
    <t>What is Mia Popić's age?</t>
  </si>
  <si>
    <t>I couldn't find the information on Mia Popić's age.</t>
  </si>
  <si>
    <t>What is Mia Popić's gender?</t>
  </si>
  <si>
    <t>List all Mia Popić's friends.</t>
  </si>
  <si>
    <t>I couldn't find any information on Mia Popić's friends.</t>
  </si>
  <si>
    <t>How many friends does Mia Popić have?</t>
  </si>
  <si>
    <t>I couldn't find any information about Mia Popić's friends.</t>
  </si>
  <si>
    <t>I don't have information on a person named Saša Škrtić.</t>
  </si>
  <si>
    <t>I don't have the current information on Saša Škrtić's age.</t>
  </si>
  <si>
    <t>I couldn't find any information on Saša Škrtić's friends.</t>
  </si>
  <si>
    <t>I don't have information on Saša Škrtić's friends.</t>
  </si>
  <si>
    <t>I don't have the current information on Duje Ravlić's age.</t>
  </si>
  <si>
    <t>I don't have information about Duje Ravlić's friends.</t>
  </si>
  <si>
    <t>I don't have information on an individual named Eduard Tutić.</t>
  </si>
  <si>
    <t>I don't have the current information on Eduard Tutić's age.</t>
  </si>
  <si>
    <t>I couldn't find any information on Eduard Tutić's friends. If you could provide more</t>
  </si>
  <si>
    <t>What is Zoran Goreta's first name?</t>
  </si>
  <si>
    <t>I couldn't find any information on a person named Zoran Goreta.</t>
  </si>
  <si>
    <t>What is Zoran Goreta's last name?</t>
  </si>
  <si>
    <t>What is Zoran Goreta's age?</t>
  </si>
  <si>
    <t>What is Zoran Goreta's gender?</t>
  </si>
  <si>
    <t>Male</t>
  </si>
  <si>
    <t>List all Zoran Goreta's friends.</t>
  </si>
  <si>
    <t>I couldn't find any information on a person named Zoran Goreta, including their friends. If</t>
  </si>
  <si>
    <t>How many friends does Zoran Goreta have?</t>
  </si>
  <si>
    <t>I couldn't find any information about Zoran Goreta's friends.</t>
  </si>
  <si>
    <t>What is Ivo Čelina's first name?</t>
  </si>
  <si>
    <t>I don't have information on Ivo Čelina's first name.</t>
  </si>
  <si>
    <t>What is Ivo Čelina's last name?</t>
  </si>
  <si>
    <t>Čelina.</t>
  </si>
  <si>
    <t>What is Ivo Čelina's age?</t>
  </si>
  <si>
    <t>I don't have information on Ivo Čelina's current age.</t>
  </si>
  <si>
    <t>What is Ivo Čelina's gender?</t>
  </si>
  <si>
    <t>List all Ivo Čelina's friends.</t>
  </si>
  <si>
    <t>I couldn't find any information about Ivo Čelina's friends.</t>
  </si>
  <si>
    <t>How many friends does Ivo Čelina have?</t>
  </si>
  <si>
    <t>I don't have information on Ivo Čelina's friends.</t>
  </si>
  <si>
    <t>I couldn't find any information on a person named Jagoda Draženović.</t>
  </si>
  <si>
    <t>I don't have the most recent information on Jagoda Draženović's age.</t>
  </si>
  <si>
    <t>I don't have information about Jagoda Draženović's friends.</t>
  </si>
  <si>
    <t>I couldn't find any information on Jagoda Draženović's friend count.</t>
  </si>
  <si>
    <t>I don't have information on Monika's first name.</t>
  </si>
  <si>
    <t>I don't have the current information on Monika Rimac's age.</t>
  </si>
  <si>
    <t>I couldn't find any publicly available information about Monika Rimac's friends.</t>
  </si>
  <si>
    <t>I don't have information about Monika Rimac's friends.</t>
  </si>
  <si>
    <t>I couldn't find any information on a person named Mia Popić.</t>
  </si>
  <si>
    <t>I don't have information on Mia Popić's age.</t>
  </si>
  <si>
    <t>I don't have any information about Mia Popić's friends. Can you provide more context or details</t>
  </si>
  <si>
    <t>What is Nada Sudar's first name?</t>
  </si>
  <si>
    <t>Nada Sudar's first name is Nada.</t>
  </si>
  <si>
    <t>What is Nada Sudar's last name?</t>
  </si>
  <si>
    <t>Sudar's last name is Nada.</t>
  </si>
  <si>
    <t>What is Nada Sudar's age?</t>
  </si>
  <si>
    <t>I couldn't find any information on Nada Sudar's age.</t>
  </si>
  <si>
    <t>What is Nada Sudar's gender?</t>
  </si>
  <si>
    <t>Female.</t>
  </si>
  <si>
    <t>List all Nada Sudar's friends.</t>
  </si>
  <si>
    <t>I couldn't find any information about Nada Sudar's friends. Can you provide more context or</t>
  </si>
  <si>
    <t>How many friends does Nada Sudar have?</t>
  </si>
  <si>
    <t>I couldn't find any information on a person named Nada Sudar.</t>
  </si>
  <si>
    <t>What is Mirjam Devčić's first name?</t>
  </si>
  <si>
    <t>I couldn't find any information on a person named Mirjam Devčić.</t>
  </si>
  <si>
    <t>What is Mirjam Devčić's last name?</t>
  </si>
  <si>
    <t>Devčić.</t>
  </si>
  <si>
    <t>What is Mirjam Devčić's age?</t>
  </si>
  <si>
    <t>I don't have information on Mirjam Devčić's age.</t>
  </si>
  <si>
    <t>What is Mirjam Devčić's gender?</t>
  </si>
  <si>
    <t>List all Mirjam Devčić's friends.</t>
  </si>
  <si>
    <t>I don't have information about Mirjam Devčić's friends.</t>
  </si>
  <si>
    <t>How many friends does Mirjam Devčić have?</t>
  </si>
  <si>
    <t>I couldn't find any information about Mirjam Devčić's friends.</t>
  </si>
  <si>
    <t>I don't have information on Saša Škrtić.</t>
  </si>
  <si>
    <t>I don't have the most current information on Saša Škrtić's age.</t>
  </si>
  <si>
    <t>I don't have the most current information on Duje Ravlić's age.</t>
  </si>
  <si>
    <t>I cannot provide a list of Duje Ravlić's friends as this information is not publicly available</t>
  </si>
  <si>
    <t>I couldn't find any information on a person named Eduard Tutić.</t>
  </si>
  <si>
    <t>I don't have real-time information on Eduard Tutić's age.</t>
  </si>
  <si>
    <t>MALE.</t>
  </si>
  <si>
    <t>I couldn't find any information on Eduard Tutić's friends. Can you provide more context</t>
  </si>
  <si>
    <t>I don't have information on Eduard Tutić's friends.</t>
  </si>
  <si>
    <t>I couldn't find any information on Zoran Goreta.</t>
  </si>
  <si>
    <t>I couldn't find any information about a person named Zoran Goreta.</t>
  </si>
  <si>
    <t>I couldn't find any information on Zoran Goreta's friends.</t>
  </si>
  <si>
    <t>I don't have information on Ivo Čelina.</t>
  </si>
  <si>
    <t>I couldn't find any information on Ivo Čelina's age.</t>
  </si>
  <si>
    <t>What is Gordan Lucić's first name?</t>
  </si>
  <si>
    <t>I couldn't find any information on a person named Gordan Lucić.</t>
  </si>
  <si>
    <t>What is Gordan Lucić's last name?</t>
  </si>
  <si>
    <t>Lucić.</t>
  </si>
  <si>
    <t>What is Gordan Lucić's age?</t>
  </si>
  <si>
    <t>I don't have the most recent information on Gordon Lucia's age.</t>
  </si>
  <si>
    <t>What is Gordan Lucić's gender?</t>
  </si>
  <si>
    <t>List all Gordan Lucić's friends.</t>
  </si>
  <si>
    <t>I couldn't find any information on a person named Gordan Lucić. If you could provide more</t>
  </si>
  <si>
    <t>How many friends does Gordan Lucić have?</t>
  </si>
  <si>
    <t>I couldn't find any information about a person named Gordon Lucić.</t>
  </si>
  <si>
    <t>What is Ljubomir Jurišić's first name?</t>
  </si>
  <si>
    <t>I don't have information on Ljubomir Jurišić.</t>
  </si>
  <si>
    <t>What is Ljubomir Jurišić's last name?</t>
  </si>
  <si>
    <t>Jurišić.</t>
  </si>
  <si>
    <t>What is Ljubomir Jurišić's age?</t>
  </si>
  <si>
    <t>I don't have the current information on Ljubomir Jurišić's age.</t>
  </si>
  <si>
    <t>What is Ljubomir Jurišić's gender?</t>
  </si>
  <si>
    <t>List all Ljubomir Jurišić's friends.</t>
  </si>
  <si>
    <t>I don't have information about Ljubomir Jurišić's friends.</t>
  </si>
  <si>
    <t>How many friends does Ljubomir Jurišić have?</t>
  </si>
  <si>
    <t>I couldn't find any information about Ljubomir Jurišić's friends.</t>
  </si>
  <si>
    <t>I don't have information on Jagoda Draženović's current age.</t>
  </si>
  <si>
    <t>I couldn't find any information about Jagoda Draženović's friends.</t>
  </si>
  <si>
    <t>I couldn't find any information on a person named Monika Rimac.</t>
  </si>
  <si>
    <t>I couldn't find any information about a person named Monika Rimac, so I can't provide</t>
  </si>
  <si>
    <t>I don't have information on a person named Mia Popić.</t>
  </si>
  <si>
    <t>I couldn't find Mia Popić's age.</t>
  </si>
  <si>
    <t>I don't have information about Mia Popić's friends. The list you provided earlier includes the names</t>
  </si>
  <si>
    <t>I couldn't find any information about a person named Nada Sudar.</t>
  </si>
  <si>
    <t>Sudar's last name is not explicitly mentioned, but Nada Sudar is an American musician</t>
  </si>
  <si>
    <t>I don't have information on Nada Sudar's friends. The list provided earlier appears to be</t>
  </si>
  <si>
    <t>I couldn't find any information on Mirjam Devčić.</t>
  </si>
  <si>
    <t>I cannot verify Mirjam Devčić's friends.</t>
  </si>
  <si>
    <t>I couldn't find any information on Mirjam Devčić's friends.</t>
  </si>
  <si>
    <t>What is Lea Grubić's first name?</t>
  </si>
  <si>
    <t>I couldn't find information on a person named Lea Grubić.</t>
  </si>
  <si>
    <t>What is Lea Grubić's last name?</t>
  </si>
  <si>
    <t>Grubić.</t>
  </si>
  <si>
    <t>What is Lea Grubić's age?</t>
  </si>
  <si>
    <t>I don't have information on Lea Grubić's current age.</t>
  </si>
  <si>
    <t>What is Lea Grubić's gender?</t>
  </si>
  <si>
    <t>List all Lea Grubić's friends.</t>
  </si>
  <si>
    <t>I couldn't find any information about Lea Grubić's friends. If you could provide more</t>
  </si>
  <si>
    <t>How many friends does Lea Grubić have?</t>
  </si>
  <si>
    <t>I couldn't find any information on a person named Lea Grubić.</t>
  </si>
  <si>
    <t>What is Antonija Salinović's first name?</t>
  </si>
  <si>
    <t>I don't have information on Antonija Salinović's first name.</t>
  </si>
  <si>
    <t>What is Antonija Salinović's last name?</t>
  </si>
  <si>
    <t>Salinović.</t>
  </si>
  <si>
    <t>What is Antonija Salinović's age?</t>
  </si>
  <si>
    <t>I don't have information on Antonija Salinović's current age.</t>
  </si>
  <si>
    <t>What is Antonija Salinović's gender?</t>
  </si>
  <si>
    <t>List all Antonija Salinović's friends.</t>
  </si>
  <si>
    <t>I couldn't find any information about Antonija Salinović's friends. Can you provide more</t>
  </si>
  <si>
    <t>How many friends does Antonija Salinović have?</t>
  </si>
  <si>
    <t>I couldn't find any information on Antonija Salinović's friends.</t>
  </si>
  <si>
    <t>I couldn't find any information about Saša Škrtić's friends. Could you provide</t>
  </si>
  <si>
    <t>I don't have information about Saša Škrtić's friends.</t>
  </si>
  <si>
    <t>I don't have information on Duje Ravlić's current age.</t>
  </si>
  <si>
    <t>I couldn't find any information about a person named Duje Ravlić or their friends. Could</t>
  </si>
  <si>
    <t>I couldn't find any information on the number of friends Duje Ravlić has.</t>
  </si>
  <si>
    <t>I don't have information on a person named Eduard Tutić.</t>
  </si>
  <si>
    <t>I don't have information on Eduard Tutić's current age.</t>
  </si>
  <si>
    <t>I couldn't find any information about Eduard Tutić's friends. The list you provided earlier</t>
  </si>
  <si>
    <t>Goreta.</t>
  </si>
  <si>
    <t>I couldn't find any information on Zoran Goreta's age.</t>
  </si>
  <si>
    <t>I couldn't find any information about Zoran Goreta's friends. Could you provide more context or</t>
  </si>
  <si>
    <t>I don't have information about Ivo Čelina's friends.</t>
  </si>
  <si>
    <t>Gordan Lucić's last name is Lucić.</t>
  </si>
  <si>
    <t>I don't have information on Gordon Lucic's current age.</t>
  </si>
  <si>
    <t>I couldn't find any information about a person named Gordan Lucić.</t>
  </si>
  <si>
    <t>I couldn't find any information about a person named Gordon Lucić, so I couldn't determine how</t>
  </si>
  <si>
    <t>Ljubomir.</t>
  </si>
  <si>
    <t>What is Vladimir Svalina's first name?</t>
  </si>
  <si>
    <t>I couldn't find any information on a person named Vladimir Svalina.</t>
  </si>
  <si>
    <t>What is Vladimir Svalina's last name?</t>
  </si>
  <si>
    <t>Svalina.</t>
  </si>
  <si>
    <t>What is Vladimir Svalina's age?</t>
  </si>
  <si>
    <t>I couldn't find any information on Vladimir Svalina's age.</t>
  </si>
  <si>
    <t>What is Vladimir Svalina's gender?</t>
  </si>
  <si>
    <t>List all Vladimir Svalina's friends.</t>
  </si>
  <si>
    <t>I couldn't find any information on Vladimir Svalina's friends.</t>
  </si>
  <si>
    <t>How many friends does Vladimir Svalina have?</t>
  </si>
  <si>
    <t>I couldn't find any information about Vladimir Svalina.</t>
  </si>
  <si>
    <t>What is Tomislav Šoštarić's first name?</t>
  </si>
  <si>
    <t>Tomislav.</t>
  </si>
  <si>
    <t>What is Tomislav Šoštarić's last name?</t>
  </si>
  <si>
    <t>Šoštarić.</t>
  </si>
  <si>
    <t>What is Tomislav Šoštarić's age?</t>
  </si>
  <si>
    <t>I don't have the current information on Tomislav Šoštarić's age.</t>
  </si>
  <si>
    <t>What is Tomislav Šoštarić's gender?</t>
  </si>
  <si>
    <t>List all Tomislav Šoštarić's friends.</t>
  </si>
  <si>
    <t>I cannot provide a list of Tomislav Šoštarić's friends as this information is not</t>
  </si>
  <si>
    <t>How many friends does Tomislav Šoštarić have?</t>
  </si>
  <si>
    <t>I couldn't find any information about Tomislav Šoštarić's friends.</t>
  </si>
  <si>
    <t>What is Nikola Prelošnjak's first name?</t>
  </si>
  <si>
    <t>I couldn't find information about Nikola Prelošnjak.</t>
  </si>
  <si>
    <t>What is Nikola Prelošnjak's last name?</t>
  </si>
  <si>
    <t>Prelošnjak.</t>
  </si>
  <si>
    <t>What is Nikola Prelošnjak's age?</t>
  </si>
  <si>
    <t>I couldn't find any information on Nikola Prelošnjak's age.</t>
  </si>
  <si>
    <t>What is Nikola Prelošnjak's gender?</t>
  </si>
  <si>
    <t>List all Nikola Prelošnjak's friends.</t>
  </si>
  <si>
    <t>I couldn't find any information on Nikola Prelošnjak's friends. Can you provide more</t>
  </si>
  <si>
    <t>How many friends does Nikola Prelošnjak have?</t>
  </si>
  <si>
    <t>I couldn't find any information about Nikola Prelošnjak's friends.</t>
  </si>
  <si>
    <t>I don't have Jagoda Draženović's current age.</t>
  </si>
  <si>
    <t>I don't have information on Jagoda Draženović's friends.</t>
  </si>
  <si>
    <t>I couldn't find any information about Jagoda Draženović's number of friends.</t>
  </si>
  <si>
    <t>I couldn't find any information about a person named Monika Rimac.</t>
  </si>
  <si>
    <t>I couldn't find the current age of Monika Rimac.</t>
  </si>
  <si>
    <t>I couldn't find any information on Monika Rimac's friends. The list you provided earlier appears</t>
  </si>
  <si>
    <t>I don't have information on Mia Popić's first name.</t>
  </si>
  <si>
    <t>I don't have information on Mia Popić's friends. The list you provided earlier includes the names</t>
  </si>
  <si>
    <t>Sudar is a first name, and Nada Sudar is a person. However, I</t>
  </si>
  <si>
    <t>Feels like it was going to go in the opposite direction</t>
  </si>
  <si>
    <t>I don't have information on Nada Sudar's age.</t>
  </si>
  <si>
    <t>I couldn't find any information about a person named Nada Sudar. However, I can provide</t>
  </si>
  <si>
    <t>I couldn't find any information on Nada Sudar.</t>
  </si>
  <si>
    <t>I couldn't find any information about Mirjam Devčić's friends. Could you provide more context</t>
  </si>
  <si>
    <t>I couldn't find any information on Mirjam Devčić's number of friends.</t>
  </si>
  <si>
    <t>I don't have Lea Grubić's current age.</t>
  </si>
  <si>
    <t>I couldn't find any information about Lea Grubić's friends. The list you provided earlier</t>
  </si>
  <si>
    <t>I couldn't find any information on Lea Grubić's friends.</t>
  </si>
  <si>
    <t>I couldn't find any information on an individual named Antonija Salinović.</t>
  </si>
  <si>
    <t>I don't have information on Antonija Salinović's age.</t>
  </si>
  <si>
    <t>I don't have information about Antonija Salinović's friends. Can you provide more context</t>
  </si>
  <si>
    <t>What is Cvijeta Svetličić's first name?</t>
  </si>
  <si>
    <t>I couldn't find information on Cvijeta Svetličić's first name.</t>
  </si>
  <si>
    <t>What is Cvijeta Svetličić's last name?</t>
  </si>
  <si>
    <t>Svetličić.</t>
  </si>
  <si>
    <t>What is Cvijeta Svetličić's age?</t>
  </si>
  <si>
    <t>I don't have the current information on Cvijeta Svetličić's age.</t>
  </si>
  <si>
    <t>What is Cvijeta Svetličić's gender?</t>
  </si>
  <si>
    <t>List all Cvijeta Svetličić's friends.</t>
  </si>
  <si>
    <t>I couldn't find any information about Cvijeta Svetličić's friends. Could you provide</t>
  </si>
  <si>
    <t>How many friends does Cvijeta Svetličić have?</t>
  </si>
  <si>
    <t>I couldn't find any information about Cvijeta Svetličić's friends.</t>
  </si>
  <si>
    <t>What is Irena Jurilj's first name?</t>
  </si>
  <si>
    <t>I don't have information on Irena Jurilj's first name.</t>
  </si>
  <si>
    <t>What is Irena Jurilj's last name?</t>
  </si>
  <si>
    <t>Jurilj.</t>
  </si>
  <si>
    <t>What is Irena Jurilj's age?</t>
  </si>
  <si>
    <t>I don't have information on Irena Jurilj's age.</t>
  </si>
  <si>
    <t>What is Irena Jurilj's gender?</t>
  </si>
  <si>
    <t>List all Irena Jurilj's friends.</t>
  </si>
  <si>
    <t>I couldn't find any information on Irena Jurilj's friends. Can you provide more context</t>
  </si>
  <si>
    <t>How many friends does Irena Jurilj have?</t>
  </si>
  <si>
    <t>What is Stela Mišković's first name?</t>
  </si>
  <si>
    <t>I couldn't find any information about a person named Stela Mišković.</t>
  </si>
  <si>
    <t>What is Stela Mišković's last name?</t>
  </si>
  <si>
    <t>Mišković.</t>
  </si>
  <si>
    <t>What is Stela Mišković's age?</t>
  </si>
  <si>
    <t>I don't have the information on Stela Mišković's age.</t>
  </si>
  <si>
    <t>What is Stela Mišković's gender?</t>
  </si>
  <si>
    <t>List all Stela Mišković's friends.</t>
  </si>
  <si>
    <t>I couldn't find any information on a person named Stela Mišković. If you could</t>
  </si>
  <si>
    <t>How many friends does Stela Mišković have?</t>
  </si>
  <si>
    <t>I don't have information on Stela Mišković's friends.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</si>
</sst>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5149A-76B8-452C-AE38-6D3A428C0684}">
  <dimension ref="A1:I29"/>
  <sheetViews>
    <sheetView workbookViewId="0"/>
  </sheetViews>
  <sheetFormatPr defaultRowHeight="15"/>
  <sheetData>
    <row r="1" spans="1:9">
      <c r="A1" t="s">
        <v>0</v>
      </c>
      <c r="F1" t="s">
        <v>1</v>
      </c>
    </row>
    <row r="2" spans="1:9">
      <c r="B2" t="b">
        <v>1</v>
      </c>
      <c r="C2" t="b">
        <v>0</v>
      </c>
      <c r="D2" t="s">
        <v>2</v>
      </c>
      <c r="G2" t="b">
        <v>1</v>
      </c>
      <c r="H2" t="b">
        <v>0</v>
      </c>
      <c r="I2" t="s">
        <v>2</v>
      </c>
    </row>
    <row r="3" spans="1:9">
      <c r="A3" t="b">
        <v>1</v>
      </c>
      <c r="B3">
        <f ca="1">COUNTIFS(INDIRECT(A1 &amp; "!$C$2:$C$86"),TRUE, INDIRECT(A1 &amp; "!$E$2:$E$86"),TRUE)</f>
        <v>13</v>
      </c>
      <c r="C3">
        <f ca="1">COUNTIFS(INDIRECT(A1 &amp; "!$C$2:$C$86"),TRUE, INDIRECT(A1 &amp; "!$E$2:$E$86"),FALSE)</f>
        <v>0</v>
      </c>
      <c r="D3">
        <f ca="1">COUNTIFS(INDIRECT(A1 &amp; "!$C$2:$C$86"),TRUE, INDIRECT(A1 &amp; "!$E$2:$E$86"),"half true")</f>
        <v>0</v>
      </c>
      <c r="F3" t="b">
        <v>1</v>
      </c>
      <c r="G3">
        <f ca="1">COUNTIFS(INDIRECT(F1 &amp; "!$C$2:$C$86"),TRUE, INDIRECT(F1 &amp; "!$E$2:$E$86"),TRUE)</f>
        <v>20</v>
      </c>
      <c r="H3">
        <f ca="1">COUNTIFS(INDIRECT(F1 &amp; "!$C$2:$C$86"),TRUE, INDIRECT(F1 &amp; "!$E$2:$E$86"),FALSE)</f>
        <v>0</v>
      </c>
      <c r="I3">
        <f ca="1">COUNTIFS(INDIRECT(F1 &amp; "!$C$2:$C$86"),TRUE, INDIRECT(F1 &amp; "!$E$2:$E$86"),"half true")</f>
        <v>0</v>
      </c>
    </row>
    <row r="4" spans="1:9">
      <c r="A4" t="b">
        <v>0</v>
      </c>
      <c r="B4">
        <f ca="1">COUNTIFS(INDIRECT(A1 &amp; "!$C$2:$C$86"),FALSE, INDIRECT(A1 &amp; "!$E$2:$E$86"),TRUE)</f>
        <v>0</v>
      </c>
      <c r="C4">
        <f ca="1">COUNTIFS(INDIRECT(A1 &amp; "!$C$2:$C$86"),FALSE, INDIRECT(A1 &amp; "!$E$2:$E$86"),FALSE)</f>
        <v>23</v>
      </c>
      <c r="D4">
        <f ca="1">COUNTIFS(INDIRECT(A1 &amp; "!$C$2:$C$86"),FALSE, INDIRECT(A1 &amp; "!$E$2:$E$86"),"half true")</f>
        <v>0</v>
      </c>
      <c r="F4" t="b">
        <v>0</v>
      </c>
      <c r="G4">
        <f ca="1">COUNTIFS(INDIRECT(F1 &amp; "!$C$2:$C$86"),FALSE, INDIRECT(F1 &amp; "!$E$2:$E$86"),TRUE)</f>
        <v>0</v>
      </c>
      <c r="H4">
        <f ca="1">COUNTIFS(INDIRECT(F1 &amp; "!$C$2:$C$86"),FALSE, INDIRECT(F1 &amp; "!$E$2:$E$86"),FALSE)</f>
        <v>40</v>
      </c>
      <c r="I4">
        <f ca="1">COUNTIFS(INDIRECT(F1 &amp; "!$C$2:$C$86"),FALSE, INDIRECT(F1 &amp; "!$E$2:$E$86"),"half true")</f>
        <v>0</v>
      </c>
    </row>
    <row r="5" spans="1:9">
      <c r="A5" t="s">
        <v>2</v>
      </c>
      <c r="B5">
        <f ca="1">COUNTIFS(INDIRECT(A1 &amp; "!$C$2:$C$86"),"half true", INDIRECT(A1 &amp; "!$E$2:$E$86"),TRUE)</f>
        <v>0</v>
      </c>
      <c r="C5">
        <f ca="1">COUNTIFS(INDIRECT(A1 &amp; "!$C$2:$C$86"),"half true", INDIRECT(A1 &amp; "!$E$2:$E$86"),FALSE)</f>
        <v>0</v>
      </c>
      <c r="D5">
        <f ca="1">COUNTIFS(INDIRECT(A1 &amp; "!$C$2:$C$86"),"half true", INDIRECT(A1 &amp; "!$E$2:$E$86"),"half true")</f>
        <v>0</v>
      </c>
      <c r="F5" t="s">
        <v>2</v>
      </c>
      <c r="G5">
        <f ca="1">COUNTIFS(INDIRECT(F1 &amp; "!$C$2:$C$86"),"half true", INDIRECT(F1 &amp; "!$E$2:$E$86"),TRUE)</f>
        <v>0</v>
      </c>
      <c r="H5">
        <f ca="1">COUNTIFS(INDIRECT(F1 &amp; "!$C$2:$C$86"),"half true", INDIRECT(F1 &amp; "!$E$2:$E$86"),FALSE)</f>
        <v>0</v>
      </c>
      <c r="I5">
        <f ca="1">COUNTIFS(INDIRECT(F1 &amp; "!$C$2:$C$86"),"half true", INDIRECT(F1 &amp; "!$E$2:$E$86"),"half true")</f>
        <v>0</v>
      </c>
    </row>
    <row r="6" spans="1:9">
      <c r="A6" t="s">
        <v>3</v>
      </c>
      <c r="B6">
        <f ca="1">SUM(B3:D5)</f>
        <v>36</v>
      </c>
      <c r="F6" t="s">
        <v>3</v>
      </c>
      <c r="G6">
        <f ca="1">SUM(G3:I5)</f>
        <v>60</v>
      </c>
    </row>
    <row r="7" spans="1:9">
      <c r="A7" t="s">
        <v>4</v>
      </c>
      <c r="B7">
        <f ca="1">(B3+C4+D5)/B6</f>
        <v>1</v>
      </c>
      <c r="F7" t="s">
        <v>4</v>
      </c>
      <c r="G7">
        <f ca="1">(G3+H4+I5)/G6</f>
        <v>1</v>
      </c>
    </row>
    <row r="8" spans="1:9">
      <c r="A8" t="s">
        <v>5</v>
      </c>
      <c r="B8">
        <f ca="1">((SUM(B3:D3)*SUM(B3:B5))+(SUM(B4:D4)*SUM(C3:C5))+(SUM(B5:D5)*SUM(D3:D5)))/(B6^2)</f>
        <v>0.5385802469135802</v>
      </c>
      <c r="F8" t="s">
        <v>5</v>
      </c>
      <c r="G8">
        <f ca="1">((SUM(G3:I3)*SUM(G3:G5))+(SUM(G4:I4)*SUM(H3:H5))+(SUM(G5:I5)*SUM(I3:I5)))/(G6^2)</f>
        <v>0.55555555555555558</v>
      </c>
    </row>
    <row r="9" spans="1:9">
      <c r="A9" t="s">
        <v>6</v>
      </c>
      <c r="B9">
        <f ca="1">(B7-B8)/(1-B8)</f>
        <v>1</v>
      </c>
      <c r="F9" t="s">
        <v>6</v>
      </c>
      <c r="G9">
        <f ca="1">(G7-G8)/(1-G8)</f>
        <v>1</v>
      </c>
    </row>
    <row r="11" spans="1:9">
      <c r="A11" t="s">
        <v>7</v>
      </c>
      <c r="F11" t="s">
        <v>8</v>
      </c>
    </row>
    <row r="12" spans="1:9">
      <c r="B12" t="b">
        <v>1</v>
      </c>
      <c r="C12" t="b">
        <v>0</v>
      </c>
      <c r="D12" t="s">
        <v>2</v>
      </c>
      <c r="G12" t="b">
        <v>1</v>
      </c>
      <c r="H12" t="b">
        <v>0</v>
      </c>
      <c r="I12" t="s">
        <v>2</v>
      </c>
    </row>
    <row r="13" spans="1:9">
      <c r="A13" t="b">
        <v>1</v>
      </c>
      <c r="B13">
        <f ca="1">COUNTIFS(INDIRECT(A11 &amp; "!$C$2:$C$86"),TRUE, INDIRECT(A11 &amp; "!$E$2:$E$86"),TRUE)</f>
        <v>27</v>
      </c>
      <c r="C13">
        <f ca="1">COUNTIFS(INDIRECT(A11 &amp; "!$C$2:$C$86"),TRUE, INDIRECT(A11 &amp; "!$E$2:$E$86"),FALSE)</f>
        <v>0</v>
      </c>
      <c r="D13">
        <f ca="1">COUNTIFS(INDIRECT(A11 &amp; "!$C$2:$C$86"),TRUE, INDIRECT(A11 &amp; "!$E$2:$E$86"),"half true")</f>
        <v>0</v>
      </c>
      <c r="F13" t="b">
        <v>1</v>
      </c>
      <c r="G13">
        <f ca="1">COUNTIFS(INDIRECT(F11 &amp; "!$C$2:$C$121"),TRUE, INDIRECT(F11 &amp; "!$E$2:$E$121"),TRUE)</f>
        <v>42</v>
      </c>
      <c r="H13">
        <f ca="1">COUNTIFS(INDIRECT(F11 &amp; "!$C$2:$C$121"),TRUE, INDIRECT(F11 &amp; "!$E$2:$E$121"),FALSE)</f>
        <v>0</v>
      </c>
      <c r="I13">
        <f ca="1">COUNTIFS(INDIRECT(F11 &amp; "!$C$2:$C$121"),TRUE, INDIRECT(F11 &amp; "!$E$2:$E$121"),"half true")</f>
        <v>0</v>
      </c>
    </row>
    <row r="14" spans="1:9">
      <c r="A14" t="b">
        <v>0</v>
      </c>
      <c r="B14">
        <f ca="1">COUNTIFS(INDIRECT(A11 &amp; "!$C$2:$C$86"),FALSE, INDIRECT(A11 &amp; "!$E$2:$E$86"),TRUE)</f>
        <v>0</v>
      </c>
      <c r="C14">
        <f ca="1">COUNTIFS(INDIRECT(A11 &amp; "!$C$2:$C$86"),FALSE, INDIRECT(A11 &amp; "!$E$2:$E$86"),FALSE)</f>
        <v>57</v>
      </c>
      <c r="D14">
        <f ca="1">COUNTIFS(INDIRECT(A11 &amp; "!$C$2:$C$86"),FALSE, INDIRECT(A11 &amp; "!$E$2:$E$86"),"half true")</f>
        <v>0</v>
      </c>
      <c r="F14" t="b">
        <v>0</v>
      </c>
      <c r="G14">
        <f ca="1">COUNTIFS(INDIRECT(F11 &amp; "!$C$2:$C$121"),FALSE, INDIRECT(F11 &amp; "!$E$2:$E$121"),TRUE)</f>
        <v>0</v>
      </c>
      <c r="H14">
        <f ca="1">COUNTIFS(INDIRECT(F11 &amp; "!$C$2:$C$121"),FALSE, INDIRECT(F11 &amp; "!$E$2:$E$121"),FALSE)</f>
        <v>77</v>
      </c>
      <c r="I14">
        <f ca="1">COUNTIFS(INDIRECT(F11 &amp; "!$C$2:$C$121"),FALSE, INDIRECT(F11 &amp; "!$E$2:$E$121"),"half true")</f>
        <v>0</v>
      </c>
    </row>
    <row r="15" spans="1:9">
      <c r="A15" t="s">
        <v>2</v>
      </c>
      <c r="B15">
        <f ca="1">COUNTIFS(INDIRECT(A11 &amp; "!$C$2:$C$86"),"half true", INDIRECT(A11 &amp; "!$E$2:$E$86"),TRUE)</f>
        <v>0</v>
      </c>
      <c r="C15">
        <f ca="1">COUNTIFS(INDIRECT(A11 &amp; "!$C$2:$C$86"),"half true", INDIRECT(A11 &amp; "!$E$2:$E$86"),FALSE)</f>
        <v>0</v>
      </c>
      <c r="D15">
        <f ca="1">COUNTIFS(INDIRECT(A11 &amp; "!$C$2:$C$86"),"half true", INDIRECT(A11 &amp; "!$E$2:$E$86"),"half true")</f>
        <v>0</v>
      </c>
      <c r="F15" t="s">
        <v>2</v>
      </c>
      <c r="G15">
        <f ca="1">COUNTIFS(INDIRECT(F11 &amp; "!$C$2:$C$121"),"half true", INDIRECT(F11 &amp; "!$E$2:$E$121"),TRUE)</f>
        <v>0</v>
      </c>
      <c r="H15">
        <f ca="1">COUNTIFS(INDIRECT(F11 &amp; "!$C$2:$C$121"),"half true", INDIRECT(F11 &amp; "!$E$2:$E$121"),FALSE)</f>
        <v>0</v>
      </c>
      <c r="I15">
        <f ca="1">COUNTIFS(INDIRECT(F11 &amp; "!$C$2:$C$121"),"half true", INDIRECT(F11 &amp; "!$E$2:$E$121"),"half true")</f>
        <v>1</v>
      </c>
    </row>
    <row r="16" spans="1:9">
      <c r="A16" t="s">
        <v>3</v>
      </c>
      <c r="B16">
        <f ca="1">SUM(B13:D15)</f>
        <v>84</v>
      </c>
      <c r="F16" t="s">
        <v>3</v>
      </c>
      <c r="G16">
        <f ca="1">SUM(G13:I15)</f>
        <v>120</v>
      </c>
    </row>
    <row r="17" spans="1:7">
      <c r="A17" t="s">
        <v>4</v>
      </c>
      <c r="B17">
        <f ca="1">(B13+C14+D15)/B16</f>
        <v>1</v>
      </c>
      <c r="F17" t="s">
        <v>4</v>
      </c>
      <c r="G17">
        <f ca="1">(G13+H14+I15)/G16</f>
        <v>1</v>
      </c>
    </row>
    <row r="18" spans="1:7">
      <c r="A18" t="s">
        <v>5</v>
      </c>
      <c r="B18">
        <f ca="1">((SUM(B13:D13)*SUM(B13:B15))+(SUM(B14:D14)*SUM(C13:C15))+(SUM(B15:D15)*SUM(D13:D15)))/(B16^2)</f>
        <v>0.56377551020408168</v>
      </c>
      <c r="F18" t="s">
        <v>5</v>
      </c>
      <c r="G18">
        <f ca="1">((SUM(G13:I13)*SUM(G13:G15))+(SUM(G14:I14)*SUM(H13:H15))+(SUM(G15:I15)*SUM(I13:I15)))/(G16^2)</f>
        <v>0.53430555555555559</v>
      </c>
    </row>
    <row r="19" spans="1:7">
      <c r="A19" t="s">
        <v>6</v>
      </c>
      <c r="B19">
        <f ca="1">(B17-B18)/(1-B18)</f>
        <v>1</v>
      </c>
      <c r="F19" t="s">
        <v>6</v>
      </c>
      <c r="G19">
        <f ca="1">(G17-G18)/(1-G18)</f>
        <v>1</v>
      </c>
    </row>
    <row r="21" spans="1:7">
      <c r="A21" t="s">
        <v>9</v>
      </c>
    </row>
    <row r="22" spans="1:7">
      <c r="B22" t="b">
        <v>1</v>
      </c>
      <c r="C22" t="b">
        <v>0</v>
      </c>
      <c r="D22" t="s">
        <v>2</v>
      </c>
    </row>
    <row r="23" spans="1:7">
      <c r="A23" t="b">
        <v>1</v>
      </c>
      <c r="B23">
        <f ca="1">B3+G3+B13+G13</f>
        <v>102</v>
      </c>
      <c r="C23">
        <f t="shared" ref="C23:D25" ca="1" si="0">C3+H3+C13+H13</f>
        <v>0</v>
      </c>
      <c r="D23">
        <f t="shared" ca="1" si="0"/>
        <v>0</v>
      </c>
    </row>
    <row r="24" spans="1:7">
      <c r="A24" t="b">
        <v>0</v>
      </c>
      <c r="B24">
        <f ca="1">B4+G4+B14+G14</f>
        <v>0</v>
      </c>
      <c r="C24">
        <f t="shared" ca="1" si="0"/>
        <v>197</v>
      </c>
      <c r="D24">
        <f t="shared" ca="1" si="0"/>
        <v>0</v>
      </c>
    </row>
    <row r="25" spans="1:7">
      <c r="A25" t="s">
        <v>2</v>
      </c>
      <c r="B25">
        <f ca="1">B5+G5+B15+G15</f>
        <v>0</v>
      </c>
      <c r="C25">
        <f t="shared" ca="1" si="0"/>
        <v>0</v>
      </c>
      <c r="D25">
        <f t="shared" ca="1" si="0"/>
        <v>1</v>
      </c>
    </row>
    <row r="26" spans="1:7">
      <c r="A26" t="s">
        <v>3</v>
      </c>
      <c r="B26">
        <f ca="1">SUM(B23:D25)</f>
        <v>300</v>
      </c>
    </row>
    <row r="27" spans="1:7">
      <c r="A27" t="s">
        <v>4</v>
      </c>
      <c r="B27">
        <f ca="1">(B23+C24+D25)/B26</f>
        <v>1</v>
      </c>
    </row>
    <row r="28" spans="1:7">
      <c r="A28" t="s">
        <v>5</v>
      </c>
      <c r="B28">
        <f ca="1">((SUM(B23:D23)*SUM(B23:B25))+(SUM(B24:D24)*SUM(C23:C25))+(SUM(B25:D25)*SUM(D23:D25)))/(B26^2)</f>
        <v>0.54682222222222221</v>
      </c>
    </row>
    <row r="29" spans="1:7">
      <c r="A29" t="s">
        <v>6</v>
      </c>
      <c r="B29">
        <f ca="1">(B27-B28)/(1-B28)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Normal="100" workbookViewId="0">
      <selection activeCell="E2" sqref="E2"/>
    </sheetView>
  </sheetViews>
  <sheetFormatPr defaultColWidth="8.5703125" defaultRowHeight="15"/>
  <cols>
    <col min="1" max="1" width="45.28515625" customWidth="1"/>
    <col min="2" max="2" width="86" customWidth="1"/>
    <col min="5" max="5" width="10.570312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16</v>
      </c>
      <c r="C2" t="b">
        <f>FALSE()</f>
        <v>0</v>
      </c>
      <c r="E2" t="b">
        <f>FALSE()</f>
        <v>0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FALSE()</f>
        <v>0</v>
      </c>
      <c r="E4" t="b">
        <f>FALSE()</f>
        <v>0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24</v>
      </c>
      <c r="C6" t="b">
        <f>FALSE()</f>
        <v>0</v>
      </c>
      <c r="E6" t="b">
        <f>FALSE()</f>
        <v>0</v>
      </c>
    </row>
    <row r="7" spans="1:5">
      <c r="A7" t="s">
        <v>25</v>
      </c>
      <c r="B7" t="s">
        <v>26</v>
      </c>
      <c r="C7" t="b">
        <f>FALSE()</f>
        <v>0</v>
      </c>
      <c r="E7" t="b">
        <f>FALSE()</f>
        <v>0</v>
      </c>
    </row>
    <row r="8" spans="1:5">
      <c r="A8" t="s">
        <v>27</v>
      </c>
      <c r="B8" t="s">
        <v>28</v>
      </c>
      <c r="C8" t="b">
        <f>TRUE()</f>
        <v>1</v>
      </c>
      <c r="E8" t="b">
        <f>TRUE()</f>
        <v>1</v>
      </c>
    </row>
    <row r="9" spans="1:5">
      <c r="A9" t="s">
        <v>29</v>
      </c>
      <c r="B9" t="s">
        <v>30</v>
      </c>
      <c r="C9" t="b">
        <f>TRUE()</f>
        <v>1</v>
      </c>
      <c r="E9" t="b">
        <f>TRUE()</f>
        <v>1</v>
      </c>
    </row>
    <row r="10" spans="1:5">
      <c r="A10" t="s">
        <v>31</v>
      </c>
      <c r="B10" t="s">
        <v>32</v>
      </c>
      <c r="C10" t="b">
        <f>FALSE()</f>
        <v>0</v>
      </c>
      <c r="E10" t="b">
        <f>FALSE()</f>
        <v>0</v>
      </c>
    </row>
    <row r="11" spans="1:5">
      <c r="A11" t="s">
        <v>33</v>
      </c>
      <c r="B11" t="s">
        <v>22</v>
      </c>
      <c r="C11" t="b">
        <f>TRUE()</f>
        <v>1</v>
      </c>
      <c r="E11" t="b">
        <f>TRUE()</f>
        <v>1</v>
      </c>
    </row>
    <row r="12" spans="1:5">
      <c r="A12" t="s">
        <v>34</v>
      </c>
      <c r="B12" t="s">
        <v>35</v>
      </c>
      <c r="C12" t="b">
        <f>FALSE()</f>
        <v>0</v>
      </c>
      <c r="E12" t="b">
        <f>FALSE()</f>
        <v>0</v>
      </c>
    </row>
    <row r="13" spans="1:5">
      <c r="A13" t="s">
        <v>36</v>
      </c>
      <c r="B13" t="s">
        <v>26</v>
      </c>
      <c r="C13" t="b">
        <f>FALSE()</f>
        <v>0</v>
      </c>
      <c r="E13" t="b">
        <f>FALSE()</f>
        <v>0</v>
      </c>
    </row>
    <row r="14" spans="1:5">
      <c r="A14" t="s">
        <v>37</v>
      </c>
      <c r="B14" t="s">
        <v>38</v>
      </c>
      <c r="C14" t="b">
        <f>FALSE()</f>
        <v>0</v>
      </c>
      <c r="E14" t="b">
        <f>FALSE()</f>
        <v>0</v>
      </c>
    </row>
    <row r="15" spans="1:5">
      <c r="A15" t="s">
        <v>39</v>
      </c>
      <c r="B15" t="s">
        <v>40</v>
      </c>
      <c r="C15" t="b">
        <f>TRUE()</f>
        <v>1</v>
      </c>
      <c r="E15" t="b">
        <f>TRUE()</f>
        <v>1</v>
      </c>
    </row>
    <row r="16" spans="1:5">
      <c r="A16" t="s">
        <v>41</v>
      </c>
      <c r="B16" t="s">
        <v>42</v>
      </c>
      <c r="C16" t="b">
        <f>FALSE()</f>
        <v>0</v>
      </c>
      <c r="E16" t="b">
        <f>FALSE()</f>
        <v>0</v>
      </c>
    </row>
    <row r="17" spans="1:5">
      <c r="A17" t="s">
        <v>43</v>
      </c>
      <c r="B17" t="s">
        <v>22</v>
      </c>
      <c r="C17" t="b">
        <f>TRUE()</f>
        <v>1</v>
      </c>
      <c r="E17" t="b">
        <f>TRUE()</f>
        <v>1</v>
      </c>
    </row>
    <row r="18" spans="1:5">
      <c r="A18" t="s">
        <v>44</v>
      </c>
      <c r="B18" t="s">
        <v>45</v>
      </c>
      <c r="C18" t="b">
        <f>FALSE()</f>
        <v>0</v>
      </c>
      <c r="E18" t="b">
        <f>FALSE()</f>
        <v>0</v>
      </c>
    </row>
    <row r="19" spans="1:5">
      <c r="A19" t="s">
        <v>46</v>
      </c>
      <c r="B19" t="s">
        <v>45</v>
      </c>
      <c r="C19" t="b">
        <f>FALSE()</f>
        <v>0</v>
      </c>
      <c r="E19" t="b">
        <f>FALSE()</f>
        <v>0</v>
      </c>
    </row>
    <row r="20" spans="1:5">
      <c r="A20" t="s">
        <v>47</v>
      </c>
      <c r="B20" t="s">
        <v>48</v>
      </c>
      <c r="C20" t="b">
        <f>FALSE()</f>
        <v>0</v>
      </c>
      <c r="E20" t="b">
        <f>FALSE()</f>
        <v>0</v>
      </c>
    </row>
    <row r="21" spans="1:5">
      <c r="A21" t="s">
        <v>49</v>
      </c>
      <c r="B21" t="s">
        <v>50</v>
      </c>
      <c r="C21" t="b">
        <f>TRUE()</f>
        <v>1</v>
      </c>
      <c r="E21" t="b">
        <f>TRUE()</f>
        <v>1</v>
      </c>
    </row>
    <row r="22" spans="1:5">
      <c r="A22" t="s">
        <v>51</v>
      </c>
      <c r="B22" t="s">
        <v>52</v>
      </c>
      <c r="C22" t="b">
        <f>FALSE()</f>
        <v>0</v>
      </c>
      <c r="E22" t="b">
        <f>FALSE()</f>
        <v>0</v>
      </c>
    </row>
    <row r="23" spans="1:5">
      <c r="A23" t="s">
        <v>53</v>
      </c>
      <c r="B23" t="s">
        <v>54</v>
      </c>
      <c r="C23" t="b">
        <f>TRUE()</f>
        <v>1</v>
      </c>
      <c r="E23" t="b">
        <f>TRUE()</f>
        <v>1</v>
      </c>
    </row>
    <row r="24" spans="1:5">
      <c r="A24" t="s">
        <v>55</v>
      </c>
      <c r="B24" t="s">
        <v>56</v>
      </c>
      <c r="C24" t="b">
        <f>FALSE()</f>
        <v>0</v>
      </c>
      <c r="E24" t="b">
        <f>FALSE()</f>
        <v>0</v>
      </c>
    </row>
    <row r="25" spans="1:5">
      <c r="A25" t="s">
        <v>57</v>
      </c>
      <c r="B25" t="s">
        <v>58</v>
      </c>
      <c r="C25" t="b">
        <f>FALSE()</f>
        <v>0</v>
      </c>
      <c r="E25" t="b">
        <f>FALSE()</f>
        <v>0</v>
      </c>
    </row>
    <row r="26" spans="1:5">
      <c r="A26" t="s">
        <v>59</v>
      </c>
      <c r="B26" t="s">
        <v>60</v>
      </c>
      <c r="C26" t="b">
        <f>FALSE()</f>
        <v>0</v>
      </c>
      <c r="E26" t="b">
        <f>FALSE()</f>
        <v>0</v>
      </c>
    </row>
    <row r="27" spans="1:5">
      <c r="A27" t="s">
        <v>61</v>
      </c>
      <c r="B27" t="s">
        <v>62</v>
      </c>
      <c r="C27" t="b">
        <f>TRUE()</f>
        <v>1</v>
      </c>
      <c r="E27" t="b">
        <f>TRUE()</f>
        <v>1</v>
      </c>
    </row>
    <row r="28" spans="1:5">
      <c r="A28" t="s">
        <v>63</v>
      </c>
      <c r="B28" t="s">
        <v>64</v>
      </c>
      <c r="C28" t="b">
        <f>FALSE()</f>
        <v>0</v>
      </c>
      <c r="E28" t="b">
        <f>FALSE()</f>
        <v>0</v>
      </c>
    </row>
    <row r="29" spans="1:5">
      <c r="A29" t="s">
        <v>65</v>
      </c>
      <c r="B29" t="s">
        <v>54</v>
      </c>
      <c r="C29" t="b">
        <f>TRUE()</f>
        <v>1</v>
      </c>
      <c r="E29" t="b">
        <f>TRUE()</f>
        <v>1</v>
      </c>
    </row>
    <row r="30" spans="1:5">
      <c r="A30" t="s">
        <v>66</v>
      </c>
      <c r="B30" t="s">
        <v>67</v>
      </c>
      <c r="C30" t="b">
        <f>FALSE()</f>
        <v>0</v>
      </c>
      <c r="E30" t="b">
        <f>FALSE()</f>
        <v>0</v>
      </c>
    </row>
    <row r="31" spans="1:5">
      <c r="A31" t="s">
        <v>68</v>
      </c>
      <c r="B31" t="s">
        <v>69</v>
      </c>
      <c r="C31" t="b">
        <f>FALSE()</f>
        <v>0</v>
      </c>
      <c r="E31" t="b">
        <f>FALSE()</f>
        <v>0</v>
      </c>
    </row>
    <row r="32" spans="1:5">
      <c r="A32" t="s">
        <v>70</v>
      </c>
      <c r="B32" t="s">
        <v>71</v>
      </c>
      <c r="C32" t="b">
        <f>FALSE()</f>
        <v>0</v>
      </c>
      <c r="E32" t="b">
        <f>FALSE()</f>
        <v>0</v>
      </c>
    </row>
    <row r="33" spans="1:5">
      <c r="A33" t="s">
        <v>72</v>
      </c>
      <c r="B33" t="s">
        <v>73</v>
      </c>
      <c r="C33" t="b">
        <f>TRUE()</f>
        <v>1</v>
      </c>
      <c r="E33" t="b">
        <f>TRUE()</f>
        <v>1</v>
      </c>
    </row>
    <row r="34" spans="1:5">
      <c r="A34" t="s">
        <v>74</v>
      </c>
      <c r="B34" t="s">
        <v>75</v>
      </c>
      <c r="C34" t="b">
        <f>FALSE()</f>
        <v>0</v>
      </c>
      <c r="E34" t="b">
        <f>FALSE()</f>
        <v>0</v>
      </c>
    </row>
    <row r="35" spans="1:5">
      <c r="A35" t="s">
        <v>76</v>
      </c>
      <c r="B35" t="s">
        <v>54</v>
      </c>
      <c r="C35" t="b">
        <f>TRUE()</f>
        <v>1</v>
      </c>
      <c r="E35" t="b">
        <f>TRUE()</f>
        <v>1</v>
      </c>
    </row>
    <row r="36" spans="1:5">
      <c r="A36" t="s">
        <v>77</v>
      </c>
      <c r="B36" t="s">
        <v>78</v>
      </c>
      <c r="C36" t="b">
        <f>FALSE()</f>
        <v>0</v>
      </c>
      <c r="E36" t="b">
        <f>FALSE()</f>
        <v>0</v>
      </c>
    </row>
    <row r="37" spans="1:5">
      <c r="A37" t="s">
        <v>79</v>
      </c>
      <c r="B37" t="s">
        <v>80</v>
      </c>
      <c r="C37" t="b">
        <f>FALSE()</f>
        <v>0</v>
      </c>
      <c r="E37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zoomScaleNormal="100" workbookViewId="0">
      <selection activeCell="E2" sqref="E2"/>
    </sheetView>
  </sheetViews>
  <sheetFormatPr defaultColWidth="8.5703125" defaultRowHeight="15"/>
  <cols>
    <col min="1" max="1" width="43.28515625" style="2" customWidth="1"/>
    <col min="2" max="2" width="83.85546875" style="2" customWidth="1"/>
    <col min="3" max="4" width="8.5703125" style="2"/>
    <col min="5" max="5" width="12.7109375" style="2" customWidth="1"/>
    <col min="6" max="16384" width="8.5703125" style="2"/>
  </cols>
  <sheetData>
    <row r="1" spans="1:5">
      <c r="A1" s="1" t="s">
        <v>10</v>
      </c>
      <c r="B1" s="1" t="s">
        <v>11</v>
      </c>
      <c r="C1" s="2" t="s">
        <v>12</v>
      </c>
      <c r="D1" s="2" t="s">
        <v>13</v>
      </c>
      <c r="E1" s="2" t="s">
        <v>14</v>
      </c>
    </row>
    <row r="2" spans="1:5">
      <c r="A2" s="2" t="s">
        <v>15</v>
      </c>
      <c r="B2" s="2" t="s">
        <v>81</v>
      </c>
      <c r="C2" s="2" t="b">
        <f>FALSE()</f>
        <v>0</v>
      </c>
      <c r="E2" s="2" t="b">
        <f>FALSE()</f>
        <v>0</v>
      </c>
    </row>
    <row r="3" spans="1:5">
      <c r="A3" s="2" t="s">
        <v>17</v>
      </c>
      <c r="B3" s="2" t="s">
        <v>18</v>
      </c>
      <c r="C3" s="2" t="b">
        <f>TRUE()</f>
        <v>1</v>
      </c>
      <c r="E3" s="2" t="b">
        <f>TRUE()</f>
        <v>1</v>
      </c>
    </row>
    <row r="4" spans="1:5">
      <c r="A4" s="2" t="s">
        <v>19</v>
      </c>
      <c r="B4" s="2" t="s">
        <v>82</v>
      </c>
      <c r="C4" s="2" t="b">
        <f>FALSE()</f>
        <v>0</v>
      </c>
      <c r="E4" s="2" t="b">
        <f>FALSE()</f>
        <v>0</v>
      </c>
    </row>
    <row r="5" spans="1:5">
      <c r="A5" s="2" t="s">
        <v>21</v>
      </c>
      <c r="B5" s="2" t="s">
        <v>22</v>
      </c>
      <c r="C5" s="2" t="b">
        <f>TRUE()</f>
        <v>1</v>
      </c>
      <c r="E5" s="2" t="b">
        <f>TRUE()</f>
        <v>1</v>
      </c>
    </row>
    <row r="6" spans="1:5">
      <c r="A6" s="2" t="s">
        <v>23</v>
      </c>
      <c r="B6" s="2" t="s">
        <v>83</v>
      </c>
      <c r="C6" s="2" t="b">
        <f>FALSE()</f>
        <v>0</v>
      </c>
      <c r="E6" s="2" t="b">
        <f>FALSE()</f>
        <v>0</v>
      </c>
    </row>
    <row r="7" spans="1:5">
      <c r="A7" s="2" t="s">
        <v>25</v>
      </c>
      <c r="B7" s="2" t="s">
        <v>84</v>
      </c>
      <c r="C7" s="2" t="b">
        <f>FALSE()</f>
        <v>0</v>
      </c>
      <c r="E7" s="2" t="b">
        <f>FALSE()</f>
        <v>0</v>
      </c>
    </row>
    <row r="8" spans="1:5">
      <c r="A8" s="2" t="s">
        <v>27</v>
      </c>
      <c r="B8" s="2" t="s">
        <v>28</v>
      </c>
      <c r="C8" s="2" t="b">
        <f>TRUE()</f>
        <v>1</v>
      </c>
      <c r="E8" s="2" t="b">
        <f>TRUE()</f>
        <v>1</v>
      </c>
    </row>
    <row r="9" spans="1:5">
      <c r="A9" s="2" t="s">
        <v>29</v>
      </c>
      <c r="B9" s="2" t="s">
        <v>30</v>
      </c>
      <c r="C9" s="2" t="b">
        <f>TRUE()</f>
        <v>1</v>
      </c>
      <c r="E9" s="2" t="b">
        <f>TRUE()</f>
        <v>1</v>
      </c>
    </row>
    <row r="10" spans="1:5">
      <c r="A10" s="2" t="s">
        <v>31</v>
      </c>
      <c r="B10" s="2" t="s">
        <v>85</v>
      </c>
      <c r="C10" s="2" t="b">
        <f>FALSE()</f>
        <v>0</v>
      </c>
      <c r="E10" s="2" t="b">
        <f>FALSE()</f>
        <v>0</v>
      </c>
    </row>
    <row r="11" spans="1:5">
      <c r="A11" s="2" t="s">
        <v>33</v>
      </c>
      <c r="B11" s="2" t="s">
        <v>22</v>
      </c>
      <c r="C11" s="2" t="b">
        <f>TRUE()</f>
        <v>1</v>
      </c>
      <c r="E11" s="2" t="b">
        <f>TRUE()</f>
        <v>1</v>
      </c>
    </row>
    <row r="12" spans="1:5">
      <c r="A12" s="2" t="s">
        <v>34</v>
      </c>
      <c r="B12" s="2" t="s">
        <v>86</v>
      </c>
      <c r="C12" s="2" t="b">
        <f>FALSE()</f>
        <v>0</v>
      </c>
      <c r="E12" s="2" t="b">
        <f>FALSE()</f>
        <v>0</v>
      </c>
    </row>
    <row r="13" spans="1:5">
      <c r="A13" s="2" t="s">
        <v>36</v>
      </c>
      <c r="B13" s="2" t="s">
        <v>26</v>
      </c>
      <c r="C13" s="2" t="b">
        <f>FALSE()</f>
        <v>0</v>
      </c>
      <c r="E13" s="2" t="b">
        <f>FALSE()</f>
        <v>0</v>
      </c>
    </row>
    <row r="14" spans="1:5">
      <c r="A14" s="2" t="s">
        <v>37</v>
      </c>
      <c r="B14" s="2" t="s">
        <v>87</v>
      </c>
      <c r="C14" s="2" t="b">
        <f>FALSE()</f>
        <v>0</v>
      </c>
      <c r="E14" s="2" t="b">
        <f>FALSE()</f>
        <v>0</v>
      </c>
    </row>
    <row r="15" spans="1:5">
      <c r="A15" s="2" t="s">
        <v>39</v>
      </c>
      <c r="B15" s="2" t="s">
        <v>40</v>
      </c>
      <c r="C15" s="2" t="b">
        <f>TRUE()</f>
        <v>1</v>
      </c>
      <c r="E15" s="2" t="b">
        <f>TRUE()</f>
        <v>1</v>
      </c>
    </row>
    <row r="16" spans="1:5">
      <c r="A16" s="2" t="s">
        <v>41</v>
      </c>
      <c r="B16" s="2" t="s">
        <v>88</v>
      </c>
      <c r="C16" s="2" t="b">
        <f>FALSE()</f>
        <v>0</v>
      </c>
      <c r="E16" s="2" t="b">
        <f>FALSE()</f>
        <v>0</v>
      </c>
    </row>
    <row r="17" spans="1:5">
      <c r="A17" s="2" t="s">
        <v>43</v>
      </c>
      <c r="B17" s="2" t="s">
        <v>22</v>
      </c>
      <c r="C17" s="2" t="b">
        <f>TRUE()</f>
        <v>1</v>
      </c>
      <c r="E17" s="2" t="b">
        <f>TRUE()</f>
        <v>1</v>
      </c>
    </row>
    <row r="18" spans="1:5">
      <c r="A18" s="2" t="s">
        <v>44</v>
      </c>
      <c r="B18" s="2" t="s">
        <v>89</v>
      </c>
      <c r="C18" s="2" t="b">
        <f>FALSE()</f>
        <v>0</v>
      </c>
      <c r="E18" s="2" t="b">
        <f>FALSE()</f>
        <v>0</v>
      </c>
    </row>
    <row r="19" spans="1:5">
      <c r="A19" s="2" t="s">
        <v>46</v>
      </c>
      <c r="B19" s="2" t="s">
        <v>45</v>
      </c>
      <c r="C19" s="2" t="b">
        <f>FALSE()</f>
        <v>0</v>
      </c>
      <c r="E19" s="2" t="b">
        <f>FALSE()</f>
        <v>0</v>
      </c>
    </row>
    <row r="20" spans="1:5">
      <c r="A20" s="2" t="s">
        <v>90</v>
      </c>
      <c r="B20" s="2" t="s">
        <v>91</v>
      </c>
      <c r="C20" s="2" t="b">
        <f>FALSE()</f>
        <v>0</v>
      </c>
      <c r="E20" s="2" t="b">
        <f>FALSE()</f>
        <v>0</v>
      </c>
    </row>
    <row r="21" spans="1:5">
      <c r="A21" s="2" t="s">
        <v>92</v>
      </c>
      <c r="B21" s="2" t="s">
        <v>91</v>
      </c>
      <c r="C21" s="2" t="b">
        <f>FALSE()</f>
        <v>0</v>
      </c>
      <c r="E21" s="2" t="b">
        <f>FALSE()</f>
        <v>0</v>
      </c>
    </row>
    <row r="22" spans="1:5">
      <c r="A22" s="2" t="s">
        <v>93</v>
      </c>
      <c r="B22" s="2" t="s">
        <v>91</v>
      </c>
      <c r="C22" s="2" t="b">
        <f>FALSE()</f>
        <v>0</v>
      </c>
      <c r="E22" s="2" t="b">
        <f>FALSE()</f>
        <v>0</v>
      </c>
    </row>
    <row r="23" spans="1:5">
      <c r="A23" s="2" t="s">
        <v>94</v>
      </c>
      <c r="B23" s="2" t="s">
        <v>95</v>
      </c>
      <c r="C23" s="2" t="b">
        <f>TRUE()</f>
        <v>1</v>
      </c>
      <c r="E23" s="2" t="b">
        <f>TRUE()</f>
        <v>1</v>
      </c>
    </row>
    <row r="24" spans="1:5">
      <c r="A24" s="2" t="s">
        <v>96</v>
      </c>
      <c r="B24" s="2" t="s">
        <v>97</v>
      </c>
      <c r="C24" s="2" t="b">
        <f>FALSE()</f>
        <v>0</v>
      </c>
      <c r="E24" s="2" t="b">
        <f>FALSE()</f>
        <v>0</v>
      </c>
    </row>
    <row r="25" spans="1:5">
      <c r="A25" s="2" t="s">
        <v>98</v>
      </c>
      <c r="B25" s="2" t="s">
        <v>99</v>
      </c>
      <c r="C25" s="2" t="b">
        <f>FALSE()</f>
        <v>0</v>
      </c>
      <c r="E25" s="2" t="b">
        <f>FALSE()</f>
        <v>0</v>
      </c>
    </row>
    <row r="26" spans="1:5">
      <c r="A26" s="2" t="s">
        <v>100</v>
      </c>
      <c r="B26" s="2" t="s">
        <v>101</v>
      </c>
      <c r="C26" s="2" t="b">
        <f>FALSE()</f>
        <v>0</v>
      </c>
      <c r="E26" s="2" t="b">
        <f>FALSE()</f>
        <v>0</v>
      </c>
    </row>
    <row r="27" spans="1:5">
      <c r="A27" s="2" t="s">
        <v>102</v>
      </c>
      <c r="B27" s="2" t="s">
        <v>103</v>
      </c>
      <c r="C27" s="2" t="b">
        <f>TRUE()</f>
        <v>1</v>
      </c>
      <c r="E27" s="2" t="b">
        <f>TRUE()</f>
        <v>1</v>
      </c>
    </row>
    <row r="28" spans="1:5">
      <c r="A28" s="2" t="s">
        <v>104</v>
      </c>
      <c r="B28" s="2" t="s">
        <v>105</v>
      </c>
      <c r="C28" s="2" t="b">
        <f>FALSE()</f>
        <v>0</v>
      </c>
      <c r="E28" s="2" t="b">
        <f>FALSE()</f>
        <v>0</v>
      </c>
    </row>
    <row r="29" spans="1:5">
      <c r="A29" s="2" t="s">
        <v>106</v>
      </c>
      <c r="B29" s="2" t="s">
        <v>22</v>
      </c>
      <c r="C29" s="2" t="b">
        <f>TRUE()</f>
        <v>1</v>
      </c>
      <c r="E29" s="2" t="b">
        <f>TRUE()</f>
        <v>1</v>
      </c>
    </row>
    <row r="30" spans="1:5">
      <c r="A30" s="2" t="s">
        <v>107</v>
      </c>
      <c r="B30" s="2" t="s">
        <v>108</v>
      </c>
      <c r="C30" s="2" t="b">
        <f>FALSE()</f>
        <v>0</v>
      </c>
      <c r="E30" s="2" t="b">
        <f>FALSE()</f>
        <v>0</v>
      </c>
    </row>
    <row r="31" spans="1:5">
      <c r="A31" s="2" t="s">
        <v>109</v>
      </c>
      <c r="B31" s="2" t="s">
        <v>110</v>
      </c>
      <c r="C31" s="2" t="b">
        <f>FALSE()</f>
        <v>0</v>
      </c>
      <c r="E31" s="2" t="b">
        <f>FALSE()</f>
        <v>0</v>
      </c>
    </row>
    <row r="32" spans="1:5">
      <c r="A32" s="2" t="s">
        <v>47</v>
      </c>
      <c r="B32" s="2" t="s">
        <v>111</v>
      </c>
      <c r="C32" s="2" t="b">
        <f>FALSE()</f>
        <v>0</v>
      </c>
      <c r="E32" s="2" t="b">
        <f>FALSE()</f>
        <v>0</v>
      </c>
    </row>
    <row r="33" spans="1:5">
      <c r="A33" s="2" t="s">
        <v>49</v>
      </c>
      <c r="B33" s="2" t="s">
        <v>50</v>
      </c>
      <c r="C33" s="2" t="b">
        <f>TRUE()</f>
        <v>1</v>
      </c>
      <c r="E33" s="2" t="b">
        <f>TRUE()</f>
        <v>1</v>
      </c>
    </row>
    <row r="34" spans="1:5">
      <c r="A34" s="2" t="s">
        <v>51</v>
      </c>
      <c r="B34" s="2" t="s">
        <v>112</v>
      </c>
      <c r="C34" s="2" t="b">
        <f>FALSE()</f>
        <v>0</v>
      </c>
      <c r="E34" s="2" t="b">
        <f>FALSE()</f>
        <v>0</v>
      </c>
    </row>
    <row r="35" spans="1:5">
      <c r="A35" s="2" t="s">
        <v>53</v>
      </c>
      <c r="B35" s="2" t="s">
        <v>54</v>
      </c>
      <c r="C35" s="2" t="b">
        <f>TRUE()</f>
        <v>1</v>
      </c>
      <c r="E35" s="2" t="b">
        <f>TRUE()</f>
        <v>1</v>
      </c>
    </row>
    <row r="36" spans="1:5">
      <c r="A36" s="2" t="s">
        <v>55</v>
      </c>
      <c r="B36" s="2" t="s">
        <v>113</v>
      </c>
      <c r="C36" s="2" t="b">
        <f>FALSE()</f>
        <v>0</v>
      </c>
      <c r="E36" s="2" t="b">
        <f>FALSE()</f>
        <v>0</v>
      </c>
    </row>
    <row r="37" spans="1:5">
      <c r="A37" s="2" t="s">
        <v>57</v>
      </c>
      <c r="B37" s="2" t="s">
        <v>114</v>
      </c>
      <c r="C37" s="2" t="b">
        <f>FALSE()</f>
        <v>0</v>
      </c>
      <c r="E37" s="2" t="b">
        <f>FALSE()</f>
        <v>0</v>
      </c>
    </row>
    <row r="38" spans="1:5">
      <c r="A38" s="2" t="s">
        <v>59</v>
      </c>
      <c r="B38" s="2" t="s">
        <v>115</v>
      </c>
      <c r="C38" s="2" t="b">
        <f>FALSE()</f>
        <v>0</v>
      </c>
      <c r="E38" s="2" t="b">
        <f>FALSE()</f>
        <v>0</v>
      </c>
    </row>
    <row r="39" spans="1:5">
      <c r="A39" s="2" t="s">
        <v>61</v>
      </c>
      <c r="B39" s="2" t="s">
        <v>62</v>
      </c>
      <c r="C39" s="2" t="b">
        <f>TRUE()</f>
        <v>1</v>
      </c>
      <c r="E39" s="2" t="b">
        <f>TRUE()</f>
        <v>1</v>
      </c>
    </row>
    <row r="40" spans="1:5">
      <c r="A40" s="2" t="s">
        <v>63</v>
      </c>
      <c r="B40" s="2" t="s">
        <v>116</v>
      </c>
      <c r="C40" s="2" t="b">
        <f>FALSE()</f>
        <v>0</v>
      </c>
      <c r="E40" s="2" t="b">
        <f>FALSE()</f>
        <v>0</v>
      </c>
    </row>
    <row r="41" spans="1:5">
      <c r="A41" s="2" t="s">
        <v>65</v>
      </c>
      <c r="B41" s="2" t="s">
        <v>54</v>
      </c>
      <c r="C41" s="2" t="b">
        <f>TRUE()</f>
        <v>1</v>
      </c>
      <c r="E41" s="2" t="b">
        <f>TRUE()</f>
        <v>1</v>
      </c>
    </row>
    <row r="42" spans="1:5">
      <c r="A42" s="2" t="s">
        <v>66</v>
      </c>
      <c r="B42" s="2" t="s">
        <v>117</v>
      </c>
      <c r="C42" s="2" t="b">
        <f>FALSE()</f>
        <v>0</v>
      </c>
      <c r="E42" s="2" t="b">
        <f>FALSE()</f>
        <v>0</v>
      </c>
    </row>
    <row r="43" spans="1:5">
      <c r="A43" s="2" t="s">
        <v>68</v>
      </c>
      <c r="B43" s="2" t="s">
        <v>118</v>
      </c>
      <c r="C43" s="2" t="b">
        <f>FALSE()</f>
        <v>0</v>
      </c>
      <c r="E43" s="2" t="b">
        <f>FALSE()</f>
        <v>0</v>
      </c>
    </row>
    <row r="44" spans="1:5">
      <c r="A44" s="2" t="s">
        <v>70</v>
      </c>
      <c r="B44" s="2" t="s">
        <v>119</v>
      </c>
      <c r="C44" s="2" t="b">
        <f>FALSE()</f>
        <v>0</v>
      </c>
      <c r="E44" s="2" t="b">
        <f>FALSE()</f>
        <v>0</v>
      </c>
    </row>
    <row r="45" spans="1:5">
      <c r="A45" s="2" t="s">
        <v>72</v>
      </c>
      <c r="B45" s="2" t="s">
        <v>73</v>
      </c>
      <c r="C45" s="2" t="b">
        <f>TRUE()</f>
        <v>1</v>
      </c>
      <c r="E45" s="2" t="b">
        <f>TRUE()</f>
        <v>1</v>
      </c>
    </row>
    <row r="46" spans="1:5">
      <c r="A46" s="2" t="s">
        <v>74</v>
      </c>
      <c r="B46" s="2" t="s">
        <v>120</v>
      </c>
      <c r="C46" s="2" t="b">
        <f>FALSE()</f>
        <v>0</v>
      </c>
      <c r="E46" s="2" t="b">
        <f>FALSE()</f>
        <v>0</v>
      </c>
    </row>
    <row r="47" spans="1:5">
      <c r="A47" s="2" t="s">
        <v>76</v>
      </c>
      <c r="B47" s="2" t="s">
        <v>54</v>
      </c>
      <c r="C47" s="2" t="b">
        <f>TRUE()</f>
        <v>1</v>
      </c>
      <c r="E47" s="2" t="b">
        <f>TRUE()</f>
        <v>1</v>
      </c>
    </row>
    <row r="48" spans="1:5">
      <c r="A48" s="2" t="s">
        <v>77</v>
      </c>
      <c r="B48" s="2" t="s">
        <v>121</v>
      </c>
      <c r="C48" s="2" t="b">
        <f>FALSE()</f>
        <v>0</v>
      </c>
      <c r="E48" s="2" t="b">
        <f>FALSE()</f>
        <v>0</v>
      </c>
    </row>
    <row r="49" spans="1:5">
      <c r="A49" s="2" t="s">
        <v>79</v>
      </c>
      <c r="B49" s="2" t="s">
        <v>78</v>
      </c>
      <c r="C49" s="2" t="b">
        <f>FALSE()</f>
        <v>0</v>
      </c>
      <c r="E49" s="2" t="b">
        <f>FALSE()</f>
        <v>0</v>
      </c>
    </row>
    <row r="50" spans="1:5">
      <c r="A50" s="2" t="s">
        <v>122</v>
      </c>
      <c r="B50" s="2" t="s">
        <v>123</v>
      </c>
      <c r="C50" s="2" t="b">
        <f>TRUE()</f>
        <v>1</v>
      </c>
      <c r="E50" s="2" t="b">
        <f>TRUE()</f>
        <v>1</v>
      </c>
    </row>
    <row r="51" spans="1:5">
      <c r="A51" s="2" t="s">
        <v>124</v>
      </c>
      <c r="B51" s="2" t="s">
        <v>125</v>
      </c>
      <c r="C51" s="2" t="b">
        <f>FALSE()</f>
        <v>0</v>
      </c>
      <c r="E51" s="2" t="b">
        <f>FALSE()</f>
        <v>0</v>
      </c>
    </row>
    <row r="52" spans="1:5">
      <c r="A52" s="2" t="s">
        <v>126</v>
      </c>
      <c r="B52" s="2" t="s">
        <v>127</v>
      </c>
      <c r="C52" s="2" t="b">
        <f>FALSE()</f>
        <v>0</v>
      </c>
      <c r="E52" s="2" t="b">
        <f>FALSE()</f>
        <v>0</v>
      </c>
    </row>
    <row r="53" spans="1:5">
      <c r="A53" s="2" t="s">
        <v>128</v>
      </c>
      <c r="B53" s="2" t="s">
        <v>129</v>
      </c>
      <c r="C53" s="2" t="b">
        <f>TRUE()</f>
        <v>1</v>
      </c>
      <c r="E53" s="2" t="b">
        <f>TRUE()</f>
        <v>1</v>
      </c>
    </row>
    <row r="54" spans="1:5">
      <c r="A54" s="2" t="s">
        <v>130</v>
      </c>
      <c r="B54" s="2" t="s">
        <v>131</v>
      </c>
      <c r="C54" s="2" t="b">
        <f>FALSE()</f>
        <v>0</v>
      </c>
      <c r="E54" s="2" t="b">
        <f>FALSE()</f>
        <v>0</v>
      </c>
    </row>
    <row r="55" spans="1:5">
      <c r="A55" s="2" t="s">
        <v>132</v>
      </c>
      <c r="B55" s="2" t="s">
        <v>133</v>
      </c>
      <c r="C55" s="2" t="b">
        <f>FALSE()</f>
        <v>0</v>
      </c>
      <c r="E55" s="2" t="b">
        <f>FALSE()</f>
        <v>0</v>
      </c>
    </row>
    <row r="56" spans="1:5">
      <c r="A56" s="2" t="s">
        <v>134</v>
      </c>
      <c r="B56" s="2" t="s">
        <v>135</v>
      </c>
      <c r="C56" s="2" t="b">
        <f>FALSE()</f>
        <v>0</v>
      </c>
      <c r="E56" s="2" t="b">
        <f>FALSE()</f>
        <v>0</v>
      </c>
    </row>
    <row r="57" spans="1:5">
      <c r="A57" s="2" t="s">
        <v>136</v>
      </c>
      <c r="B57" s="2" t="s">
        <v>137</v>
      </c>
      <c r="C57" s="2" t="b">
        <f>TRUE()</f>
        <v>1</v>
      </c>
      <c r="E57" s="2" t="b">
        <f>TRUE()</f>
        <v>1</v>
      </c>
    </row>
    <row r="58" spans="1:5">
      <c r="A58" s="2" t="s">
        <v>138</v>
      </c>
      <c r="B58" s="2" t="s">
        <v>139</v>
      </c>
      <c r="C58" s="2" t="b">
        <f>FALSE()</f>
        <v>0</v>
      </c>
      <c r="E58" s="2" t="b">
        <f>FALSE()</f>
        <v>0</v>
      </c>
    </row>
    <row r="59" spans="1:5">
      <c r="A59" s="2" t="s">
        <v>140</v>
      </c>
      <c r="B59" s="2" t="s">
        <v>54</v>
      </c>
      <c r="C59" s="2" t="b">
        <f>TRUE()</f>
        <v>1</v>
      </c>
      <c r="E59" s="2" t="b">
        <f>TRUE()</f>
        <v>1</v>
      </c>
    </row>
    <row r="60" spans="1:5">
      <c r="A60" s="2" t="s">
        <v>141</v>
      </c>
      <c r="B60" s="2" t="s">
        <v>142</v>
      </c>
      <c r="C60" s="2" t="b">
        <f>FALSE()</f>
        <v>0</v>
      </c>
      <c r="E60" s="2" t="b">
        <f>FALSE()</f>
        <v>0</v>
      </c>
    </row>
    <row r="61" spans="1:5">
      <c r="A61" s="2" t="s">
        <v>143</v>
      </c>
      <c r="B61" s="2" t="s">
        <v>144</v>
      </c>
      <c r="C61" s="2" t="b">
        <f>FALSE()</f>
        <v>0</v>
      </c>
      <c r="E61" s="2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5"/>
  <sheetViews>
    <sheetView zoomScaleNormal="100" workbookViewId="0">
      <selection activeCell="E2" sqref="E2"/>
    </sheetView>
  </sheetViews>
  <sheetFormatPr defaultColWidth="8.5703125" defaultRowHeight="15"/>
  <cols>
    <col min="1" max="1" width="48" style="2" customWidth="1"/>
    <col min="2" max="2" width="87.140625" style="2" customWidth="1"/>
    <col min="3" max="4" width="8.5703125" style="2"/>
    <col min="5" max="5" width="12.7109375" style="2" customWidth="1"/>
    <col min="6" max="16384" width="8.5703125" style="2"/>
  </cols>
  <sheetData>
    <row r="1" spans="1:5">
      <c r="A1" s="1" t="s">
        <v>10</v>
      </c>
      <c r="B1" s="1" t="s">
        <v>11</v>
      </c>
      <c r="C1" s="2" t="s">
        <v>12</v>
      </c>
      <c r="D1" s="2" t="s">
        <v>13</v>
      </c>
      <c r="E1" s="2" t="s">
        <v>14</v>
      </c>
    </row>
    <row r="2" spans="1:5">
      <c r="A2" s="2" t="s">
        <v>15</v>
      </c>
      <c r="B2" s="2" t="s">
        <v>145</v>
      </c>
      <c r="C2" s="2" t="b">
        <f>FALSE()</f>
        <v>0</v>
      </c>
      <c r="E2" s="2" t="b">
        <f>FALSE()</f>
        <v>0</v>
      </c>
    </row>
    <row r="3" spans="1:5">
      <c r="A3" s="2" t="s">
        <v>17</v>
      </c>
      <c r="B3" s="2" t="s">
        <v>18</v>
      </c>
      <c r="C3" s="2" t="b">
        <f>TRUE()</f>
        <v>1</v>
      </c>
      <c r="E3" s="2" t="b">
        <f>TRUE()</f>
        <v>1</v>
      </c>
    </row>
    <row r="4" spans="1:5">
      <c r="A4" s="2" t="s">
        <v>19</v>
      </c>
      <c r="B4" s="2" t="s">
        <v>146</v>
      </c>
      <c r="C4" s="2" t="b">
        <f>FALSE()</f>
        <v>0</v>
      </c>
      <c r="E4" s="2" t="b">
        <f>FALSE()</f>
        <v>0</v>
      </c>
    </row>
    <row r="5" spans="1:5">
      <c r="A5" s="2" t="s">
        <v>21</v>
      </c>
      <c r="B5" s="2" t="s">
        <v>22</v>
      </c>
      <c r="C5" s="2" t="b">
        <f>TRUE()</f>
        <v>1</v>
      </c>
      <c r="E5" s="2" t="b">
        <f>TRUE()</f>
        <v>1</v>
      </c>
    </row>
    <row r="6" spans="1:5">
      <c r="A6" s="2" t="s">
        <v>23</v>
      </c>
      <c r="B6" s="2" t="s">
        <v>16</v>
      </c>
      <c r="C6" s="2" t="b">
        <f>FALSE()</f>
        <v>0</v>
      </c>
      <c r="E6" s="2" t="b">
        <f>FALSE()</f>
        <v>0</v>
      </c>
    </row>
    <row r="7" spans="1:5">
      <c r="A7" s="2" t="s">
        <v>25</v>
      </c>
      <c r="B7" s="2" t="s">
        <v>26</v>
      </c>
      <c r="C7" s="2" t="b">
        <f>FALSE()</f>
        <v>0</v>
      </c>
      <c r="E7" s="2" t="b">
        <f>FALSE()</f>
        <v>0</v>
      </c>
    </row>
    <row r="8" spans="1:5">
      <c r="A8" s="2" t="s">
        <v>27</v>
      </c>
      <c r="B8" s="2" t="s">
        <v>28</v>
      </c>
      <c r="C8" s="2" t="b">
        <f>TRUE()</f>
        <v>1</v>
      </c>
      <c r="E8" s="2" t="b">
        <f>TRUE()</f>
        <v>1</v>
      </c>
    </row>
    <row r="9" spans="1:5">
      <c r="A9" s="2" t="s">
        <v>29</v>
      </c>
      <c r="B9" s="2" t="s">
        <v>30</v>
      </c>
      <c r="C9" s="2" t="b">
        <f>TRUE()</f>
        <v>1</v>
      </c>
      <c r="E9" s="2" t="b">
        <f>TRUE()</f>
        <v>1</v>
      </c>
    </row>
    <row r="10" spans="1:5">
      <c r="A10" s="2" t="s">
        <v>31</v>
      </c>
      <c r="B10" s="2" t="s">
        <v>147</v>
      </c>
      <c r="C10" s="2" t="b">
        <f>FALSE()</f>
        <v>0</v>
      </c>
      <c r="E10" s="2" t="b">
        <f>FALSE()</f>
        <v>0</v>
      </c>
    </row>
    <row r="11" spans="1:5">
      <c r="A11" s="2" t="s">
        <v>33</v>
      </c>
      <c r="B11" s="2" t="s">
        <v>22</v>
      </c>
      <c r="C11" s="2" t="b">
        <f>TRUE()</f>
        <v>1</v>
      </c>
      <c r="E11" s="2" t="b">
        <f>TRUE()</f>
        <v>1</v>
      </c>
    </row>
    <row r="12" spans="1:5">
      <c r="A12" s="2" t="s">
        <v>34</v>
      </c>
      <c r="B12" s="2" t="s">
        <v>148</v>
      </c>
      <c r="C12" s="2" t="b">
        <f>FALSE()</f>
        <v>0</v>
      </c>
      <c r="E12" s="2" t="b">
        <f>FALSE()</f>
        <v>0</v>
      </c>
    </row>
    <row r="13" spans="1:5">
      <c r="A13" s="2" t="s">
        <v>36</v>
      </c>
      <c r="B13" s="2" t="s">
        <v>86</v>
      </c>
      <c r="C13" s="2" t="b">
        <f>FALSE()</f>
        <v>0</v>
      </c>
      <c r="E13" s="2" t="b">
        <f>FALSE()</f>
        <v>0</v>
      </c>
    </row>
    <row r="14" spans="1:5">
      <c r="A14" s="2" t="s">
        <v>37</v>
      </c>
      <c r="B14" s="2" t="s">
        <v>149</v>
      </c>
      <c r="C14" s="2" t="b">
        <f>FALSE()</f>
        <v>0</v>
      </c>
      <c r="E14" s="2" t="b">
        <f>FALSE()</f>
        <v>0</v>
      </c>
    </row>
    <row r="15" spans="1:5">
      <c r="A15" s="2" t="s">
        <v>39</v>
      </c>
      <c r="B15" s="2" t="s">
        <v>40</v>
      </c>
      <c r="C15" s="2" t="b">
        <f>TRUE()</f>
        <v>1</v>
      </c>
      <c r="E15" s="2" t="b">
        <f>TRUE()</f>
        <v>1</v>
      </c>
    </row>
    <row r="16" spans="1:5">
      <c r="A16" s="2" t="s">
        <v>41</v>
      </c>
      <c r="B16" s="2" t="s">
        <v>150</v>
      </c>
      <c r="C16" s="2" t="b">
        <f>FALSE()</f>
        <v>0</v>
      </c>
      <c r="E16" s="2" t="b">
        <f>FALSE()</f>
        <v>0</v>
      </c>
    </row>
    <row r="17" spans="1:5">
      <c r="A17" s="2" t="s">
        <v>43</v>
      </c>
      <c r="B17" s="2" t="s">
        <v>151</v>
      </c>
      <c r="C17" s="2" t="b">
        <f>TRUE()</f>
        <v>1</v>
      </c>
      <c r="E17" s="2" t="b">
        <f>TRUE()</f>
        <v>1</v>
      </c>
    </row>
    <row r="18" spans="1:5">
      <c r="A18" s="2" t="s">
        <v>44</v>
      </c>
      <c r="B18" s="2" t="s">
        <v>152</v>
      </c>
      <c r="C18" s="2" t="b">
        <f>FALSE()</f>
        <v>0</v>
      </c>
      <c r="E18" s="2" t="b">
        <f>FALSE()</f>
        <v>0</v>
      </c>
    </row>
    <row r="19" spans="1:5">
      <c r="A19" s="2" t="s">
        <v>46</v>
      </c>
      <c r="B19" s="2" t="s">
        <v>153</v>
      </c>
      <c r="C19" s="2" t="b">
        <f>FALSE()</f>
        <v>0</v>
      </c>
      <c r="E19" s="2" t="b">
        <f>FALSE()</f>
        <v>0</v>
      </c>
    </row>
    <row r="20" spans="1:5">
      <c r="A20" s="2" t="s">
        <v>90</v>
      </c>
      <c r="B20" s="2" t="s">
        <v>91</v>
      </c>
      <c r="C20" s="2" t="b">
        <f>FALSE()</f>
        <v>0</v>
      </c>
      <c r="E20" s="2" t="b">
        <f>FALSE()</f>
        <v>0</v>
      </c>
    </row>
    <row r="21" spans="1:5">
      <c r="A21" s="2" t="s">
        <v>92</v>
      </c>
      <c r="B21" s="2" t="s">
        <v>91</v>
      </c>
      <c r="C21" s="2" t="b">
        <f>FALSE()</f>
        <v>0</v>
      </c>
      <c r="E21" s="2" t="b">
        <f>FALSE()</f>
        <v>0</v>
      </c>
    </row>
    <row r="22" spans="1:5">
      <c r="A22" s="2" t="s">
        <v>93</v>
      </c>
      <c r="B22" s="2" t="s">
        <v>154</v>
      </c>
      <c r="C22" s="2" t="b">
        <f>FALSE()</f>
        <v>0</v>
      </c>
      <c r="E22" s="2" t="b">
        <f>FALSE()</f>
        <v>0</v>
      </c>
    </row>
    <row r="23" spans="1:5">
      <c r="A23" s="2" t="s">
        <v>94</v>
      </c>
      <c r="B23" s="2" t="s">
        <v>95</v>
      </c>
      <c r="C23" s="2" t="b">
        <f>TRUE()</f>
        <v>1</v>
      </c>
      <c r="E23" s="2" t="b">
        <f>TRUE()</f>
        <v>1</v>
      </c>
    </row>
    <row r="24" spans="1:5">
      <c r="A24" s="2" t="s">
        <v>96</v>
      </c>
      <c r="B24" s="2" t="s">
        <v>155</v>
      </c>
      <c r="C24" s="2" t="b">
        <f>FALSE()</f>
        <v>0</v>
      </c>
      <c r="E24" s="2" t="b">
        <f>FALSE()</f>
        <v>0</v>
      </c>
    </row>
    <row r="25" spans="1:5">
      <c r="A25" s="2" t="s">
        <v>98</v>
      </c>
      <c r="B25" s="2" t="s">
        <v>156</v>
      </c>
      <c r="C25" s="2" t="b">
        <f>FALSE()</f>
        <v>0</v>
      </c>
      <c r="E25" s="2" t="b">
        <f>FALSE()</f>
        <v>0</v>
      </c>
    </row>
    <row r="26" spans="1:5">
      <c r="A26" s="2" t="s">
        <v>100</v>
      </c>
      <c r="B26" s="2" t="s">
        <v>157</v>
      </c>
      <c r="C26" s="2" t="b">
        <f>FALSE()</f>
        <v>0</v>
      </c>
      <c r="E26" s="2" t="b">
        <f>FALSE()</f>
        <v>0</v>
      </c>
    </row>
    <row r="27" spans="1:5">
      <c r="A27" s="2" t="s">
        <v>102</v>
      </c>
      <c r="B27" s="2" t="s">
        <v>103</v>
      </c>
      <c r="C27" s="2" t="b">
        <f>TRUE()</f>
        <v>1</v>
      </c>
      <c r="E27" s="2" t="b">
        <f>TRUE()</f>
        <v>1</v>
      </c>
    </row>
    <row r="28" spans="1:5">
      <c r="A28" s="2" t="s">
        <v>104</v>
      </c>
      <c r="B28" s="2" t="s">
        <v>158</v>
      </c>
      <c r="C28" s="2" t="b">
        <f>FALSE()</f>
        <v>0</v>
      </c>
      <c r="E28" s="2" t="b">
        <f>FALSE()</f>
        <v>0</v>
      </c>
    </row>
    <row r="29" spans="1:5">
      <c r="A29" s="2" t="s">
        <v>106</v>
      </c>
      <c r="B29" s="2" t="s">
        <v>22</v>
      </c>
      <c r="C29" s="2" t="b">
        <f>TRUE()</f>
        <v>1</v>
      </c>
      <c r="E29" s="2" t="b">
        <f>TRUE()</f>
        <v>1</v>
      </c>
    </row>
    <row r="30" spans="1:5">
      <c r="A30" s="2" t="s">
        <v>107</v>
      </c>
      <c r="B30" s="2" t="s">
        <v>110</v>
      </c>
      <c r="C30" s="2" t="b">
        <f>FALSE()</f>
        <v>0</v>
      </c>
      <c r="E30" s="2" t="b">
        <f>FALSE()</f>
        <v>0</v>
      </c>
    </row>
    <row r="31" spans="1:5">
      <c r="A31" s="2" t="s">
        <v>109</v>
      </c>
      <c r="B31" s="2" t="s">
        <v>26</v>
      </c>
      <c r="C31" s="2" t="b">
        <f>FALSE()</f>
        <v>0</v>
      </c>
      <c r="E31" s="2" t="b">
        <f>FALSE()</f>
        <v>0</v>
      </c>
    </row>
    <row r="32" spans="1:5">
      <c r="A32" s="2" t="s">
        <v>159</v>
      </c>
      <c r="B32" s="2" t="s">
        <v>160</v>
      </c>
      <c r="C32" s="2" t="b">
        <f>FALSE()</f>
        <v>0</v>
      </c>
      <c r="E32" s="2" t="b">
        <f>FALSE()</f>
        <v>0</v>
      </c>
    </row>
    <row r="33" spans="1:5">
      <c r="A33" s="2" t="s">
        <v>161</v>
      </c>
      <c r="B33" s="2" t="s">
        <v>162</v>
      </c>
      <c r="C33" s="2" t="b">
        <f>TRUE()</f>
        <v>1</v>
      </c>
      <c r="E33" s="2" t="b">
        <f>TRUE()</f>
        <v>1</v>
      </c>
    </row>
    <row r="34" spans="1:5">
      <c r="A34" s="2" t="s">
        <v>163</v>
      </c>
      <c r="B34" s="2" t="s">
        <v>164</v>
      </c>
      <c r="C34" s="2" t="b">
        <f>FALSE()</f>
        <v>0</v>
      </c>
      <c r="E34" s="2" t="b">
        <f>FALSE()</f>
        <v>0</v>
      </c>
    </row>
    <row r="35" spans="1:5">
      <c r="A35" s="2" t="s">
        <v>165</v>
      </c>
      <c r="B35" s="2" t="s">
        <v>22</v>
      </c>
      <c r="C35" s="2" t="b">
        <f>TRUE()</f>
        <v>1</v>
      </c>
      <c r="E35" s="2" t="b">
        <f>TRUE()</f>
        <v>1</v>
      </c>
    </row>
    <row r="36" spans="1:5">
      <c r="A36" s="2" t="s">
        <v>166</v>
      </c>
      <c r="B36" s="2" t="s">
        <v>167</v>
      </c>
      <c r="C36" s="2" t="b">
        <f>FALSE()</f>
        <v>0</v>
      </c>
      <c r="E36" s="2" t="b">
        <f>FALSE()</f>
        <v>0</v>
      </c>
    </row>
    <row r="37" spans="1:5">
      <c r="A37" s="2" t="s">
        <v>168</v>
      </c>
      <c r="B37" s="2" t="s">
        <v>169</v>
      </c>
      <c r="C37" s="2" t="b">
        <f>FALSE()</f>
        <v>0</v>
      </c>
      <c r="E37" s="2" t="b">
        <f>FALSE()</f>
        <v>0</v>
      </c>
    </row>
    <row r="38" spans="1:5">
      <c r="A38" s="2" t="s">
        <v>170</v>
      </c>
      <c r="B38" s="2" t="s">
        <v>171</v>
      </c>
      <c r="C38" s="2" t="b">
        <f>FALSE()</f>
        <v>0</v>
      </c>
      <c r="E38" s="2" t="b">
        <f>FALSE()</f>
        <v>0</v>
      </c>
    </row>
    <row r="39" spans="1:5">
      <c r="A39" s="2" t="s">
        <v>172</v>
      </c>
      <c r="B39" s="2" t="s">
        <v>173</v>
      </c>
      <c r="C39" s="2" t="b">
        <f>TRUE()</f>
        <v>1</v>
      </c>
      <c r="E39" s="2" t="b">
        <f>TRUE()</f>
        <v>1</v>
      </c>
    </row>
    <row r="40" spans="1:5">
      <c r="A40" s="2" t="s">
        <v>174</v>
      </c>
      <c r="B40" s="2" t="s">
        <v>175</v>
      </c>
      <c r="C40" s="2" t="b">
        <f>FALSE()</f>
        <v>0</v>
      </c>
      <c r="E40" s="2" t="b">
        <f>FALSE()</f>
        <v>0</v>
      </c>
    </row>
    <row r="41" spans="1:5">
      <c r="A41" s="2" t="s">
        <v>176</v>
      </c>
      <c r="B41" s="2" t="s">
        <v>151</v>
      </c>
      <c r="C41" s="2" t="b">
        <f>TRUE()</f>
        <v>1</v>
      </c>
      <c r="E41" s="2" t="b">
        <f>TRUE()</f>
        <v>1</v>
      </c>
    </row>
    <row r="42" spans="1:5">
      <c r="A42" s="2" t="s">
        <v>177</v>
      </c>
      <c r="B42" s="2" t="s">
        <v>178</v>
      </c>
      <c r="C42" s="2" t="b">
        <f>FALSE()</f>
        <v>0</v>
      </c>
      <c r="E42" s="2" t="b">
        <f>FALSE()</f>
        <v>0</v>
      </c>
    </row>
    <row r="43" spans="1:5">
      <c r="A43" s="2" t="s">
        <v>179</v>
      </c>
      <c r="B43" s="2" t="s">
        <v>180</v>
      </c>
      <c r="C43" s="2" t="b">
        <f>FALSE()</f>
        <v>0</v>
      </c>
      <c r="E43" s="2" t="b">
        <f>FALSE()</f>
        <v>0</v>
      </c>
    </row>
    <row r="44" spans="1:5">
      <c r="A44" s="2" t="s">
        <v>47</v>
      </c>
      <c r="B44" s="2" t="s">
        <v>48</v>
      </c>
      <c r="C44" s="2" t="b">
        <f>FALSE()</f>
        <v>0</v>
      </c>
      <c r="E44" s="2" t="b">
        <f>FALSE()</f>
        <v>0</v>
      </c>
    </row>
    <row r="45" spans="1:5">
      <c r="A45" s="2" t="s">
        <v>49</v>
      </c>
      <c r="B45" s="2" t="s">
        <v>50</v>
      </c>
      <c r="C45" s="2" t="b">
        <f>TRUE()</f>
        <v>1</v>
      </c>
      <c r="E45" s="2" t="b">
        <f>TRUE()</f>
        <v>1</v>
      </c>
    </row>
    <row r="46" spans="1:5">
      <c r="A46" s="2" t="s">
        <v>51</v>
      </c>
      <c r="B46" s="2" t="s">
        <v>181</v>
      </c>
      <c r="C46" s="2" t="b">
        <f>FALSE()</f>
        <v>0</v>
      </c>
      <c r="E46" s="2" t="b">
        <f>FALSE()</f>
        <v>0</v>
      </c>
    </row>
    <row r="47" spans="1:5">
      <c r="A47" s="2" t="s">
        <v>53</v>
      </c>
      <c r="B47" s="2" t="s">
        <v>54</v>
      </c>
      <c r="C47" s="2" t="b">
        <f>TRUE()</f>
        <v>1</v>
      </c>
      <c r="E47" s="2" t="b">
        <f>TRUE()</f>
        <v>1</v>
      </c>
    </row>
    <row r="48" spans="1:5">
      <c r="A48" s="2" t="s">
        <v>55</v>
      </c>
      <c r="B48" s="2" t="s">
        <v>182</v>
      </c>
      <c r="C48" s="2" t="b">
        <f>FALSE()</f>
        <v>0</v>
      </c>
      <c r="E48" s="2" t="b">
        <f>FALSE()</f>
        <v>0</v>
      </c>
    </row>
    <row r="49" spans="1:5">
      <c r="A49" s="2" t="s">
        <v>57</v>
      </c>
      <c r="B49" s="2" t="s">
        <v>182</v>
      </c>
      <c r="C49" s="2" t="b">
        <f>FALSE()</f>
        <v>0</v>
      </c>
      <c r="E49" s="2" t="b">
        <f>FALSE()</f>
        <v>0</v>
      </c>
    </row>
    <row r="50" spans="1:5">
      <c r="A50" s="2" t="s">
        <v>59</v>
      </c>
      <c r="B50" s="2" t="s">
        <v>183</v>
      </c>
      <c r="C50" s="2" t="b">
        <f>FALSE()</f>
        <v>0</v>
      </c>
      <c r="E50" s="2" t="b">
        <f>FALSE()</f>
        <v>0</v>
      </c>
    </row>
    <row r="51" spans="1:5">
      <c r="A51" s="2" t="s">
        <v>61</v>
      </c>
      <c r="B51" s="2" t="s">
        <v>62</v>
      </c>
      <c r="C51" s="2" t="b">
        <f>TRUE()</f>
        <v>1</v>
      </c>
      <c r="E51" s="2" t="b">
        <f>TRUE()</f>
        <v>1</v>
      </c>
    </row>
    <row r="52" spans="1:5">
      <c r="A52" s="2" t="s">
        <v>63</v>
      </c>
      <c r="B52" s="2" t="s">
        <v>64</v>
      </c>
      <c r="C52" s="2" t="b">
        <f>FALSE()</f>
        <v>0</v>
      </c>
      <c r="E52" s="2" t="b">
        <f>FALSE()</f>
        <v>0</v>
      </c>
    </row>
    <row r="53" spans="1:5">
      <c r="A53" s="2" t="s">
        <v>65</v>
      </c>
      <c r="B53" s="2" t="s">
        <v>54</v>
      </c>
      <c r="C53" s="2" t="b">
        <f>TRUE()</f>
        <v>1</v>
      </c>
      <c r="E53" s="2" t="b">
        <f>TRUE()</f>
        <v>1</v>
      </c>
    </row>
    <row r="54" spans="1:5">
      <c r="A54" s="2" t="s">
        <v>66</v>
      </c>
      <c r="B54" s="2" t="s">
        <v>117</v>
      </c>
      <c r="C54" s="2" t="b">
        <f>FALSE()</f>
        <v>0</v>
      </c>
      <c r="E54" s="2" t="b">
        <f>FALSE()</f>
        <v>0</v>
      </c>
    </row>
    <row r="55" spans="1:5">
      <c r="A55" s="2" t="s">
        <v>68</v>
      </c>
      <c r="B55" s="2" t="s">
        <v>184</v>
      </c>
      <c r="C55" s="2" t="b">
        <f>FALSE()</f>
        <v>0</v>
      </c>
      <c r="E55" s="2" t="b">
        <f>FALSE()</f>
        <v>0</v>
      </c>
    </row>
    <row r="56" spans="1:5">
      <c r="A56" s="2" t="s">
        <v>70</v>
      </c>
      <c r="B56" s="2" t="s">
        <v>185</v>
      </c>
      <c r="C56" s="2" t="b">
        <f>FALSE()</f>
        <v>0</v>
      </c>
      <c r="E56" s="2" t="b">
        <f>FALSE()</f>
        <v>0</v>
      </c>
    </row>
    <row r="57" spans="1:5">
      <c r="A57" s="2" t="s">
        <v>72</v>
      </c>
      <c r="B57" s="2" t="s">
        <v>73</v>
      </c>
      <c r="C57" s="2" t="b">
        <f>TRUE()</f>
        <v>1</v>
      </c>
      <c r="E57" s="2" t="b">
        <f>TRUE()</f>
        <v>1</v>
      </c>
    </row>
    <row r="58" spans="1:5">
      <c r="A58" s="2" t="s">
        <v>74</v>
      </c>
      <c r="B58" s="2" t="s">
        <v>186</v>
      </c>
      <c r="C58" s="2" t="b">
        <f>FALSE()</f>
        <v>0</v>
      </c>
      <c r="E58" s="2" t="b">
        <f>FALSE()</f>
        <v>0</v>
      </c>
    </row>
    <row r="59" spans="1:5">
      <c r="A59" s="2" t="s">
        <v>76</v>
      </c>
      <c r="B59" s="2" t="s">
        <v>54</v>
      </c>
      <c r="C59" s="2" t="b">
        <f>TRUE()</f>
        <v>1</v>
      </c>
      <c r="E59" s="2" t="b">
        <f>TRUE()</f>
        <v>1</v>
      </c>
    </row>
    <row r="60" spans="1:5">
      <c r="A60" s="2" t="s">
        <v>77</v>
      </c>
      <c r="B60" s="2" t="s">
        <v>187</v>
      </c>
      <c r="C60" s="2" t="b">
        <f>FALSE()</f>
        <v>0</v>
      </c>
      <c r="E60" s="2" t="b">
        <f>FALSE()</f>
        <v>0</v>
      </c>
    </row>
    <row r="61" spans="1:5">
      <c r="A61" s="2" t="s">
        <v>79</v>
      </c>
      <c r="B61" s="2" t="s">
        <v>78</v>
      </c>
      <c r="C61" s="2" t="b">
        <f>FALSE()</f>
        <v>0</v>
      </c>
      <c r="E61" s="2" t="b">
        <f>FALSE()</f>
        <v>0</v>
      </c>
    </row>
    <row r="62" spans="1:5">
      <c r="A62" s="2" t="s">
        <v>122</v>
      </c>
      <c r="B62" s="2" t="s">
        <v>188</v>
      </c>
      <c r="C62" s="2" t="b">
        <f>FALSE()</f>
        <v>0</v>
      </c>
      <c r="E62" s="2" t="b">
        <f>FALSE()</f>
        <v>0</v>
      </c>
    </row>
    <row r="63" spans="1:5">
      <c r="A63" s="2" t="s">
        <v>124</v>
      </c>
      <c r="B63" s="2" t="s">
        <v>189</v>
      </c>
      <c r="C63" s="2" t="b">
        <f>FALSE()</f>
        <v>0</v>
      </c>
      <c r="E63" s="2" t="b">
        <f>FALSE()</f>
        <v>0</v>
      </c>
    </row>
    <row r="64" spans="1:5">
      <c r="A64" s="2" t="s">
        <v>126</v>
      </c>
      <c r="B64" s="2" t="s">
        <v>127</v>
      </c>
      <c r="C64" s="2" t="b">
        <f>FALSE()</f>
        <v>0</v>
      </c>
      <c r="E64" s="2" t="b">
        <f>FALSE()</f>
        <v>0</v>
      </c>
    </row>
    <row r="65" spans="1:5">
      <c r="A65" s="2" t="s">
        <v>128</v>
      </c>
      <c r="B65" s="2" t="s">
        <v>54</v>
      </c>
      <c r="C65" s="2" t="b">
        <f>TRUE()</f>
        <v>1</v>
      </c>
      <c r="E65" s="2" t="b">
        <f>TRUE()</f>
        <v>1</v>
      </c>
    </row>
    <row r="66" spans="1:5">
      <c r="A66" s="2" t="s">
        <v>130</v>
      </c>
      <c r="B66" s="2" t="s">
        <v>190</v>
      </c>
      <c r="C66" s="2" t="b">
        <f>FALSE()</f>
        <v>0</v>
      </c>
      <c r="E66" s="2" t="b">
        <f>FALSE()</f>
        <v>0</v>
      </c>
    </row>
    <row r="67" spans="1:5">
      <c r="A67" s="2" t="s">
        <v>132</v>
      </c>
      <c r="B67" s="2" t="s">
        <v>133</v>
      </c>
      <c r="C67" s="2" t="b">
        <f>FALSE()</f>
        <v>0</v>
      </c>
      <c r="E67" s="2" t="b">
        <f>FALSE()</f>
        <v>0</v>
      </c>
    </row>
    <row r="68" spans="1:5">
      <c r="A68" s="2" t="s">
        <v>134</v>
      </c>
      <c r="B68" s="2" t="s">
        <v>191</v>
      </c>
      <c r="C68" s="2" t="b">
        <f>FALSE()</f>
        <v>0</v>
      </c>
      <c r="E68" s="2" t="b">
        <f>FALSE()</f>
        <v>0</v>
      </c>
    </row>
    <row r="69" spans="1:5">
      <c r="A69" s="2" t="s">
        <v>136</v>
      </c>
      <c r="B69" s="2" t="s">
        <v>137</v>
      </c>
      <c r="C69" s="2" t="b">
        <f>TRUE()</f>
        <v>1</v>
      </c>
      <c r="E69" s="2" t="b">
        <f>TRUE()</f>
        <v>1</v>
      </c>
    </row>
    <row r="70" spans="1:5">
      <c r="A70" s="2" t="s">
        <v>138</v>
      </c>
      <c r="B70" s="2" t="s">
        <v>139</v>
      </c>
      <c r="C70" s="2" t="b">
        <f>FALSE()</f>
        <v>0</v>
      </c>
      <c r="E70" s="2" t="b">
        <f>FALSE()</f>
        <v>0</v>
      </c>
    </row>
    <row r="71" spans="1:5">
      <c r="A71" s="2" t="s">
        <v>140</v>
      </c>
      <c r="B71" s="2" t="s">
        <v>54</v>
      </c>
      <c r="C71" s="2" t="b">
        <f>TRUE()</f>
        <v>1</v>
      </c>
      <c r="E71" s="2" t="b">
        <f>TRUE()</f>
        <v>1</v>
      </c>
    </row>
    <row r="72" spans="1:5">
      <c r="A72" s="2" t="s">
        <v>141</v>
      </c>
      <c r="B72" s="2" t="s">
        <v>192</v>
      </c>
      <c r="C72" s="2" t="b">
        <f>FALSE()</f>
        <v>0</v>
      </c>
      <c r="E72" s="2" t="b">
        <f>FALSE()</f>
        <v>0</v>
      </c>
    </row>
    <row r="73" spans="1:5">
      <c r="A73" s="2" t="s">
        <v>143</v>
      </c>
      <c r="B73" s="2" t="s">
        <v>193</v>
      </c>
      <c r="C73" s="2" t="b">
        <f>FALSE()</f>
        <v>0</v>
      </c>
      <c r="E73" s="2" t="b">
        <f>FALSE()</f>
        <v>0</v>
      </c>
    </row>
    <row r="74" spans="1:5">
      <c r="A74" s="2" t="s">
        <v>194</v>
      </c>
      <c r="B74" s="2" t="s">
        <v>195</v>
      </c>
      <c r="C74" s="2" t="b">
        <f>FALSE()</f>
        <v>0</v>
      </c>
      <c r="E74" s="2" t="b">
        <f>FALSE()</f>
        <v>0</v>
      </c>
    </row>
    <row r="75" spans="1:5">
      <c r="A75" s="2" t="s">
        <v>196</v>
      </c>
      <c r="B75" s="2" t="s">
        <v>197</v>
      </c>
      <c r="C75" s="2" t="b">
        <f>TRUE()</f>
        <v>1</v>
      </c>
      <c r="E75" s="2" t="b">
        <f>TRUE()</f>
        <v>1</v>
      </c>
    </row>
    <row r="76" spans="1:5">
      <c r="A76" s="2" t="s">
        <v>198</v>
      </c>
      <c r="B76" s="2" t="s">
        <v>199</v>
      </c>
      <c r="C76" s="2" t="b">
        <f>FALSE()</f>
        <v>0</v>
      </c>
      <c r="E76" s="2" t="b">
        <f>FALSE()</f>
        <v>0</v>
      </c>
    </row>
    <row r="77" spans="1:5">
      <c r="A77" s="2" t="s">
        <v>200</v>
      </c>
      <c r="B77" s="2" t="s">
        <v>54</v>
      </c>
      <c r="C77" s="2" t="b">
        <f>TRUE()</f>
        <v>1</v>
      </c>
      <c r="E77" s="2" t="b">
        <f>TRUE()</f>
        <v>1</v>
      </c>
    </row>
    <row r="78" spans="1:5">
      <c r="A78" s="2" t="s">
        <v>201</v>
      </c>
      <c r="B78" s="2" t="s">
        <v>202</v>
      </c>
      <c r="C78" s="2" t="b">
        <f>FALSE()</f>
        <v>0</v>
      </c>
      <c r="E78" s="2" t="b">
        <f>FALSE()</f>
        <v>0</v>
      </c>
    </row>
    <row r="79" spans="1:5">
      <c r="A79" s="2" t="s">
        <v>203</v>
      </c>
      <c r="B79" s="2" t="s">
        <v>204</v>
      </c>
      <c r="C79" s="2" t="b">
        <f>FALSE()</f>
        <v>0</v>
      </c>
      <c r="E79" s="2" t="b">
        <f>FALSE()</f>
        <v>0</v>
      </c>
    </row>
    <row r="80" spans="1:5">
      <c r="A80" s="2" t="s">
        <v>205</v>
      </c>
      <c r="B80" s="2" t="s">
        <v>206</v>
      </c>
      <c r="C80" s="2" t="b">
        <f>FALSE()</f>
        <v>0</v>
      </c>
      <c r="E80" s="2" t="b">
        <f>FALSE()</f>
        <v>0</v>
      </c>
    </row>
    <row r="81" spans="1:5">
      <c r="A81" s="2" t="s">
        <v>207</v>
      </c>
      <c r="B81" s="2" t="s">
        <v>208</v>
      </c>
      <c r="C81" s="2" t="b">
        <f>TRUE()</f>
        <v>1</v>
      </c>
      <c r="E81" s="2" t="b">
        <f>TRUE()</f>
        <v>1</v>
      </c>
    </row>
    <row r="82" spans="1:5">
      <c r="A82" s="2" t="s">
        <v>209</v>
      </c>
      <c r="B82" s="2" t="s">
        <v>210</v>
      </c>
      <c r="C82" s="2" t="b">
        <f>FALSE()</f>
        <v>0</v>
      </c>
      <c r="E82" s="2" t="b">
        <f>FALSE()</f>
        <v>0</v>
      </c>
    </row>
    <row r="83" spans="1:5">
      <c r="A83" s="2" t="s">
        <v>211</v>
      </c>
      <c r="B83" s="2" t="s">
        <v>54</v>
      </c>
      <c r="C83" s="2" t="b">
        <f>TRUE()</f>
        <v>1</v>
      </c>
      <c r="E83" s="2" t="b">
        <f>TRUE()</f>
        <v>1</v>
      </c>
    </row>
    <row r="84" spans="1:5">
      <c r="A84" s="2" t="s">
        <v>212</v>
      </c>
      <c r="B84" s="2" t="s">
        <v>213</v>
      </c>
      <c r="C84" s="2" t="b">
        <f>FALSE()</f>
        <v>0</v>
      </c>
      <c r="E84" s="2" t="b">
        <f>FALSE()</f>
        <v>0</v>
      </c>
    </row>
    <row r="85" spans="1:5">
      <c r="A85" s="2" t="s">
        <v>214</v>
      </c>
      <c r="B85" s="2" t="s">
        <v>215</v>
      </c>
      <c r="C85" s="2" t="b">
        <f>FALSE()</f>
        <v>0</v>
      </c>
      <c r="E85" s="2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1"/>
  <sheetViews>
    <sheetView topLeftCell="B1" zoomScaleNormal="100" workbookViewId="0">
      <selection activeCell="C76" sqref="C76"/>
    </sheetView>
  </sheetViews>
  <sheetFormatPr defaultColWidth="8.5703125" defaultRowHeight="15"/>
  <cols>
    <col min="1" max="1" width="48.140625" style="2" customWidth="1"/>
    <col min="2" max="2" width="86" style="2" customWidth="1"/>
    <col min="3" max="4" width="8.5703125" style="2"/>
    <col min="5" max="5" width="12.7109375" style="2" customWidth="1"/>
    <col min="6" max="16384" width="8.5703125" style="2"/>
  </cols>
  <sheetData>
    <row r="1" spans="1:5">
      <c r="A1" s="1" t="s">
        <v>10</v>
      </c>
      <c r="B1" s="1" t="s">
        <v>11</v>
      </c>
      <c r="C1" s="2" t="s">
        <v>12</v>
      </c>
      <c r="D1" s="2" t="s">
        <v>13</v>
      </c>
      <c r="E1" s="2" t="s">
        <v>14</v>
      </c>
    </row>
    <row r="2" spans="1:5">
      <c r="A2" s="2" t="s">
        <v>15</v>
      </c>
      <c r="B2" s="2" t="s">
        <v>16</v>
      </c>
      <c r="C2" s="2" t="b">
        <f>FALSE()</f>
        <v>0</v>
      </c>
      <c r="E2" s="2" t="b">
        <f>FALSE()</f>
        <v>0</v>
      </c>
    </row>
    <row r="3" spans="1:5">
      <c r="A3" s="2" t="s">
        <v>17</v>
      </c>
      <c r="B3" s="2" t="s">
        <v>18</v>
      </c>
      <c r="C3" s="2" t="b">
        <f>TRUE()</f>
        <v>1</v>
      </c>
      <c r="E3" s="2" t="b">
        <f>TRUE()</f>
        <v>1</v>
      </c>
    </row>
    <row r="4" spans="1:5">
      <c r="A4" s="2" t="s">
        <v>19</v>
      </c>
      <c r="B4" s="2" t="s">
        <v>82</v>
      </c>
      <c r="C4" s="2" t="b">
        <f>FALSE()</f>
        <v>0</v>
      </c>
      <c r="E4" s="2" t="b">
        <f>FALSE()</f>
        <v>0</v>
      </c>
    </row>
    <row r="5" spans="1:5">
      <c r="A5" s="2" t="s">
        <v>21</v>
      </c>
      <c r="B5" s="2" t="s">
        <v>22</v>
      </c>
      <c r="C5" s="2" t="b">
        <f>TRUE()</f>
        <v>1</v>
      </c>
      <c r="E5" s="2" t="b">
        <f>TRUE()</f>
        <v>1</v>
      </c>
    </row>
    <row r="6" spans="1:5">
      <c r="A6" s="2" t="s">
        <v>23</v>
      </c>
      <c r="B6" s="2" t="s">
        <v>216</v>
      </c>
      <c r="C6" s="2" t="b">
        <f>FALSE()</f>
        <v>0</v>
      </c>
      <c r="E6" s="2" t="b">
        <f>FALSE()</f>
        <v>0</v>
      </c>
    </row>
    <row r="7" spans="1:5">
      <c r="A7" s="2" t="s">
        <v>25</v>
      </c>
      <c r="B7" s="2" t="s">
        <v>217</v>
      </c>
      <c r="C7" s="2" t="b">
        <f>FALSE()</f>
        <v>0</v>
      </c>
      <c r="E7" s="2" t="b">
        <f>FALSE()</f>
        <v>0</v>
      </c>
    </row>
    <row r="8" spans="1:5">
      <c r="A8" s="2" t="s">
        <v>27</v>
      </c>
      <c r="B8" s="2" t="s">
        <v>28</v>
      </c>
      <c r="C8" s="2" t="b">
        <f>TRUE()</f>
        <v>1</v>
      </c>
      <c r="E8" s="2" t="b">
        <f>TRUE()</f>
        <v>1</v>
      </c>
    </row>
    <row r="9" spans="1:5">
      <c r="A9" s="2" t="s">
        <v>29</v>
      </c>
      <c r="B9" s="2" t="s">
        <v>30</v>
      </c>
      <c r="C9" s="2" t="b">
        <f>TRUE()</f>
        <v>1</v>
      </c>
      <c r="E9" s="2" t="b">
        <f>TRUE()</f>
        <v>1</v>
      </c>
    </row>
    <row r="10" spans="1:5">
      <c r="A10" s="2" t="s">
        <v>31</v>
      </c>
      <c r="B10" s="2" t="s">
        <v>218</v>
      </c>
      <c r="C10" s="2" t="b">
        <f>FALSE()</f>
        <v>0</v>
      </c>
      <c r="E10" s="2" t="b">
        <f>FALSE()</f>
        <v>0</v>
      </c>
    </row>
    <row r="11" spans="1:5">
      <c r="A11" s="2" t="s">
        <v>33</v>
      </c>
      <c r="B11" s="2" t="s">
        <v>22</v>
      </c>
      <c r="C11" s="2" t="b">
        <f>TRUE()</f>
        <v>1</v>
      </c>
      <c r="E11" s="2" t="b">
        <f>TRUE()</f>
        <v>1</v>
      </c>
    </row>
    <row r="12" spans="1:5">
      <c r="A12" s="2" t="s">
        <v>34</v>
      </c>
      <c r="B12" s="2" t="s">
        <v>219</v>
      </c>
      <c r="C12" s="2" t="b">
        <f>FALSE()</f>
        <v>0</v>
      </c>
      <c r="E12" s="2" t="b">
        <f>FALSE()</f>
        <v>0</v>
      </c>
    </row>
    <row r="13" spans="1:5">
      <c r="A13" s="2" t="s">
        <v>36</v>
      </c>
      <c r="B13" s="2" t="s">
        <v>220</v>
      </c>
      <c r="C13" s="2" t="b">
        <f>FALSE()</f>
        <v>0</v>
      </c>
      <c r="E13" s="2" t="b">
        <f>FALSE()</f>
        <v>0</v>
      </c>
    </row>
    <row r="14" spans="1:5">
      <c r="A14" s="2" t="s">
        <v>37</v>
      </c>
      <c r="B14" s="2" t="s">
        <v>221</v>
      </c>
      <c r="C14" s="2" t="b">
        <f>FALSE()</f>
        <v>0</v>
      </c>
      <c r="E14" s="2" t="b">
        <f>FALSE()</f>
        <v>0</v>
      </c>
    </row>
    <row r="15" spans="1:5">
      <c r="A15" s="2" t="s">
        <v>39</v>
      </c>
      <c r="B15" s="2" t="s">
        <v>40</v>
      </c>
      <c r="C15" s="2" t="b">
        <f>TRUE()</f>
        <v>1</v>
      </c>
      <c r="E15" s="2" t="b">
        <f>TRUE()</f>
        <v>1</v>
      </c>
    </row>
    <row r="16" spans="1:5">
      <c r="A16" s="2" t="s">
        <v>41</v>
      </c>
      <c r="B16" s="2" t="s">
        <v>222</v>
      </c>
      <c r="C16" s="2" t="b">
        <f>FALSE()</f>
        <v>0</v>
      </c>
      <c r="E16" s="2" t="b">
        <f>FALSE()</f>
        <v>0</v>
      </c>
    </row>
    <row r="17" spans="1:5">
      <c r="A17" s="2" t="s">
        <v>43</v>
      </c>
      <c r="B17" s="2" t="s">
        <v>22</v>
      </c>
      <c r="C17" s="2" t="b">
        <f>TRUE()</f>
        <v>1</v>
      </c>
      <c r="E17" s="2" t="b">
        <f>TRUE()</f>
        <v>1</v>
      </c>
    </row>
    <row r="18" spans="1:5">
      <c r="A18" s="2" t="s">
        <v>44</v>
      </c>
      <c r="B18" s="2" t="s">
        <v>223</v>
      </c>
      <c r="C18" s="2" t="b">
        <f>FALSE()</f>
        <v>0</v>
      </c>
      <c r="E18" s="2" t="b">
        <f>FALSE()</f>
        <v>0</v>
      </c>
    </row>
    <row r="19" spans="1:5">
      <c r="A19" s="2" t="s">
        <v>46</v>
      </c>
      <c r="B19" s="2" t="s">
        <v>45</v>
      </c>
      <c r="C19" s="2" t="b">
        <f>FALSE()</f>
        <v>0</v>
      </c>
      <c r="E19" s="2" t="b">
        <f>FALSE()</f>
        <v>0</v>
      </c>
    </row>
    <row r="20" spans="1:5">
      <c r="A20" s="2" t="s">
        <v>90</v>
      </c>
      <c r="B20" s="2" t="s">
        <v>91</v>
      </c>
      <c r="C20" s="2" t="b">
        <f>FALSE()</f>
        <v>0</v>
      </c>
      <c r="E20" s="2" t="b">
        <f>FALSE()</f>
        <v>0</v>
      </c>
    </row>
    <row r="21" spans="1:5">
      <c r="A21" s="2" t="s">
        <v>92</v>
      </c>
      <c r="B21" s="2" t="s">
        <v>224</v>
      </c>
      <c r="C21" s="2" t="b">
        <f>TRUE()</f>
        <v>1</v>
      </c>
      <c r="E21" s="2" t="b">
        <f>TRUE()</f>
        <v>1</v>
      </c>
    </row>
    <row r="22" spans="1:5">
      <c r="A22" s="2" t="s">
        <v>93</v>
      </c>
      <c r="B22" s="2" t="s">
        <v>225</v>
      </c>
      <c r="C22" s="2" t="b">
        <f>FALSE()</f>
        <v>0</v>
      </c>
      <c r="E22" s="2" t="b">
        <f>FALSE()</f>
        <v>0</v>
      </c>
    </row>
    <row r="23" spans="1:5">
      <c r="A23" s="2" t="s">
        <v>94</v>
      </c>
      <c r="B23" s="2" t="s">
        <v>22</v>
      </c>
      <c r="C23" s="2" t="b">
        <f>TRUE()</f>
        <v>1</v>
      </c>
      <c r="E23" s="2" t="b">
        <f>TRUE()</f>
        <v>1</v>
      </c>
    </row>
    <row r="24" spans="1:5">
      <c r="A24" s="2" t="s">
        <v>96</v>
      </c>
      <c r="B24" s="2" t="s">
        <v>226</v>
      </c>
      <c r="C24" s="2" t="b">
        <f>FALSE()</f>
        <v>0</v>
      </c>
      <c r="E24" s="2" t="b">
        <f>FALSE()</f>
        <v>0</v>
      </c>
    </row>
    <row r="25" spans="1:5">
      <c r="A25" s="2" t="s">
        <v>98</v>
      </c>
      <c r="B25" s="2" t="s">
        <v>99</v>
      </c>
      <c r="C25" s="2" t="b">
        <f>FALSE()</f>
        <v>0</v>
      </c>
      <c r="E25" s="2" t="b">
        <f>FALSE()</f>
        <v>0</v>
      </c>
    </row>
    <row r="26" spans="1:5">
      <c r="A26" s="2" t="s">
        <v>100</v>
      </c>
      <c r="B26" s="2" t="s">
        <v>101</v>
      </c>
      <c r="C26" s="2" t="b">
        <f>FALSE()</f>
        <v>0</v>
      </c>
      <c r="E26" s="2" t="b">
        <f>FALSE()</f>
        <v>0</v>
      </c>
    </row>
    <row r="27" spans="1:5">
      <c r="A27" s="2" t="s">
        <v>102</v>
      </c>
      <c r="B27" s="2" t="s">
        <v>103</v>
      </c>
      <c r="C27" s="2" t="b">
        <f>TRUE()</f>
        <v>1</v>
      </c>
      <c r="E27" s="2" t="b">
        <f>TRUE()</f>
        <v>1</v>
      </c>
    </row>
    <row r="28" spans="1:5">
      <c r="A28" s="2" t="s">
        <v>104</v>
      </c>
      <c r="B28" s="2" t="s">
        <v>105</v>
      </c>
      <c r="C28" s="2" t="b">
        <f>FALSE()</f>
        <v>0</v>
      </c>
      <c r="E28" s="2" t="b">
        <f>FALSE()</f>
        <v>0</v>
      </c>
    </row>
    <row r="29" spans="1:5">
      <c r="A29" s="2" t="s">
        <v>106</v>
      </c>
      <c r="B29" s="2" t="s">
        <v>22</v>
      </c>
      <c r="C29" s="2" t="b">
        <f>TRUE()</f>
        <v>1</v>
      </c>
      <c r="E29" s="2" t="b">
        <f>TRUE()</f>
        <v>1</v>
      </c>
    </row>
    <row r="30" spans="1:5">
      <c r="A30" s="2" t="s">
        <v>107</v>
      </c>
      <c r="B30" s="2" t="s">
        <v>227</v>
      </c>
      <c r="C30" s="2" t="b">
        <f>FALSE()</f>
        <v>0</v>
      </c>
      <c r="E30" s="2" t="b">
        <f>FALSE()</f>
        <v>0</v>
      </c>
    </row>
    <row r="31" spans="1:5">
      <c r="A31" s="2" t="s">
        <v>109</v>
      </c>
      <c r="B31" s="2" t="s">
        <v>110</v>
      </c>
      <c r="C31" s="2" t="b">
        <f>FALSE()</f>
        <v>0</v>
      </c>
      <c r="E31" s="2" t="b">
        <f>FALSE()</f>
        <v>0</v>
      </c>
    </row>
    <row r="32" spans="1:5">
      <c r="A32" s="2" t="s">
        <v>159</v>
      </c>
      <c r="B32" s="2" t="s">
        <v>160</v>
      </c>
      <c r="C32" s="2" t="b">
        <f>FALSE()</f>
        <v>0</v>
      </c>
      <c r="E32" s="2" t="b">
        <f>FALSE()</f>
        <v>0</v>
      </c>
    </row>
    <row r="33" spans="1:5">
      <c r="A33" s="2" t="s">
        <v>161</v>
      </c>
      <c r="B33" s="2" t="s">
        <v>228</v>
      </c>
      <c r="C33" s="2" t="b">
        <f>TRUE()</f>
        <v>1</v>
      </c>
      <c r="E33" s="2" t="b">
        <f>TRUE()</f>
        <v>1</v>
      </c>
    </row>
    <row r="34" spans="1:5">
      <c r="A34" s="2" t="s">
        <v>163</v>
      </c>
      <c r="B34" s="2" t="s">
        <v>229</v>
      </c>
      <c r="C34" s="2" t="b">
        <f>FALSE()</f>
        <v>0</v>
      </c>
      <c r="E34" s="2" t="b">
        <f>FALSE()</f>
        <v>0</v>
      </c>
    </row>
    <row r="35" spans="1:5">
      <c r="A35" s="2" t="s">
        <v>165</v>
      </c>
      <c r="B35" s="2" t="s">
        <v>22</v>
      </c>
      <c r="C35" s="2" t="b">
        <f>TRUE()</f>
        <v>1</v>
      </c>
      <c r="E35" s="2" t="b">
        <f>TRUE()</f>
        <v>1</v>
      </c>
    </row>
    <row r="36" spans="1:5">
      <c r="A36" s="2" t="s">
        <v>166</v>
      </c>
      <c r="B36" s="2" t="s">
        <v>230</v>
      </c>
      <c r="C36" s="2" t="b">
        <f>FALSE()</f>
        <v>0</v>
      </c>
      <c r="E36" s="2" t="b">
        <f>FALSE()</f>
        <v>0</v>
      </c>
    </row>
    <row r="37" spans="1:5">
      <c r="A37" s="2" t="s">
        <v>168</v>
      </c>
      <c r="B37" s="2" t="s">
        <v>231</v>
      </c>
      <c r="C37" s="2" t="b">
        <f>FALSE()</f>
        <v>0</v>
      </c>
      <c r="E37" s="2" t="b">
        <f>FALSE()</f>
        <v>0</v>
      </c>
    </row>
    <row r="38" spans="1:5">
      <c r="A38" s="2" t="s">
        <v>170</v>
      </c>
      <c r="B38" s="2" t="s">
        <v>232</v>
      </c>
      <c r="C38" s="2" t="b">
        <f>TRUE()</f>
        <v>1</v>
      </c>
      <c r="E38" s="2" t="b">
        <f>TRUE()</f>
        <v>1</v>
      </c>
    </row>
    <row r="39" spans="1:5">
      <c r="A39" s="2" t="s">
        <v>172</v>
      </c>
      <c r="B39" s="2" t="s">
        <v>173</v>
      </c>
      <c r="C39" s="2" t="b">
        <f>TRUE()</f>
        <v>1</v>
      </c>
      <c r="E39" s="2" t="b">
        <f>TRUE()</f>
        <v>1</v>
      </c>
    </row>
    <row r="40" spans="1:5">
      <c r="A40" s="2" t="s">
        <v>174</v>
      </c>
      <c r="B40" s="2" t="s">
        <v>175</v>
      </c>
      <c r="C40" s="2" t="b">
        <f>FALSE()</f>
        <v>0</v>
      </c>
      <c r="E40" s="2" t="b">
        <f>FALSE()</f>
        <v>0</v>
      </c>
    </row>
    <row r="41" spans="1:5">
      <c r="A41" s="2" t="s">
        <v>176</v>
      </c>
      <c r="B41" s="2" t="s">
        <v>151</v>
      </c>
      <c r="C41" s="2" t="b">
        <f>TRUE()</f>
        <v>1</v>
      </c>
      <c r="E41" s="2" t="b">
        <f>TRUE()</f>
        <v>1</v>
      </c>
    </row>
    <row r="42" spans="1:5">
      <c r="A42" s="2" t="s">
        <v>177</v>
      </c>
      <c r="B42" s="2" t="s">
        <v>178</v>
      </c>
      <c r="C42" s="2" t="b">
        <f>FALSE()</f>
        <v>0</v>
      </c>
      <c r="E42" s="2" t="b">
        <f>FALSE()</f>
        <v>0</v>
      </c>
    </row>
    <row r="43" spans="1:5">
      <c r="A43" s="2" t="s">
        <v>179</v>
      </c>
      <c r="B43" s="2" t="s">
        <v>26</v>
      </c>
      <c r="C43" s="2" t="b">
        <f>FALSE()</f>
        <v>0</v>
      </c>
      <c r="E43" s="2" t="b">
        <f>FALSE()</f>
        <v>0</v>
      </c>
    </row>
    <row r="44" spans="1:5">
      <c r="A44" s="2" t="s">
        <v>233</v>
      </c>
      <c r="B44" s="2" t="s">
        <v>234</v>
      </c>
      <c r="C44" s="2" t="b">
        <f>FALSE()</f>
        <v>0</v>
      </c>
      <c r="E44" s="2" t="b">
        <f>FALSE()</f>
        <v>0</v>
      </c>
    </row>
    <row r="45" spans="1:5">
      <c r="A45" s="2" t="s">
        <v>235</v>
      </c>
      <c r="B45" s="2" t="s">
        <v>236</v>
      </c>
      <c r="C45" s="2" t="b">
        <f>TRUE()</f>
        <v>1</v>
      </c>
      <c r="E45" s="2" t="b">
        <f>TRUE()</f>
        <v>1</v>
      </c>
    </row>
    <row r="46" spans="1:5">
      <c r="A46" s="2" t="s">
        <v>237</v>
      </c>
      <c r="B46" s="2" t="s">
        <v>238</v>
      </c>
      <c r="C46" s="2" t="b">
        <f>FALSE()</f>
        <v>0</v>
      </c>
      <c r="E46" s="2" t="b">
        <f>FALSE()</f>
        <v>0</v>
      </c>
    </row>
    <row r="47" spans="1:5">
      <c r="A47" s="2" t="s">
        <v>239</v>
      </c>
      <c r="B47" s="2" t="s">
        <v>22</v>
      </c>
      <c r="C47" s="2" t="b">
        <f>TRUE()</f>
        <v>1</v>
      </c>
      <c r="E47" s="2" t="b">
        <f>TRUE()</f>
        <v>1</v>
      </c>
    </row>
    <row r="48" spans="1:5">
      <c r="A48" s="2" t="s">
        <v>240</v>
      </c>
      <c r="B48" s="2" t="s">
        <v>241</v>
      </c>
      <c r="C48" s="2" t="b">
        <f>FALSE()</f>
        <v>0</v>
      </c>
      <c r="E48" s="2" t="b">
        <f>FALSE()</f>
        <v>0</v>
      </c>
    </row>
    <row r="49" spans="1:5">
      <c r="A49" s="2" t="s">
        <v>242</v>
      </c>
      <c r="B49" s="2" t="s">
        <v>243</v>
      </c>
      <c r="C49" s="2" t="b">
        <f>FALSE()</f>
        <v>0</v>
      </c>
      <c r="E49" s="2" t="b">
        <f>FALSE()</f>
        <v>0</v>
      </c>
    </row>
    <row r="50" spans="1:5">
      <c r="A50" s="2" t="s">
        <v>244</v>
      </c>
      <c r="B50" s="2" t="s">
        <v>245</v>
      </c>
      <c r="C50" s="2" t="b">
        <f>TRUE()</f>
        <v>1</v>
      </c>
      <c r="E50" s="2" t="b">
        <f>TRUE()</f>
        <v>1</v>
      </c>
    </row>
    <row r="51" spans="1:5">
      <c r="A51" s="2" t="s">
        <v>246</v>
      </c>
      <c r="B51" s="2" t="s">
        <v>247</v>
      </c>
      <c r="C51" s="2" t="b">
        <f>TRUE()</f>
        <v>1</v>
      </c>
      <c r="E51" s="2" t="b">
        <f>TRUE()</f>
        <v>1</v>
      </c>
    </row>
    <row r="52" spans="1:5">
      <c r="A52" s="2" t="s">
        <v>248</v>
      </c>
      <c r="B52" s="2" t="s">
        <v>249</v>
      </c>
      <c r="C52" s="2" t="b">
        <f>FALSE()</f>
        <v>0</v>
      </c>
      <c r="E52" s="2" t="b">
        <f>FALSE()</f>
        <v>0</v>
      </c>
    </row>
    <row r="53" spans="1:5">
      <c r="A53" s="2" t="s">
        <v>250</v>
      </c>
      <c r="B53" s="2" t="s">
        <v>151</v>
      </c>
      <c r="C53" s="2" t="b">
        <f>TRUE()</f>
        <v>1</v>
      </c>
      <c r="E53" s="2" t="b">
        <f>TRUE()</f>
        <v>1</v>
      </c>
    </row>
    <row r="54" spans="1:5">
      <c r="A54" s="2" t="s">
        <v>251</v>
      </c>
      <c r="B54" s="2" t="s">
        <v>252</v>
      </c>
      <c r="C54" s="2" t="b">
        <f>FALSE()</f>
        <v>0</v>
      </c>
      <c r="E54" s="2" t="b">
        <f>FALSE()</f>
        <v>0</v>
      </c>
    </row>
    <row r="55" spans="1:5">
      <c r="A55" s="2" t="s">
        <v>253</v>
      </c>
      <c r="B55" s="2" t="s">
        <v>254</v>
      </c>
      <c r="C55" s="2" t="b">
        <f>FALSE()</f>
        <v>0</v>
      </c>
      <c r="E55" s="2" t="b">
        <f>FALSE()</f>
        <v>0</v>
      </c>
    </row>
    <row r="56" spans="1:5">
      <c r="A56" s="2" t="s">
        <v>255</v>
      </c>
      <c r="B56" s="2" t="s">
        <v>256</v>
      </c>
      <c r="C56" s="2" t="b">
        <f>FALSE()</f>
        <v>0</v>
      </c>
      <c r="E56" s="2" t="b">
        <f>FALSE()</f>
        <v>0</v>
      </c>
    </row>
    <row r="57" spans="1:5">
      <c r="A57" s="2" t="s">
        <v>257</v>
      </c>
      <c r="B57" s="2" t="s">
        <v>258</v>
      </c>
      <c r="C57" s="2" t="b">
        <f>TRUE()</f>
        <v>1</v>
      </c>
      <c r="E57" s="2" t="b">
        <f>TRUE()</f>
        <v>1</v>
      </c>
    </row>
    <row r="58" spans="1:5">
      <c r="A58" s="2" t="s">
        <v>259</v>
      </c>
      <c r="B58" s="2" t="s">
        <v>260</v>
      </c>
      <c r="C58" s="2" t="b">
        <f>FALSE()</f>
        <v>0</v>
      </c>
      <c r="E58" s="2" t="b">
        <f>FALSE()</f>
        <v>0</v>
      </c>
    </row>
    <row r="59" spans="1:5">
      <c r="A59" s="2" t="s">
        <v>261</v>
      </c>
      <c r="B59" s="2" t="s">
        <v>151</v>
      </c>
      <c r="C59" s="2" t="b">
        <f>TRUE()</f>
        <v>1</v>
      </c>
      <c r="E59" s="2" t="b">
        <f>TRUE()</f>
        <v>1</v>
      </c>
    </row>
    <row r="60" spans="1:5">
      <c r="A60" s="2" t="s">
        <v>262</v>
      </c>
      <c r="B60" s="2" t="s">
        <v>263</v>
      </c>
      <c r="C60" s="2" t="b">
        <f>FALSE()</f>
        <v>0</v>
      </c>
      <c r="E60" s="2" t="b">
        <f>FALSE()</f>
        <v>0</v>
      </c>
    </row>
    <row r="61" spans="1:5">
      <c r="A61" s="2" t="s">
        <v>264</v>
      </c>
      <c r="B61" s="2" t="s">
        <v>265</v>
      </c>
      <c r="C61" s="2" t="b">
        <f>FALSE()</f>
        <v>0</v>
      </c>
      <c r="E61" s="2" t="b">
        <f>FALSE()</f>
        <v>0</v>
      </c>
    </row>
    <row r="62" spans="1:5">
      <c r="A62" s="2" t="s">
        <v>47</v>
      </c>
      <c r="B62" s="2" t="s">
        <v>48</v>
      </c>
      <c r="C62" s="2" t="b">
        <f>FALSE()</f>
        <v>0</v>
      </c>
      <c r="E62" s="2" t="b">
        <f>FALSE()</f>
        <v>0</v>
      </c>
    </row>
    <row r="63" spans="1:5">
      <c r="A63" s="2" t="s">
        <v>49</v>
      </c>
      <c r="B63" s="2" t="s">
        <v>50</v>
      </c>
      <c r="C63" s="2" t="b">
        <f>TRUE()</f>
        <v>1</v>
      </c>
      <c r="E63" s="2" t="b">
        <f>TRUE()</f>
        <v>1</v>
      </c>
    </row>
    <row r="64" spans="1:5">
      <c r="A64" s="2" t="s">
        <v>51</v>
      </c>
      <c r="B64" s="2" t="s">
        <v>266</v>
      </c>
      <c r="C64" s="2" t="b">
        <f>FALSE()</f>
        <v>0</v>
      </c>
      <c r="E64" s="2" t="b">
        <f>FALSE()</f>
        <v>0</v>
      </c>
    </row>
    <row r="65" spans="1:5">
      <c r="A65" s="2" t="s">
        <v>53</v>
      </c>
      <c r="B65" s="2" t="s">
        <v>54</v>
      </c>
      <c r="C65" s="2" t="b">
        <f>TRUE()</f>
        <v>1</v>
      </c>
      <c r="E65" s="2" t="b">
        <f>TRUE()</f>
        <v>1</v>
      </c>
    </row>
    <row r="66" spans="1:5">
      <c r="A66" s="2" t="s">
        <v>55</v>
      </c>
      <c r="B66" s="2" t="s">
        <v>267</v>
      </c>
      <c r="C66" s="2" t="b">
        <f>FALSE()</f>
        <v>0</v>
      </c>
      <c r="E66" s="2" t="b">
        <f>FALSE()</f>
        <v>0</v>
      </c>
    </row>
    <row r="67" spans="1:5">
      <c r="A67" s="2" t="s">
        <v>57</v>
      </c>
      <c r="B67" s="2" t="s">
        <v>268</v>
      </c>
      <c r="C67" s="2" t="b">
        <f>FALSE()</f>
        <v>0</v>
      </c>
      <c r="E67" s="2" t="b">
        <f>FALSE()</f>
        <v>0</v>
      </c>
    </row>
    <row r="68" spans="1:5">
      <c r="A68" s="2" t="s">
        <v>59</v>
      </c>
      <c r="B68" s="2" t="s">
        <v>269</v>
      </c>
      <c r="C68" s="2" t="b">
        <f>FALSE()</f>
        <v>0</v>
      </c>
      <c r="E68" s="2" t="b">
        <f>FALSE()</f>
        <v>0</v>
      </c>
    </row>
    <row r="69" spans="1:5">
      <c r="A69" s="2" t="s">
        <v>61</v>
      </c>
      <c r="B69" s="2" t="s">
        <v>62</v>
      </c>
      <c r="C69" s="2" t="b">
        <f>TRUE()</f>
        <v>1</v>
      </c>
      <c r="E69" s="2" t="b">
        <f>TRUE()</f>
        <v>1</v>
      </c>
    </row>
    <row r="70" spans="1:5">
      <c r="A70" s="2" t="s">
        <v>63</v>
      </c>
      <c r="B70" s="2" t="s">
        <v>270</v>
      </c>
      <c r="C70" s="2" t="b">
        <f>FALSE()</f>
        <v>0</v>
      </c>
      <c r="E70" s="2" t="b">
        <f>FALSE()</f>
        <v>0</v>
      </c>
    </row>
    <row r="71" spans="1:5">
      <c r="A71" s="2" t="s">
        <v>65</v>
      </c>
      <c r="B71" s="2" t="s">
        <v>54</v>
      </c>
      <c r="C71" s="2" t="b">
        <f>TRUE()</f>
        <v>1</v>
      </c>
      <c r="E71" s="2" t="b">
        <f>TRUE()</f>
        <v>1</v>
      </c>
    </row>
    <row r="72" spans="1:5">
      <c r="A72" s="2" t="s">
        <v>66</v>
      </c>
      <c r="B72" s="2" t="s">
        <v>271</v>
      </c>
      <c r="C72" s="2" t="b">
        <f>FALSE()</f>
        <v>0</v>
      </c>
      <c r="E72" s="2" t="b">
        <f>FALSE()</f>
        <v>0</v>
      </c>
    </row>
    <row r="73" spans="1:5">
      <c r="A73" s="2" t="s">
        <v>68</v>
      </c>
      <c r="B73" s="2" t="s">
        <v>69</v>
      </c>
      <c r="C73" s="2" t="b">
        <f>FALSE()</f>
        <v>0</v>
      </c>
      <c r="E73" s="2" t="b">
        <f>FALSE()</f>
        <v>0</v>
      </c>
    </row>
    <row r="74" spans="1:5">
      <c r="A74" s="2" t="s">
        <v>70</v>
      </c>
      <c r="B74" s="2" t="s">
        <v>272</v>
      </c>
      <c r="C74" s="2" t="b">
        <f>FALSE()</f>
        <v>0</v>
      </c>
      <c r="E74" s="2" t="b">
        <f>FALSE()</f>
        <v>0</v>
      </c>
    </row>
    <row r="75" spans="1:5">
      <c r="A75" s="2" t="s">
        <v>72</v>
      </c>
      <c r="B75" s="2" t="s">
        <v>73</v>
      </c>
      <c r="C75" s="2" t="b">
        <f>TRUE()</f>
        <v>1</v>
      </c>
      <c r="E75" s="2" t="b">
        <f>TRUE()</f>
        <v>1</v>
      </c>
    </row>
    <row r="76" spans="1:5">
      <c r="A76" s="2" t="s">
        <v>74</v>
      </c>
      <c r="B76" s="2" t="s">
        <v>120</v>
      </c>
      <c r="C76" s="2" t="b">
        <f>FALSE()</f>
        <v>0</v>
      </c>
      <c r="E76" s="2" t="b">
        <f>FALSE()</f>
        <v>0</v>
      </c>
    </row>
    <row r="77" spans="1:5">
      <c r="A77" s="2" t="s">
        <v>76</v>
      </c>
      <c r="B77" s="2" t="s">
        <v>54</v>
      </c>
      <c r="C77" s="2" t="b">
        <f>TRUE()</f>
        <v>1</v>
      </c>
      <c r="E77" s="2" t="b">
        <f>TRUE()</f>
        <v>1</v>
      </c>
    </row>
    <row r="78" spans="1:5">
      <c r="A78" s="2" t="s">
        <v>77</v>
      </c>
      <c r="B78" s="2" t="s">
        <v>273</v>
      </c>
      <c r="C78" s="2" t="b">
        <f>FALSE()</f>
        <v>0</v>
      </c>
      <c r="E78" s="2" t="b">
        <f>FALSE()</f>
        <v>0</v>
      </c>
    </row>
    <row r="79" spans="1:5">
      <c r="A79" s="2" t="s">
        <v>79</v>
      </c>
      <c r="B79" s="2" t="s">
        <v>80</v>
      </c>
      <c r="C79" s="2" t="b">
        <f>FALSE()</f>
        <v>0</v>
      </c>
      <c r="E79" s="2" t="b">
        <f>FALSE()</f>
        <v>0</v>
      </c>
    </row>
    <row r="80" spans="1:5">
      <c r="A80" s="2" t="s">
        <v>122</v>
      </c>
      <c r="B80" s="2" t="s">
        <v>133</v>
      </c>
      <c r="C80" s="2" t="b">
        <f>FALSE()</f>
        <v>0</v>
      </c>
      <c r="E80" s="2" t="b">
        <f>FALSE()</f>
        <v>0</v>
      </c>
    </row>
    <row r="81" spans="1:5">
      <c r="A81" s="2" t="s">
        <v>124</v>
      </c>
      <c r="B81" s="2" t="s">
        <v>274</v>
      </c>
      <c r="C81" s="2" t="s">
        <v>2</v>
      </c>
      <c r="D81" s="2" t="s">
        <v>275</v>
      </c>
      <c r="E81" s="2" t="s">
        <v>2</v>
      </c>
    </row>
    <row r="82" spans="1:5">
      <c r="A82" s="2" t="s">
        <v>126</v>
      </c>
      <c r="B82" s="2" t="s">
        <v>276</v>
      </c>
      <c r="C82" s="2" t="b">
        <f>FALSE()</f>
        <v>0</v>
      </c>
      <c r="E82" s="2" t="b">
        <f>FALSE()</f>
        <v>0</v>
      </c>
    </row>
    <row r="83" spans="1:5">
      <c r="A83" s="2" t="s">
        <v>128</v>
      </c>
      <c r="B83" s="2" t="s">
        <v>54</v>
      </c>
      <c r="C83" s="2" t="b">
        <f>TRUE()</f>
        <v>1</v>
      </c>
      <c r="E83" s="2" t="b">
        <f>TRUE()</f>
        <v>1</v>
      </c>
    </row>
    <row r="84" spans="1:5">
      <c r="A84" s="2" t="s">
        <v>130</v>
      </c>
      <c r="B84" s="2" t="s">
        <v>277</v>
      </c>
      <c r="C84" s="2" t="b">
        <f>FALSE()</f>
        <v>0</v>
      </c>
      <c r="E84" s="2" t="b">
        <f>FALSE()</f>
        <v>0</v>
      </c>
    </row>
    <row r="85" spans="1:5">
      <c r="A85" s="2" t="s">
        <v>132</v>
      </c>
      <c r="B85" s="2" t="s">
        <v>278</v>
      </c>
      <c r="C85" s="2" t="b">
        <f>FALSE()</f>
        <v>0</v>
      </c>
      <c r="E85" s="2" t="b">
        <f>FALSE()</f>
        <v>0</v>
      </c>
    </row>
    <row r="86" spans="1:5">
      <c r="A86" s="2" t="s">
        <v>134</v>
      </c>
      <c r="B86" s="2" t="s">
        <v>135</v>
      </c>
      <c r="C86" s="2" t="b">
        <f>FALSE()</f>
        <v>0</v>
      </c>
      <c r="E86" s="2" t="b">
        <f>FALSE()</f>
        <v>0</v>
      </c>
    </row>
    <row r="87" spans="1:5">
      <c r="A87" s="2" t="s">
        <v>136</v>
      </c>
      <c r="B87" s="2" t="s">
        <v>137</v>
      </c>
      <c r="C87" s="2" t="b">
        <f>TRUE()</f>
        <v>1</v>
      </c>
      <c r="E87" s="2" t="b">
        <f>TRUE()</f>
        <v>1</v>
      </c>
    </row>
    <row r="88" spans="1:5">
      <c r="A88" s="2" t="s">
        <v>138</v>
      </c>
      <c r="B88" s="2" t="s">
        <v>139</v>
      </c>
      <c r="C88" s="2" t="b">
        <f>FALSE()</f>
        <v>0</v>
      </c>
      <c r="E88" s="2" t="b">
        <f>FALSE()</f>
        <v>0</v>
      </c>
    </row>
    <row r="89" spans="1:5">
      <c r="A89" s="2" t="s">
        <v>140</v>
      </c>
      <c r="B89" s="2" t="s">
        <v>54</v>
      </c>
      <c r="C89" s="2" t="b">
        <f>TRUE()</f>
        <v>1</v>
      </c>
      <c r="E89" s="2" t="b">
        <f>TRUE()</f>
        <v>1</v>
      </c>
    </row>
    <row r="90" spans="1:5">
      <c r="A90" s="2" t="s">
        <v>141</v>
      </c>
      <c r="B90" s="2" t="s">
        <v>279</v>
      </c>
      <c r="C90" s="2" t="b">
        <f>FALSE()</f>
        <v>0</v>
      </c>
      <c r="E90" s="2" t="b">
        <f>FALSE()</f>
        <v>0</v>
      </c>
    </row>
    <row r="91" spans="1:5">
      <c r="A91" s="2" t="s">
        <v>143</v>
      </c>
      <c r="B91" s="2" t="s">
        <v>280</v>
      </c>
      <c r="C91" s="2" t="b">
        <f>FALSE()</f>
        <v>0</v>
      </c>
      <c r="E91" s="2" t="b">
        <f>FALSE()</f>
        <v>0</v>
      </c>
    </row>
    <row r="92" spans="1:5">
      <c r="A92" s="2" t="s">
        <v>194</v>
      </c>
      <c r="B92" s="2" t="s">
        <v>204</v>
      </c>
      <c r="C92" s="2" t="b">
        <f>FALSE()</f>
        <v>0</v>
      </c>
      <c r="E92" s="2" t="b">
        <f>FALSE()</f>
        <v>0</v>
      </c>
    </row>
    <row r="93" spans="1:5">
      <c r="A93" s="2" t="s">
        <v>196</v>
      </c>
      <c r="B93" s="2" t="s">
        <v>197</v>
      </c>
      <c r="C93" s="2" t="b">
        <f>TRUE()</f>
        <v>1</v>
      </c>
      <c r="E93" s="2" t="b">
        <f>TRUE()</f>
        <v>1</v>
      </c>
    </row>
    <row r="94" spans="1:5">
      <c r="A94" s="2" t="s">
        <v>198</v>
      </c>
      <c r="B94" s="2" t="s">
        <v>281</v>
      </c>
      <c r="C94" s="2" t="b">
        <f>FALSE()</f>
        <v>0</v>
      </c>
      <c r="E94" s="2" t="b">
        <f>FALSE()</f>
        <v>0</v>
      </c>
    </row>
    <row r="95" spans="1:5">
      <c r="A95" s="2" t="s">
        <v>200</v>
      </c>
      <c r="B95" s="2" t="s">
        <v>54</v>
      </c>
      <c r="C95" s="2" t="b">
        <f>TRUE()</f>
        <v>1</v>
      </c>
      <c r="E95" s="2" t="b">
        <f>TRUE()</f>
        <v>1</v>
      </c>
    </row>
    <row r="96" spans="1:5">
      <c r="A96" s="2" t="s">
        <v>201</v>
      </c>
      <c r="B96" s="2" t="s">
        <v>282</v>
      </c>
      <c r="C96" s="2" t="b">
        <f>FALSE()</f>
        <v>0</v>
      </c>
      <c r="E96" s="2" t="b">
        <f>FALSE()</f>
        <v>0</v>
      </c>
    </row>
    <row r="97" spans="1:5">
      <c r="A97" s="2" t="s">
        <v>203</v>
      </c>
      <c r="B97" s="2" t="s">
        <v>283</v>
      </c>
      <c r="C97" s="2" t="b">
        <f>FALSE()</f>
        <v>0</v>
      </c>
      <c r="E97" s="2" t="b">
        <f>FALSE()</f>
        <v>0</v>
      </c>
    </row>
    <row r="98" spans="1:5">
      <c r="A98" s="2" t="s">
        <v>205</v>
      </c>
      <c r="B98" s="2" t="s">
        <v>284</v>
      </c>
      <c r="C98" s="2" t="b">
        <f>FALSE()</f>
        <v>0</v>
      </c>
      <c r="E98" s="2" t="b">
        <f>FALSE()</f>
        <v>0</v>
      </c>
    </row>
    <row r="99" spans="1:5">
      <c r="A99" s="2" t="s">
        <v>207</v>
      </c>
      <c r="B99" s="2" t="s">
        <v>208</v>
      </c>
      <c r="C99" s="2" t="b">
        <f>TRUE()</f>
        <v>1</v>
      </c>
      <c r="E99" s="2" t="b">
        <f>TRUE()</f>
        <v>1</v>
      </c>
    </row>
    <row r="100" spans="1:5">
      <c r="A100" s="2" t="s">
        <v>209</v>
      </c>
      <c r="B100" s="2" t="s">
        <v>285</v>
      </c>
      <c r="C100" s="2" t="b">
        <f>FALSE()</f>
        <v>0</v>
      </c>
      <c r="E100" s="2" t="b">
        <f>FALSE()</f>
        <v>0</v>
      </c>
    </row>
    <row r="101" spans="1:5">
      <c r="A101" s="2" t="s">
        <v>211</v>
      </c>
      <c r="B101" s="2" t="s">
        <v>54</v>
      </c>
      <c r="C101" s="2" t="b">
        <f>TRUE()</f>
        <v>1</v>
      </c>
      <c r="E101" s="2" t="b">
        <f>TRUE()</f>
        <v>1</v>
      </c>
    </row>
    <row r="102" spans="1:5">
      <c r="A102" s="2" t="s">
        <v>212</v>
      </c>
      <c r="B102" s="2" t="s">
        <v>286</v>
      </c>
      <c r="C102" s="2" t="b">
        <f>FALSE()</f>
        <v>0</v>
      </c>
      <c r="E102" s="2" t="b">
        <f>FALSE()</f>
        <v>0</v>
      </c>
    </row>
    <row r="103" spans="1:5">
      <c r="A103" s="2" t="s">
        <v>214</v>
      </c>
      <c r="B103" s="2" t="s">
        <v>215</v>
      </c>
      <c r="C103" s="2" t="b">
        <f>FALSE()</f>
        <v>0</v>
      </c>
      <c r="E103" s="2" t="b">
        <f>FALSE()</f>
        <v>0</v>
      </c>
    </row>
    <row r="104" spans="1:5">
      <c r="A104" s="2" t="s">
        <v>287</v>
      </c>
      <c r="B104" s="2" t="s">
        <v>288</v>
      </c>
      <c r="C104" s="2" t="b">
        <f>FALSE()</f>
        <v>0</v>
      </c>
      <c r="E104" s="2" t="b">
        <f>FALSE()</f>
        <v>0</v>
      </c>
    </row>
    <row r="105" spans="1:5">
      <c r="A105" s="2" t="s">
        <v>289</v>
      </c>
      <c r="B105" s="2" t="s">
        <v>290</v>
      </c>
      <c r="C105" s="2" t="b">
        <f>TRUE()</f>
        <v>1</v>
      </c>
      <c r="E105" s="2" t="b">
        <f>TRUE()</f>
        <v>1</v>
      </c>
    </row>
    <row r="106" spans="1:5">
      <c r="A106" s="2" t="s">
        <v>291</v>
      </c>
      <c r="B106" s="2" t="s">
        <v>292</v>
      </c>
      <c r="C106" s="2" t="b">
        <f>FALSE()</f>
        <v>0</v>
      </c>
      <c r="E106" s="2" t="b">
        <f>FALSE()</f>
        <v>0</v>
      </c>
    </row>
    <row r="107" spans="1:5">
      <c r="A107" s="2" t="s">
        <v>293</v>
      </c>
      <c r="B107" s="2" t="s">
        <v>54</v>
      </c>
      <c r="C107" s="2" t="b">
        <f>TRUE()</f>
        <v>1</v>
      </c>
      <c r="E107" s="2" t="b">
        <f>TRUE()</f>
        <v>1</v>
      </c>
    </row>
    <row r="108" spans="1:5">
      <c r="A108" s="2" t="s">
        <v>294</v>
      </c>
      <c r="B108" s="2" t="s">
        <v>295</v>
      </c>
      <c r="C108" s="2" t="b">
        <f>FALSE()</f>
        <v>0</v>
      </c>
      <c r="E108" s="2" t="b">
        <f>FALSE()</f>
        <v>0</v>
      </c>
    </row>
    <row r="109" spans="1:5">
      <c r="A109" s="2" t="s">
        <v>296</v>
      </c>
      <c r="B109" s="2" t="s">
        <v>297</v>
      </c>
      <c r="C109" s="2" t="b">
        <f>FALSE()</f>
        <v>0</v>
      </c>
      <c r="E109" s="2" t="b">
        <f>FALSE()</f>
        <v>0</v>
      </c>
    </row>
    <row r="110" spans="1:5">
      <c r="A110" s="2" t="s">
        <v>298</v>
      </c>
      <c r="B110" s="2" t="s">
        <v>299</v>
      </c>
      <c r="C110" s="2" t="b">
        <f>FALSE()</f>
        <v>0</v>
      </c>
      <c r="E110" s="2" t="b">
        <f>FALSE()</f>
        <v>0</v>
      </c>
    </row>
    <row r="111" spans="1:5">
      <c r="A111" s="2" t="s">
        <v>300</v>
      </c>
      <c r="B111" s="2" t="s">
        <v>301</v>
      </c>
      <c r="C111" s="2" t="b">
        <f>TRUE()</f>
        <v>1</v>
      </c>
      <c r="E111" s="2" t="b">
        <f>TRUE()</f>
        <v>1</v>
      </c>
    </row>
    <row r="112" spans="1:5">
      <c r="A112" s="2" t="s">
        <v>302</v>
      </c>
      <c r="B112" s="2" t="s">
        <v>303</v>
      </c>
      <c r="C112" s="2" t="b">
        <f>FALSE()</f>
        <v>0</v>
      </c>
      <c r="E112" s="2" t="b">
        <f>FALSE()</f>
        <v>0</v>
      </c>
    </row>
    <row r="113" spans="1:5">
      <c r="A113" s="2" t="s">
        <v>304</v>
      </c>
      <c r="B113" s="2" t="s">
        <v>54</v>
      </c>
      <c r="C113" s="2" t="b">
        <f>TRUE()</f>
        <v>1</v>
      </c>
      <c r="E113" s="2" t="b">
        <f>TRUE()</f>
        <v>1</v>
      </c>
    </row>
    <row r="114" spans="1:5">
      <c r="A114" s="2" t="s">
        <v>305</v>
      </c>
      <c r="B114" s="2" t="s">
        <v>306</v>
      </c>
      <c r="C114" s="2" t="b">
        <f>FALSE()</f>
        <v>0</v>
      </c>
      <c r="E114" s="2" t="b">
        <f>FALSE()</f>
        <v>0</v>
      </c>
    </row>
    <row r="115" spans="1:5">
      <c r="A115" s="2" t="s">
        <v>307</v>
      </c>
      <c r="B115" s="2" t="s">
        <v>26</v>
      </c>
      <c r="C115" s="2" t="b">
        <f>FALSE()</f>
        <v>0</v>
      </c>
      <c r="E115" s="2" t="b">
        <f>FALSE()</f>
        <v>0</v>
      </c>
    </row>
    <row r="116" spans="1:5">
      <c r="A116" s="2" t="s">
        <v>308</v>
      </c>
      <c r="B116" s="2" t="s">
        <v>309</v>
      </c>
      <c r="C116" s="2" t="b">
        <f>FALSE()</f>
        <v>0</v>
      </c>
      <c r="E116" s="2" t="b">
        <f>FALSE()</f>
        <v>0</v>
      </c>
    </row>
    <row r="117" spans="1:5">
      <c r="A117" s="2" t="s">
        <v>310</v>
      </c>
      <c r="B117" s="2" t="s">
        <v>311</v>
      </c>
      <c r="C117" s="2" t="b">
        <f>TRUE()</f>
        <v>1</v>
      </c>
      <c r="E117" s="2" t="b">
        <f>TRUE()</f>
        <v>1</v>
      </c>
    </row>
    <row r="118" spans="1:5">
      <c r="A118" s="2" t="s">
        <v>312</v>
      </c>
      <c r="B118" s="2" t="s">
        <v>313</v>
      </c>
      <c r="C118" s="2" t="b">
        <f>FALSE()</f>
        <v>0</v>
      </c>
      <c r="E118" s="2" t="b">
        <f>FALSE()</f>
        <v>0</v>
      </c>
    </row>
    <row r="119" spans="1:5">
      <c r="A119" s="2" t="s">
        <v>314</v>
      </c>
      <c r="B119" s="2" t="s">
        <v>54</v>
      </c>
      <c r="C119" s="2" t="b">
        <f>TRUE()</f>
        <v>1</v>
      </c>
      <c r="E119" s="2" t="b">
        <f>TRUE()</f>
        <v>1</v>
      </c>
    </row>
    <row r="120" spans="1:5">
      <c r="A120" s="2" t="s">
        <v>315</v>
      </c>
      <c r="B120" s="2" t="s">
        <v>316</v>
      </c>
      <c r="C120" s="2" t="b">
        <f>FALSE()</f>
        <v>0</v>
      </c>
      <c r="E120" s="2" t="b">
        <f>FALSE()</f>
        <v>0</v>
      </c>
    </row>
    <row r="121" spans="1:5">
      <c r="A121" s="2" t="s">
        <v>317</v>
      </c>
      <c r="B121" s="2" t="s">
        <v>318</v>
      </c>
      <c r="C121" s="2" t="b">
        <f>FALSE()</f>
        <v>0</v>
      </c>
      <c r="E121" s="2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2</cp:revision>
  <dcterms:created xsi:type="dcterms:W3CDTF">2026-04-28T08:41:20Z</dcterms:created>
  <dcterms:modified xsi:type="dcterms:W3CDTF">2026-09-16T12:27:17Z</dcterms:modified>
  <cp:category/>
  <cp:contentStatus/>
</cp:coreProperties>
</file>