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5" documentId="11_5885C50B2A569B2D2AEE2A5E8C9D1661A696A04C" xr6:coauthVersionLast="47" xr6:coauthVersionMax="47" xr10:uidLastSave="{23B2B3D0-DF97-402B-AA07-284129FCE32D}"/>
  <bookViews>
    <workbookView xWindow="0" yWindow="0" windowWidth="16384" windowHeight="8192" tabRatio="500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B23" i="5" l="1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<sst xmlns="http://schemas.openxmlformats.org/spreadsheetml/2006/main" count="255" uniqueCount="115">
  <si>
    <t>people6</t>
  </si>
  <si>
    <t>people10</t>
  </si>
  <si>
    <t>half true</t>
  </si>
  <si>
    <t>N</t>
  </si>
  <si>
    <t>Po</t>
  </si>
  <si>
    <t>Pe</t>
  </si>
  <si>
    <t>Kappa</t>
  </si>
  <si>
    <t>people14</t>
  </si>
  <si>
    <t>people20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</si>
  <si>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</si>
  <si>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</si>
  <si>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</si>
  <si>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</si>
  <si>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</si>
  <si>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</si>
  <si>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</si>
  <si>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I don't have information about Saša Škrtić's first name.</t>
  </si>
  <si>
    <t>What is Saša Škrtić's last name?</t>
  </si>
  <si>
    <t>Škrtić.</t>
  </si>
  <si>
    <t>What is Duje Ravlić's first name?</t>
  </si>
  <si>
    <t>Duje.</t>
  </si>
  <si>
    <t>What is Duje Ravlić's last name?</t>
  </si>
  <si>
    <t>Ravlić.</t>
  </si>
  <si>
    <t>What is Eduard Tutić's first name?</t>
  </si>
  <si>
    <t>I don't have information about a person named Eduard Tutić.</t>
  </si>
  <si>
    <t>What is Eduard Tutić's last name?</t>
  </si>
  <si>
    <t>Tutić.</t>
  </si>
  <si>
    <t>What is Jagoda Draženović's first name?</t>
  </si>
  <si>
    <t>Jagoda's first name is Draženović, but I couldn't find any information about</t>
  </si>
  <si>
    <t>What is Jagoda Draženović's last name?</t>
  </si>
  <si>
    <t>Draženović.</t>
  </si>
  <si>
    <t>What is Monika Rimac's first name?</t>
  </si>
  <si>
    <t>I couldn't find any information on a person named Monika Rimac.</t>
  </si>
  <si>
    <t>What is Monika Rimac's last name?</t>
  </si>
  <si>
    <t>Rimac.</t>
  </si>
  <si>
    <t>What is Mia Popić's first name?</t>
  </si>
  <si>
    <t>I couldn't find any information on a person named Mia Popić.</t>
  </si>
  <si>
    <t>What is Mia Popić's last name?</t>
  </si>
  <si>
    <t>Popić.</t>
  </si>
  <si>
    <t>I don't have information on a person named Saša Škrtić.</t>
  </si>
  <si>
    <t>I don't have information on an individual named Eduard Tutić.</t>
  </si>
  <si>
    <t>What is Zoran Goreta's first name?</t>
  </si>
  <si>
    <t>I couldn't find any information on a person named Zoran Goreta.</t>
  </si>
  <si>
    <t>What is Zoran Goreta's last name?</t>
  </si>
  <si>
    <t>What is Ivo Čelina's first name?</t>
  </si>
  <si>
    <t>I don't have information about Ivo Čelina's first name.</t>
  </si>
  <si>
    <t>What is Ivo Čelina's last name?</t>
  </si>
  <si>
    <t>Čelina.</t>
  </si>
  <si>
    <t>Jagoda's first name is Draženović</t>
  </si>
  <si>
    <t>Monika.</t>
  </si>
  <si>
    <t>I couldn't find any information on Mia Popić.</t>
  </si>
  <si>
    <t>What is Nada Sudar's first name?</t>
  </si>
  <si>
    <t>I couldn't find any information on a person named Nada Sudar.</t>
  </si>
  <si>
    <t>What is Nada Sudar's last name?</t>
  </si>
  <si>
    <t>Sudar's last name is not explicitly mentioned, but I found that Nada Sudar is</t>
  </si>
  <si>
    <t>What is Mirjam Devčić's first name?</t>
  </si>
  <si>
    <t>I couldn't find any information on a person named Mirjam Devčić.</t>
  </si>
  <si>
    <t>What is Mirjam Devčić's last name?</t>
  </si>
  <si>
    <t>Devčić.</t>
  </si>
  <si>
    <t>I couldn't find any information about a person named Saša Škrtić.</t>
  </si>
  <si>
    <t>I couldn't find any information on a person named Eduard Tutić.</t>
  </si>
  <si>
    <t>Goreta.</t>
  </si>
  <si>
    <t>I don't have information on Ivo Čelina.</t>
  </si>
  <si>
    <t>What is Gordan Lucić's first name?</t>
  </si>
  <si>
    <t>I couldn't find any information on a person named Gordan Lucić.</t>
  </si>
  <si>
    <t>What is Gordan Lucić's last name?</t>
  </si>
  <si>
    <t>Gordan Lucić's last name is Lucić.</t>
  </si>
  <si>
    <t>What is Ljubomir Jurišić's first name?</t>
  </si>
  <si>
    <t>I couldn't find any information on a person named Ljubomir Jurišić.</t>
  </si>
  <si>
    <t>What is Ljubomir Jurišić's last name?</t>
  </si>
  <si>
    <t>Jurišić.</t>
  </si>
  <si>
    <t>Sudar's last name is not explicitly mentioned.</t>
  </si>
  <si>
    <t>I don't have information on Mirjam Devčić.</t>
  </si>
  <si>
    <t>What is Lea Grubić's first name?</t>
  </si>
  <si>
    <t>I couldn't find any information on a person named Lea Grubić.</t>
  </si>
  <si>
    <t>What is Lea Grubić's last name?</t>
  </si>
  <si>
    <t>Grubić.</t>
  </si>
  <si>
    <t>What is Antonija Salinović's first name?</t>
  </si>
  <si>
    <t>I couldn't find any information on a person named Antonija Salinović.</t>
  </si>
  <si>
    <t>What is Antonija Salinović's last name?</t>
  </si>
  <si>
    <t>Salinović.</t>
  </si>
  <si>
    <t>I don't have that information.</t>
  </si>
  <si>
    <t>Ivo.</t>
  </si>
  <si>
    <t>Lucić.</t>
  </si>
  <si>
    <t>I don't have information on a person named Ljubomir Jurišić.</t>
  </si>
  <si>
    <t>What is Vladimir Svalina's first name?</t>
  </si>
  <si>
    <t>I couldn't find any information on a person named Vladimir Svalina.</t>
  </si>
  <si>
    <t>What is Vladimir Svalina's last name?</t>
  </si>
  <si>
    <t>Svalina.</t>
  </si>
  <si>
    <t>What is Tomislav Šoštarić's first name?</t>
  </si>
  <si>
    <t>Tomislav.</t>
  </si>
  <si>
    <t>What is Tomislav Šoštarić's last name?</t>
  </si>
  <si>
    <t>Šoštarić.</t>
  </si>
  <si>
    <t>What is Nikola Prelošnjak's first name?</t>
  </si>
  <si>
    <t>I couldn't find any information on a person named Nikola Prelošnjak.</t>
  </si>
  <si>
    <t>What is Nikola Prelošnjak's last name?</t>
  </si>
  <si>
    <t>Prelošnjak.</t>
  </si>
  <si>
    <t>Jagoda is her last name.</t>
  </si>
  <si>
    <t>I don't have information about a person named Monika Rimac.</t>
  </si>
  <si>
    <t>I don't have information on Mia Popić's first name.</t>
  </si>
  <si>
    <t>Nada Sudar's first name is Nada.</t>
  </si>
  <si>
    <t>Sudar's last name is Nada.</t>
  </si>
  <si>
    <t>I couldn't find any information about a person named Lea Grubić.</t>
  </si>
  <si>
    <t>What is Cvijeta Svetličić's first name?</t>
  </si>
  <si>
    <t>I couldn't find any information on a person named Cvijeta Svetličić.</t>
  </si>
  <si>
    <t>What is Cvijeta Svetličić's last name?</t>
  </si>
  <si>
    <t>Svetličić.</t>
  </si>
  <si>
    <t>What is Irena Jurilj's first name?</t>
  </si>
  <si>
    <t>Irena</t>
  </si>
  <si>
    <t>What is Irena Jurilj's last name?</t>
  </si>
  <si>
    <t>Jurilj.</t>
  </si>
  <si>
    <t>What is Stela Mišković's first name?</t>
  </si>
  <si>
    <t>I couldn't find any information on a person named Stela Mišković.</t>
  </si>
  <si>
    <t>What is Stela Mišković's last name?</t>
  </si>
  <si>
    <t>Mišković.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</si>
</sst>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B3FD-2FF4-42B5-857A-F27ABDE1AB03}">
  <dimension ref="A1:I29"/>
  <sheetViews>
    <sheetView tabSelected="1" workbookViewId="0">
      <selection sqref="A1:I29"/>
    </sheetView>
  </sheetViews>
  <sheetFormatPr defaultRowHeight="15"/>
  <sheetData>
    <row r="1" spans="1:9">
      <c r="A1" t="s">
        <v>0</v>
      </c>
      <c r="F1" t="s">
        <v>1</v>
      </c>
    </row>
    <row r="2" spans="1:9">
      <c r="B2" t="b">
        <v>1</v>
      </c>
      <c r="C2" t="b">
        <v>0</v>
      </c>
      <c r="D2" t="s">
        <v>2</v>
      </c>
      <c r="G2" t="b">
        <v>1</v>
      </c>
      <c r="H2" t="b">
        <v>0</v>
      </c>
      <c r="I2" t="s">
        <v>2</v>
      </c>
    </row>
    <row r="3" spans="1:9">
      <c r="A3" t="b">
        <v>1</v>
      </c>
      <c r="B3">
        <f ca="1">COUNTIFS(INDIRECT(A1 &amp; "!$C$2:$C$86"),TRUE, INDIRECT(A1 &amp; "!$E$2:$E$86"),TRUE)</f>
        <v>7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10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</row>
    <row r="4" spans="1:9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5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10</v>
      </c>
      <c r="I4">
        <f ca="1">COUNTIFS(INDIRECT(F1 &amp; "!$C$2:$C$86"),FALSE, INDIRECT(F1 &amp; "!$E$2:$E$86"),"half true")</f>
        <v>0</v>
      </c>
    </row>
    <row r="5" spans="1:9">
      <c r="A5" t="s">
        <v>2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2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9">
      <c r="A6" t="s">
        <v>3</v>
      </c>
      <c r="B6">
        <f ca="1">SUM(B3:D5)</f>
        <v>12</v>
      </c>
      <c r="F6" t="s">
        <v>3</v>
      </c>
      <c r="G6">
        <f ca="1">SUM(G3:I5)</f>
        <v>20</v>
      </c>
    </row>
    <row r="7" spans="1:9">
      <c r="A7" t="s">
        <v>4</v>
      </c>
      <c r="B7">
        <f ca="1">(B3+C4+D5)/B6</f>
        <v>1</v>
      </c>
      <c r="F7" t="s">
        <v>4</v>
      </c>
      <c r="G7">
        <f ca="1">(G3+H4+I5)/G6</f>
        <v>1</v>
      </c>
    </row>
    <row r="8" spans="1:9">
      <c r="A8" t="s">
        <v>5</v>
      </c>
      <c r="B8">
        <f ca="1">((SUM(B3:D3)*SUM(B3:B5))+(SUM(B4:D4)*SUM(C3:C5))+(SUM(B5:D5)*SUM(D3:D5)))/(B6^2)</f>
        <v>0.51388888888888884</v>
      </c>
      <c r="F8" t="s">
        <v>5</v>
      </c>
      <c r="G8">
        <f ca="1">((SUM(G3:I3)*SUM(G3:G5))+(SUM(G4:I4)*SUM(H3:H5))+(SUM(G5:I5)*SUM(I3:I5)))/(G6^2)</f>
        <v>0.5</v>
      </c>
    </row>
    <row r="9" spans="1:9">
      <c r="A9" t="s">
        <v>6</v>
      </c>
      <c r="B9">
        <f ca="1">(B7-B8)/(1-B8)</f>
        <v>1</v>
      </c>
      <c r="F9" t="s">
        <v>6</v>
      </c>
      <c r="G9">
        <f ca="1">(G7-G8)/(1-G8)</f>
        <v>1</v>
      </c>
    </row>
    <row r="11" spans="1:9">
      <c r="A11" t="s">
        <v>7</v>
      </c>
      <c r="F11" t="s">
        <v>8</v>
      </c>
    </row>
    <row r="12" spans="1:9">
      <c r="B12" t="b">
        <v>1</v>
      </c>
      <c r="C12" t="b">
        <v>0</v>
      </c>
      <c r="D12" t="s">
        <v>2</v>
      </c>
      <c r="G12" t="b">
        <v>1</v>
      </c>
      <c r="H12" t="b">
        <v>0</v>
      </c>
      <c r="I12" t="s">
        <v>2</v>
      </c>
    </row>
    <row r="13" spans="1:9">
      <c r="A13" t="b">
        <v>1</v>
      </c>
      <c r="B13">
        <f ca="1">COUNTIFS(INDIRECT(A11 &amp; "!$C$2:$C$86"),TRUE, INDIRECT(A11 &amp; "!$E$2:$E$86"),TRUE)</f>
        <v>15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24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9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13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16</v>
      </c>
      <c r="I14">
        <f ca="1">COUNTIFS(INDIRECT(F11 &amp; "!$C$2:$C$121"),FALSE, INDIRECT(F11 &amp; "!$E$2:$E$121"),"half true")</f>
        <v>0</v>
      </c>
    </row>
    <row r="15" spans="1:9">
      <c r="A15" t="s">
        <v>2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2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9">
      <c r="A16" t="s">
        <v>3</v>
      </c>
      <c r="B16">
        <f ca="1">SUM(B13:D15)</f>
        <v>28</v>
      </c>
      <c r="F16" t="s">
        <v>3</v>
      </c>
      <c r="G16">
        <f ca="1">SUM(G13:I15)</f>
        <v>40</v>
      </c>
    </row>
    <row r="17" spans="1:7">
      <c r="A17" t="s">
        <v>4</v>
      </c>
      <c r="B17">
        <f ca="1">(B13+C14+D15)/B16</f>
        <v>1</v>
      </c>
      <c r="F17" t="s">
        <v>4</v>
      </c>
      <c r="G17">
        <f ca="1">(G13+H14+I15)/G16</f>
        <v>1</v>
      </c>
    </row>
    <row r="18" spans="1:7">
      <c r="A18" t="s">
        <v>5</v>
      </c>
      <c r="B18">
        <f ca="1">((SUM(B13:D13)*SUM(B13:B15))+(SUM(B14:D14)*SUM(C13:C15))+(SUM(B15:D15)*SUM(D13:D15)))/(B16^2)</f>
        <v>0.50255102040816324</v>
      </c>
      <c r="F18" t="s">
        <v>5</v>
      </c>
      <c r="G18">
        <f ca="1">((SUM(G13:I13)*SUM(G13:G15))+(SUM(G14:I14)*SUM(H13:H15))+(SUM(G15:I15)*SUM(I13:I15)))/(G16^2)</f>
        <v>0.52</v>
      </c>
    </row>
    <row r="19" spans="1:7">
      <c r="A19" t="s">
        <v>6</v>
      </c>
      <c r="B19">
        <f ca="1">(B17-B18)/(1-B18)</f>
        <v>1</v>
      </c>
      <c r="F19" t="s">
        <v>6</v>
      </c>
      <c r="G19">
        <f ca="1">(G17-G18)/(1-G18)</f>
        <v>1</v>
      </c>
    </row>
    <row r="21" spans="1:7">
      <c r="A21" t="s">
        <v>9</v>
      </c>
    </row>
    <row r="22" spans="1:7">
      <c r="B22" t="b">
        <v>1</v>
      </c>
      <c r="C22" t="b">
        <v>0</v>
      </c>
      <c r="D22" t="s">
        <v>2</v>
      </c>
    </row>
    <row r="23" spans="1:7">
      <c r="A23" t="b">
        <v>1</v>
      </c>
      <c r="B23">
        <f ca="1">B3+G3+B13+G13</f>
        <v>56</v>
      </c>
      <c r="C23">
        <f t="shared" ref="C23:D25" ca="1" si="0">C3+H3+C13+H13</f>
        <v>0</v>
      </c>
      <c r="D23">
        <f t="shared" ca="1" si="0"/>
        <v>0</v>
      </c>
    </row>
    <row r="24" spans="1:7">
      <c r="A24" t="b">
        <v>0</v>
      </c>
      <c r="B24">
        <f ca="1">B4+G4+B14+G14</f>
        <v>0</v>
      </c>
      <c r="C24">
        <f t="shared" ca="1" si="0"/>
        <v>44</v>
      </c>
      <c r="D24">
        <f t="shared" ca="1" si="0"/>
        <v>0</v>
      </c>
    </row>
    <row r="25" spans="1:7">
      <c r="A25" t="s">
        <v>2</v>
      </c>
      <c r="B25">
        <f ca="1">B5+G5+B15+G15</f>
        <v>0</v>
      </c>
      <c r="C25">
        <f t="shared" ca="1" si="0"/>
        <v>0</v>
      </c>
      <c r="D25">
        <f t="shared" ca="1" si="0"/>
        <v>0</v>
      </c>
    </row>
    <row r="26" spans="1:7">
      <c r="A26" t="s">
        <v>3</v>
      </c>
      <c r="B26">
        <f ca="1">SUM(B23:D25)</f>
        <v>100</v>
      </c>
    </row>
    <row r="27" spans="1:7">
      <c r="A27" t="s">
        <v>4</v>
      </c>
      <c r="B27">
        <f ca="1">(B23+C24+D25)/B26</f>
        <v>1</v>
      </c>
    </row>
    <row r="28" spans="1:7">
      <c r="A28" t="s">
        <v>5</v>
      </c>
      <c r="B28">
        <f ca="1">((SUM(B23:D23)*SUM(B23:B25))+(SUM(B24:D24)*SUM(C23:C25))+(SUM(B25:D25)*SUM(D23:D25)))/(B26^2)</f>
        <v>0.50719999999999998</v>
      </c>
    </row>
    <row r="29" spans="1:7">
      <c r="A29" t="s">
        <v>6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E1" sqref="E1"/>
    </sheetView>
  </sheetViews>
  <sheetFormatPr defaultColWidth="8.5703125" defaultRowHeight="15"/>
  <cols>
    <col min="1" max="1" width="36.140625" customWidth="1"/>
    <col min="2" max="2" width="66.28515625" customWidth="1"/>
    <col min="5" max="5" width="10.71093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27</v>
      </c>
      <c r="B8" t="s">
        <v>28</v>
      </c>
      <c r="C8" t="b">
        <f>FALSE()</f>
        <v>0</v>
      </c>
      <c r="E8" t="b">
        <f>FALSE()</f>
        <v>0</v>
      </c>
    </row>
    <row r="9" spans="1:5">
      <c r="A9" t="s">
        <v>29</v>
      </c>
      <c r="B9" t="s">
        <v>30</v>
      </c>
      <c r="C9" t="b">
        <f>TRUE()</f>
        <v>1</v>
      </c>
      <c r="E9" t="b">
        <f>TRUE()</f>
        <v>1</v>
      </c>
    </row>
    <row r="10" spans="1:5">
      <c r="A10" t="s">
        <v>31</v>
      </c>
      <c r="B10" t="s">
        <v>32</v>
      </c>
      <c r="C10" t="b">
        <f>FALSE()</f>
        <v>0</v>
      </c>
      <c r="E10" t="b">
        <f>FALSE()</f>
        <v>0</v>
      </c>
    </row>
    <row r="11" spans="1:5">
      <c r="A11" t="s">
        <v>33</v>
      </c>
      <c r="B11" t="s">
        <v>34</v>
      </c>
      <c r="C11" t="b">
        <f>TRUE()</f>
        <v>1</v>
      </c>
      <c r="E11" t="b">
        <f>TRUE()</f>
        <v>1</v>
      </c>
    </row>
    <row r="12" spans="1:5">
      <c r="A12" t="s">
        <v>35</v>
      </c>
      <c r="B12" t="s">
        <v>36</v>
      </c>
      <c r="C12" t="b">
        <f>FALSE()</f>
        <v>0</v>
      </c>
      <c r="E12" t="b">
        <f>FALSE()</f>
        <v>0</v>
      </c>
    </row>
    <row r="13" spans="1:5">
      <c r="A13" t="s">
        <v>37</v>
      </c>
      <c r="B13" t="s">
        <v>38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E1" sqref="E1"/>
    </sheetView>
  </sheetViews>
  <sheetFormatPr defaultColWidth="8.5703125" defaultRowHeight="15"/>
  <cols>
    <col min="1" max="1" width="38.5703125" customWidth="1"/>
    <col min="2" max="2" width="65.7109375" customWidth="1"/>
    <col min="5" max="5" width="11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39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40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42</v>
      </c>
      <c r="C9" t="b">
        <f>FALSE()</f>
        <v>0</v>
      </c>
      <c r="E9" t="b">
        <f>FALSE()</f>
        <v>0</v>
      </c>
    </row>
    <row r="10" spans="1:5">
      <c r="A10" t="s">
        <v>44</v>
      </c>
      <c r="B10" t="s">
        <v>45</v>
      </c>
      <c r="C10" t="b">
        <f>FALSE()</f>
        <v>0</v>
      </c>
      <c r="E10" t="b">
        <f>FALSE()</f>
        <v>0</v>
      </c>
    </row>
    <row r="11" spans="1:5">
      <c r="A11" t="s">
        <v>46</v>
      </c>
      <c r="B11" t="s">
        <v>47</v>
      </c>
      <c r="C11" t="b">
        <f>TRUE()</f>
        <v>1</v>
      </c>
      <c r="E11" t="b">
        <f>TRUE()</f>
        <v>1</v>
      </c>
    </row>
    <row r="12" spans="1:5">
      <c r="A12" t="s">
        <v>27</v>
      </c>
      <c r="B12" t="s">
        <v>48</v>
      </c>
      <c r="C12" t="b">
        <f>FALSE()</f>
        <v>0</v>
      </c>
      <c r="E12" t="b">
        <f>FALSE()</f>
        <v>0</v>
      </c>
    </row>
    <row r="13" spans="1:5">
      <c r="A13" t="s">
        <v>29</v>
      </c>
      <c r="B13" t="s">
        <v>30</v>
      </c>
      <c r="C13" t="b">
        <f>TRUE()</f>
        <v>1</v>
      </c>
      <c r="E13" t="b">
        <f>TRUE()</f>
        <v>1</v>
      </c>
    </row>
    <row r="14" spans="1:5">
      <c r="A14" t="s">
        <v>31</v>
      </c>
      <c r="B14" t="s">
        <v>49</v>
      </c>
      <c r="C14" t="b">
        <f>TRUE()</f>
        <v>1</v>
      </c>
      <c r="E14" t="b">
        <f>TRUE()</f>
        <v>1</v>
      </c>
    </row>
    <row r="15" spans="1:5">
      <c r="A15" t="s">
        <v>33</v>
      </c>
      <c r="B15" t="s">
        <v>34</v>
      </c>
      <c r="C15" t="b">
        <f>TRUE()</f>
        <v>1</v>
      </c>
      <c r="E15" t="b">
        <f>TRUE()</f>
        <v>1</v>
      </c>
    </row>
    <row r="16" spans="1:5">
      <c r="A16" t="s">
        <v>35</v>
      </c>
      <c r="B16" t="s">
        <v>50</v>
      </c>
      <c r="C16" t="b">
        <f>FALSE()</f>
        <v>0</v>
      </c>
      <c r="E16" t="b">
        <f>FALSE()</f>
        <v>0</v>
      </c>
    </row>
    <row r="17" spans="1:5">
      <c r="A17" t="s">
        <v>37</v>
      </c>
      <c r="B17" t="s">
        <v>38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52</v>
      </c>
      <c r="C18" t="b">
        <f>FALSE()</f>
        <v>0</v>
      </c>
      <c r="E18" t="b">
        <f>FALSE()</f>
        <v>0</v>
      </c>
    </row>
    <row r="19" spans="1:5">
      <c r="A19" t="s">
        <v>53</v>
      </c>
      <c r="B19" t="s">
        <v>54</v>
      </c>
      <c r="C19" t="b">
        <f>FALSE()</f>
        <v>0</v>
      </c>
      <c r="E19" t="b">
        <f>FALSE()</f>
        <v>0</v>
      </c>
    </row>
    <row r="20" spans="1:5">
      <c r="A20" t="s">
        <v>55</v>
      </c>
      <c r="B20" t="s">
        <v>56</v>
      </c>
      <c r="C20" t="b">
        <f>FALSE()</f>
        <v>0</v>
      </c>
      <c r="E20" t="b">
        <f>FALSE()</f>
        <v>0</v>
      </c>
    </row>
    <row r="21" spans="1:5">
      <c r="A21" t="s">
        <v>57</v>
      </c>
      <c r="B21" t="s">
        <v>58</v>
      </c>
      <c r="C21" t="b">
        <f>TRUE()</f>
        <v>1</v>
      </c>
      <c r="E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selection activeCell="E1" sqref="E1"/>
    </sheetView>
  </sheetViews>
  <sheetFormatPr defaultColWidth="8.5703125" defaultRowHeight="15"/>
  <cols>
    <col min="1" max="1" width="38.140625" customWidth="1"/>
    <col min="2" max="2" width="60.140625" customWidth="1"/>
    <col min="5" max="5" width="12.71093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59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60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61</v>
      </c>
      <c r="C9" t="b">
        <f>TRUE()</f>
        <v>1</v>
      </c>
      <c r="E9" t="b">
        <f>TRUE()</f>
        <v>1</v>
      </c>
    </row>
    <row r="10" spans="1:5">
      <c r="A10" t="s">
        <v>44</v>
      </c>
      <c r="B10" t="s">
        <v>62</v>
      </c>
      <c r="C10" t="b">
        <f>FALSE()</f>
        <v>0</v>
      </c>
      <c r="E10" t="b">
        <f>FALSE()</f>
        <v>0</v>
      </c>
    </row>
    <row r="11" spans="1:5">
      <c r="A11" t="s">
        <v>46</v>
      </c>
      <c r="B11" t="s">
        <v>47</v>
      </c>
      <c r="C11" t="b">
        <f>TRUE()</f>
        <v>1</v>
      </c>
      <c r="E11" t="b">
        <f>TRUE()</f>
        <v>1</v>
      </c>
    </row>
    <row r="12" spans="1:5">
      <c r="A12" t="s">
        <v>63</v>
      </c>
      <c r="B12" t="s">
        <v>64</v>
      </c>
      <c r="C12" t="b">
        <f>FALSE()</f>
        <v>0</v>
      </c>
      <c r="E12" t="b">
        <f>FALSE()</f>
        <v>0</v>
      </c>
    </row>
    <row r="13" spans="1:5">
      <c r="A13" t="s">
        <v>65</v>
      </c>
      <c r="B13" t="s">
        <v>66</v>
      </c>
      <c r="C13" t="b">
        <f>TRUE()</f>
        <v>1</v>
      </c>
      <c r="E13" t="b">
        <f>TRUE()</f>
        <v>1</v>
      </c>
    </row>
    <row r="14" spans="1:5">
      <c r="A14" t="s">
        <v>67</v>
      </c>
      <c r="B14" t="s">
        <v>68</v>
      </c>
      <c r="C14" t="b">
        <f>FALSE()</f>
        <v>0</v>
      </c>
      <c r="E14" t="b">
        <f>FALSE()</f>
        <v>0</v>
      </c>
    </row>
    <row r="15" spans="1:5">
      <c r="A15" t="s">
        <v>69</v>
      </c>
      <c r="B15" t="s">
        <v>70</v>
      </c>
      <c r="C15" t="b">
        <f>TRUE()</f>
        <v>1</v>
      </c>
      <c r="E15" t="b">
        <f>TRUE()</f>
        <v>1</v>
      </c>
    </row>
    <row r="16" spans="1:5">
      <c r="A16" t="s">
        <v>27</v>
      </c>
      <c r="B16" t="s">
        <v>48</v>
      </c>
      <c r="C16" t="b">
        <f>FALSE()</f>
        <v>0</v>
      </c>
      <c r="E16" t="b">
        <f>FALSE()</f>
        <v>0</v>
      </c>
    </row>
    <row r="17" spans="1:5">
      <c r="A17" t="s">
        <v>29</v>
      </c>
      <c r="B17" t="s">
        <v>30</v>
      </c>
      <c r="C17" t="b">
        <f>TRUE()</f>
        <v>1</v>
      </c>
      <c r="E17" t="b">
        <f>TRUE()</f>
        <v>1</v>
      </c>
    </row>
    <row r="18" spans="1:5">
      <c r="A18" t="s">
        <v>31</v>
      </c>
      <c r="B18" t="s">
        <v>49</v>
      </c>
      <c r="C18" t="b">
        <f>TRUE()</f>
        <v>1</v>
      </c>
      <c r="E18" t="b">
        <f>TRUE()</f>
        <v>1</v>
      </c>
    </row>
    <row r="19" spans="1:5">
      <c r="A19" t="s">
        <v>33</v>
      </c>
      <c r="B19" t="s">
        <v>34</v>
      </c>
      <c r="C19" t="b">
        <f>TRUE()</f>
        <v>1</v>
      </c>
      <c r="E19" t="b">
        <f>TRUE()</f>
        <v>1</v>
      </c>
    </row>
    <row r="20" spans="1:5">
      <c r="A20" t="s">
        <v>35</v>
      </c>
      <c r="B20" t="s">
        <v>36</v>
      </c>
      <c r="C20" t="b">
        <f>FALSE()</f>
        <v>0</v>
      </c>
      <c r="E20" t="b">
        <f>FALSE()</f>
        <v>0</v>
      </c>
    </row>
    <row r="21" spans="1:5">
      <c r="A21" t="s">
        <v>37</v>
      </c>
      <c r="B21" t="s">
        <v>38</v>
      </c>
      <c r="C21" t="b">
        <f>TRUE()</f>
        <v>1</v>
      </c>
      <c r="E21" t="b">
        <f>TRUE()</f>
        <v>1</v>
      </c>
    </row>
    <row r="22" spans="1:5">
      <c r="A22" t="s">
        <v>51</v>
      </c>
      <c r="B22" t="s">
        <v>52</v>
      </c>
      <c r="C22" t="b">
        <f>FALSE()</f>
        <v>0</v>
      </c>
      <c r="E22" t="b">
        <f>FALSE()</f>
        <v>0</v>
      </c>
    </row>
    <row r="23" spans="1:5">
      <c r="A23" t="s">
        <v>53</v>
      </c>
      <c r="B23" t="s">
        <v>71</v>
      </c>
      <c r="C23" t="b">
        <f>FALSE()</f>
        <v>0</v>
      </c>
      <c r="E23" t="b">
        <f>FALSE()</f>
        <v>0</v>
      </c>
    </row>
    <row r="24" spans="1:5">
      <c r="A24" t="s">
        <v>55</v>
      </c>
      <c r="B24" t="s">
        <v>72</v>
      </c>
      <c r="C24" t="b">
        <f>FALSE()</f>
        <v>0</v>
      </c>
      <c r="E24" t="b">
        <f>FALSE()</f>
        <v>0</v>
      </c>
    </row>
    <row r="25" spans="1:5">
      <c r="A25" t="s">
        <v>57</v>
      </c>
      <c r="B25" t="s">
        <v>58</v>
      </c>
      <c r="C25" t="b">
        <f>TRUE()</f>
        <v>1</v>
      </c>
      <c r="E25" t="b">
        <f>TRUE()</f>
        <v>1</v>
      </c>
    </row>
    <row r="26" spans="1:5">
      <c r="A26" t="s">
        <v>73</v>
      </c>
      <c r="B26" t="s">
        <v>74</v>
      </c>
      <c r="C26" t="b">
        <f>FALSE()</f>
        <v>0</v>
      </c>
      <c r="E26" t="b">
        <f>FALSE()</f>
        <v>0</v>
      </c>
    </row>
    <row r="27" spans="1:5">
      <c r="A27" t="s">
        <v>75</v>
      </c>
      <c r="B27" t="s">
        <v>76</v>
      </c>
      <c r="C27" t="b">
        <f>TRUE()</f>
        <v>1</v>
      </c>
      <c r="E27" t="b">
        <f>TRUE()</f>
        <v>1</v>
      </c>
    </row>
    <row r="28" spans="1:5">
      <c r="A28" t="s">
        <v>77</v>
      </c>
      <c r="B28" t="s">
        <v>78</v>
      </c>
      <c r="C28" t="b">
        <f>FALSE()</f>
        <v>0</v>
      </c>
      <c r="E28" t="b">
        <f>FALSE()</f>
        <v>0</v>
      </c>
    </row>
    <row r="29" spans="1:5">
      <c r="A29" t="s">
        <v>79</v>
      </c>
      <c r="B29" t="s">
        <v>80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Normal="100" workbookViewId="0">
      <selection activeCell="B23" sqref="B23"/>
    </sheetView>
  </sheetViews>
  <sheetFormatPr defaultColWidth="8.5703125" defaultRowHeight="15"/>
  <cols>
    <col min="1" max="1" width="40.85546875" customWidth="1"/>
    <col min="2" max="2" width="61.85546875" customWidth="1"/>
    <col min="5" max="5" width="10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81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40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61</v>
      </c>
      <c r="C9" t="b">
        <f>TRUE()</f>
        <v>1</v>
      </c>
      <c r="E9" t="b">
        <f>TRUE()</f>
        <v>1</v>
      </c>
    </row>
    <row r="10" spans="1:5">
      <c r="A10" t="s">
        <v>44</v>
      </c>
      <c r="B10" t="s">
        <v>82</v>
      </c>
      <c r="C10" t="b">
        <f>TRUE()</f>
        <v>1</v>
      </c>
      <c r="E10" t="b">
        <f>TRUE()</f>
        <v>1</v>
      </c>
    </row>
    <row r="11" spans="1:5">
      <c r="A11" t="s">
        <v>46</v>
      </c>
      <c r="B11" t="s">
        <v>47</v>
      </c>
      <c r="C11" t="b">
        <f>TRUE()</f>
        <v>1</v>
      </c>
      <c r="E11" t="b">
        <f>TRUE()</f>
        <v>1</v>
      </c>
    </row>
    <row r="12" spans="1:5">
      <c r="A12" t="s">
        <v>63</v>
      </c>
      <c r="B12" t="s">
        <v>64</v>
      </c>
      <c r="C12" t="b">
        <f>FALSE()</f>
        <v>0</v>
      </c>
      <c r="E12" t="b">
        <f>FALSE()</f>
        <v>0</v>
      </c>
    </row>
    <row r="13" spans="1:5">
      <c r="A13" t="s">
        <v>65</v>
      </c>
      <c r="B13" t="s">
        <v>83</v>
      </c>
      <c r="C13" t="b">
        <f>TRUE()</f>
        <v>1</v>
      </c>
      <c r="E13" t="b">
        <f>TRUE()</f>
        <v>1</v>
      </c>
    </row>
    <row r="14" spans="1:5">
      <c r="A14" t="s">
        <v>67</v>
      </c>
      <c r="B14" t="s">
        <v>84</v>
      </c>
      <c r="C14" t="b">
        <f>FALSE()</f>
        <v>0</v>
      </c>
      <c r="E14" t="b">
        <f>FALSE()</f>
        <v>0</v>
      </c>
    </row>
    <row r="15" spans="1:5">
      <c r="A15" t="s">
        <v>69</v>
      </c>
      <c r="B15" t="s">
        <v>70</v>
      </c>
      <c r="C15" t="b">
        <f>TRUE()</f>
        <v>1</v>
      </c>
      <c r="E15" t="b">
        <f>TRUE()</f>
        <v>1</v>
      </c>
    </row>
    <row r="16" spans="1:5">
      <c r="A16" t="s">
        <v>85</v>
      </c>
      <c r="B16" t="s">
        <v>86</v>
      </c>
      <c r="C16" t="b">
        <f>FALSE()</f>
        <v>0</v>
      </c>
      <c r="E16" t="b">
        <f>FALSE()</f>
        <v>0</v>
      </c>
    </row>
    <row r="17" spans="1:5">
      <c r="A17" t="s">
        <v>87</v>
      </c>
      <c r="B17" t="s">
        <v>88</v>
      </c>
      <c r="C17" t="b">
        <f>TRUE()</f>
        <v>1</v>
      </c>
      <c r="E17" t="b">
        <f>TRUE()</f>
        <v>1</v>
      </c>
    </row>
    <row r="18" spans="1:5">
      <c r="A18" t="s">
        <v>89</v>
      </c>
      <c r="B18" t="s">
        <v>90</v>
      </c>
      <c r="C18" t="b">
        <f>TRUE()</f>
        <v>1</v>
      </c>
      <c r="E18" t="b">
        <f>TRUE()</f>
        <v>1</v>
      </c>
    </row>
    <row r="19" spans="1:5">
      <c r="A19" t="s">
        <v>91</v>
      </c>
      <c r="B19" t="s">
        <v>92</v>
      </c>
      <c r="C19" t="b">
        <f>TRUE()</f>
        <v>1</v>
      </c>
      <c r="E19" t="b">
        <f>TRUE()</f>
        <v>1</v>
      </c>
    </row>
    <row r="20" spans="1:5">
      <c r="A20" t="s">
        <v>93</v>
      </c>
      <c r="B20" t="s">
        <v>94</v>
      </c>
      <c r="C20" t="b">
        <f>FALSE()</f>
        <v>0</v>
      </c>
      <c r="E20" t="b">
        <f>FALSE()</f>
        <v>0</v>
      </c>
    </row>
    <row r="21" spans="1:5">
      <c r="A21" t="s">
        <v>95</v>
      </c>
      <c r="B21" t="s">
        <v>96</v>
      </c>
      <c r="C21" t="b">
        <f>TRUE()</f>
        <v>1</v>
      </c>
      <c r="E21" t="b">
        <f>TRUE()</f>
        <v>1</v>
      </c>
    </row>
    <row r="22" spans="1:5">
      <c r="A22" t="s">
        <v>27</v>
      </c>
      <c r="B22" t="s">
        <v>97</v>
      </c>
      <c r="C22" t="b">
        <f>FALSE()</f>
        <v>0</v>
      </c>
      <c r="E22" t="b">
        <f>FALSE()</f>
        <v>0</v>
      </c>
    </row>
    <row r="23" spans="1:5">
      <c r="A23" t="s">
        <v>29</v>
      </c>
      <c r="B23" t="s">
        <v>30</v>
      </c>
      <c r="C23" t="b">
        <f>TRUE()</f>
        <v>1</v>
      </c>
      <c r="E23" t="b">
        <f>TRUE()</f>
        <v>1</v>
      </c>
    </row>
    <row r="24" spans="1:5">
      <c r="A24" t="s">
        <v>31</v>
      </c>
      <c r="B24" t="s">
        <v>98</v>
      </c>
      <c r="C24" t="b">
        <f>FALSE()</f>
        <v>0</v>
      </c>
      <c r="E24" t="b">
        <f>FALSE()</f>
        <v>0</v>
      </c>
    </row>
    <row r="25" spans="1:5">
      <c r="A25" t="s">
        <v>33</v>
      </c>
      <c r="B25" t="s">
        <v>34</v>
      </c>
      <c r="C25" t="b">
        <f>TRUE()</f>
        <v>1</v>
      </c>
      <c r="E25" t="b">
        <f>TRUE()</f>
        <v>1</v>
      </c>
    </row>
    <row r="26" spans="1:5">
      <c r="A26" t="s">
        <v>35</v>
      </c>
      <c r="B26" t="s">
        <v>99</v>
      </c>
      <c r="C26" t="b">
        <f>FALSE()</f>
        <v>0</v>
      </c>
      <c r="E26" t="b">
        <f>FALSE()</f>
        <v>0</v>
      </c>
    </row>
    <row r="27" spans="1:5">
      <c r="A27" t="s">
        <v>37</v>
      </c>
      <c r="B27" t="s">
        <v>38</v>
      </c>
      <c r="C27" t="b">
        <f>TRUE()</f>
        <v>1</v>
      </c>
      <c r="E27" t="b">
        <f>TRUE()</f>
        <v>1</v>
      </c>
    </row>
    <row r="28" spans="1:5">
      <c r="A28" t="s">
        <v>51</v>
      </c>
      <c r="B28" t="s">
        <v>100</v>
      </c>
      <c r="C28" t="b">
        <f>TRUE()</f>
        <v>1</v>
      </c>
      <c r="E28" t="b">
        <f>TRUE()</f>
        <v>1</v>
      </c>
    </row>
    <row r="29" spans="1:5">
      <c r="A29" t="s">
        <v>53</v>
      </c>
      <c r="B29" t="s">
        <v>101</v>
      </c>
      <c r="C29" t="b">
        <f>FALSE()</f>
        <v>0</v>
      </c>
      <c r="E29" t="b">
        <f>FALSE()</f>
        <v>0</v>
      </c>
    </row>
    <row r="30" spans="1:5">
      <c r="A30" t="s">
        <v>55</v>
      </c>
      <c r="B30" t="s">
        <v>56</v>
      </c>
      <c r="C30" t="b">
        <f>FALSE()</f>
        <v>0</v>
      </c>
      <c r="E30" t="b">
        <f>FALSE()</f>
        <v>0</v>
      </c>
    </row>
    <row r="31" spans="1:5">
      <c r="A31" t="s">
        <v>57</v>
      </c>
      <c r="B31" t="s">
        <v>58</v>
      </c>
      <c r="C31" t="b">
        <f>TRUE()</f>
        <v>1</v>
      </c>
      <c r="E31" t="b">
        <f>TRUE()</f>
        <v>1</v>
      </c>
    </row>
    <row r="32" spans="1:5">
      <c r="A32" t="s">
        <v>73</v>
      </c>
      <c r="B32" t="s">
        <v>102</v>
      </c>
      <c r="C32" t="b">
        <f>FALSE()</f>
        <v>0</v>
      </c>
      <c r="E32" t="b">
        <f>FALSE()</f>
        <v>0</v>
      </c>
    </row>
    <row r="33" spans="1:5">
      <c r="A33" t="s">
        <v>75</v>
      </c>
      <c r="B33" t="s">
        <v>76</v>
      </c>
      <c r="C33" t="b">
        <f>TRUE()</f>
        <v>1</v>
      </c>
      <c r="E33" t="b">
        <f>TRUE()</f>
        <v>1</v>
      </c>
    </row>
    <row r="34" spans="1:5">
      <c r="A34" t="s">
        <v>77</v>
      </c>
      <c r="B34" t="s">
        <v>78</v>
      </c>
      <c r="C34" t="b">
        <f>FALSE()</f>
        <v>0</v>
      </c>
      <c r="E34" t="b">
        <f>FALSE()</f>
        <v>0</v>
      </c>
    </row>
    <row r="35" spans="1:5">
      <c r="A35" t="s">
        <v>79</v>
      </c>
      <c r="B35" t="s">
        <v>80</v>
      </c>
      <c r="C35" t="b">
        <f>TRUE()</f>
        <v>1</v>
      </c>
      <c r="E35" t="b">
        <f>TRUE()</f>
        <v>1</v>
      </c>
    </row>
    <row r="36" spans="1:5">
      <c r="A36" t="s">
        <v>103</v>
      </c>
      <c r="B36" t="s">
        <v>104</v>
      </c>
      <c r="C36" t="b">
        <f>FALSE()</f>
        <v>0</v>
      </c>
      <c r="E36" t="b">
        <f>FALSE()</f>
        <v>0</v>
      </c>
    </row>
    <row r="37" spans="1:5">
      <c r="A37" t="s">
        <v>105</v>
      </c>
      <c r="B37" t="s">
        <v>106</v>
      </c>
      <c r="C37" t="b">
        <f>TRUE()</f>
        <v>1</v>
      </c>
      <c r="E37" t="b">
        <f>TRUE()</f>
        <v>1</v>
      </c>
    </row>
    <row r="38" spans="1:5">
      <c r="A38" t="s">
        <v>107</v>
      </c>
      <c r="B38" t="s">
        <v>108</v>
      </c>
      <c r="C38" t="b">
        <f>TRUE()</f>
        <v>1</v>
      </c>
      <c r="E38" t="b">
        <f>TRUE()</f>
        <v>1</v>
      </c>
    </row>
    <row r="39" spans="1:5">
      <c r="A39" t="s">
        <v>109</v>
      </c>
      <c r="B39" t="s">
        <v>110</v>
      </c>
      <c r="C39" t="b">
        <f>TRUE()</f>
        <v>1</v>
      </c>
      <c r="E39" t="b">
        <f>TRUE()</f>
        <v>1</v>
      </c>
    </row>
    <row r="40" spans="1:5">
      <c r="A40" t="s">
        <v>111</v>
      </c>
      <c r="B40" t="s">
        <v>112</v>
      </c>
      <c r="C40" t="b">
        <f>FALSE()</f>
        <v>0</v>
      </c>
      <c r="E40" t="b">
        <f>FALSE()</f>
        <v>0</v>
      </c>
    </row>
    <row r="41" spans="1:5">
      <c r="A41" t="s">
        <v>113</v>
      </c>
      <c r="B41" t="s">
        <v>114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2</cp:revision>
  <dcterms:created xsi:type="dcterms:W3CDTF">2026-04-28T10:41:58Z</dcterms:created>
  <dcterms:modified xsi:type="dcterms:W3CDTF">2026-09-14T13:48:06Z</dcterms:modified>
  <cp:category/>
  <cp:contentStatus/>
</cp:coreProperties>
</file>