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60" documentId="11_DE5B17DD725F625E57217569C7EF92B2B8E74D76" xr6:coauthVersionLast="47" xr6:coauthVersionMax="47" xr10:uidLastSave="{3003B058-A935-47BF-AF88-A7A92E55FA43}"/>
  <bookViews>
    <workbookView xWindow="0" yWindow="0" windowWidth="16384" windowHeight="8192" tabRatio="500" activeTab="8" xr2:uid="{00000000-000D-0000-FFFF-FFFF00000000}"/>
  </bookViews>
  <sheets>
    <sheet name="kappa" sheetId="12" r:id="rId1"/>
    <sheet name="natural.txt" sheetId="1" r:id="rId2"/>
    <sheet name="natural.json" sheetId="2" r:id="rId3"/>
    <sheet name="foaf_names.rdf" sheetId="5" r:id="rId4"/>
    <sheet name="foaf_names.json" sheetId="6" r:id="rId5"/>
    <sheet name="foaf_names.xml" sheetId="7" r:id="rId6"/>
    <sheet name="foaf.rdf" sheetId="9" r:id="rId7"/>
    <sheet name="foaf.xml" sheetId="10" r:id="rId8"/>
    <sheet name="foaf.json" sheetId="11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12" l="1"/>
  <c r="H35" i="12"/>
  <c r="G35" i="12"/>
  <c r="I34" i="12"/>
  <c r="H34" i="12"/>
  <c r="G34" i="12"/>
  <c r="I33" i="12"/>
  <c r="H33" i="12"/>
  <c r="G33" i="12"/>
  <c r="D35" i="12"/>
  <c r="C35" i="12"/>
  <c r="B35" i="12"/>
  <c r="D34" i="12"/>
  <c r="C34" i="12"/>
  <c r="B34" i="12"/>
  <c r="D33" i="12"/>
  <c r="C33" i="12"/>
  <c r="B33" i="12"/>
  <c r="I25" i="12"/>
  <c r="H25" i="12"/>
  <c r="G25" i="12"/>
  <c r="I24" i="12"/>
  <c r="H24" i="12"/>
  <c r="G24" i="12"/>
  <c r="I23" i="12"/>
  <c r="H23" i="12"/>
  <c r="G23" i="12"/>
  <c r="D25" i="12"/>
  <c r="C25" i="12"/>
  <c r="B25" i="12"/>
  <c r="D24" i="12"/>
  <c r="C24" i="12"/>
  <c r="B24" i="12"/>
  <c r="D23" i="12"/>
  <c r="C23" i="12"/>
  <c r="B23" i="12"/>
  <c r="I15" i="12"/>
  <c r="H15" i="12"/>
  <c r="G15" i="12"/>
  <c r="I14" i="12"/>
  <c r="H14" i="12"/>
  <c r="G14" i="12"/>
  <c r="I13" i="12"/>
  <c r="H13" i="12"/>
  <c r="G13" i="12"/>
  <c r="D15" i="12"/>
  <c r="C15" i="12"/>
  <c r="B15" i="12"/>
  <c r="D14" i="12"/>
  <c r="C14" i="12"/>
  <c r="B14" i="12"/>
  <c r="D13" i="12"/>
  <c r="C13" i="12"/>
  <c r="B13" i="12"/>
  <c r="I5" i="12"/>
  <c r="H5" i="12"/>
  <c r="G5" i="12"/>
  <c r="I4" i="12"/>
  <c r="H4" i="12"/>
  <c r="G4" i="12"/>
  <c r="I3" i="12"/>
  <c r="H3" i="12"/>
  <c r="G3" i="12"/>
  <c r="B4" i="12"/>
  <c r="D5" i="12"/>
  <c r="C5" i="12"/>
  <c r="B5" i="12"/>
  <c r="D4" i="12"/>
  <c r="C4" i="12"/>
  <c r="D3" i="12"/>
  <c r="C3" i="12"/>
  <c r="B3" i="12"/>
  <c r="D45" i="12"/>
  <c r="C45" i="12"/>
  <c r="B45" i="12"/>
  <c r="D44" i="12"/>
  <c r="C44" i="12"/>
  <c r="B44" i="12"/>
  <c r="D43" i="12"/>
  <c r="C43" i="12"/>
  <c r="E85" i="11"/>
  <c r="C85" i="11"/>
  <c r="E84" i="11"/>
  <c r="C84" i="11"/>
  <c r="E83" i="11"/>
  <c r="C83" i="11"/>
  <c r="E82" i="11"/>
  <c r="C82" i="11"/>
  <c r="E81" i="11"/>
  <c r="C81" i="11"/>
  <c r="E80" i="11"/>
  <c r="C80" i="11"/>
  <c r="E79" i="11"/>
  <c r="C79" i="11"/>
  <c r="E77" i="11"/>
  <c r="C77" i="11"/>
  <c r="E76" i="11"/>
  <c r="C76" i="11"/>
  <c r="E75" i="11"/>
  <c r="C75" i="11"/>
  <c r="E74" i="11"/>
  <c r="C74" i="11"/>
  <c r="E73" i="11"/>
  <c r="C73" i="11"/>
  <c r="E72" i="11"/>
  <c r="C72" i="11"/>
  <c r="E71" i="11"/>
  <c r="C71" i="11"/>
  <c r="E70" i="11"/>
  <c r="C70" i="11"/>
  <c r="E69" i="11"/>
  <c r="C69" i="11"/>
  <c r="E68" i="11"/>
  <c r="C68" i="11"/>
  <c r="E67" i="11"/>
  <c r="C67" i="11"/>
  <c r="E66" i="11"/>
  <c r="C66" i="11"/>
  <c r="E65" i="11"/>
  <c r="C65" i="11"/>
  <c r="E64" i="11"/>
  <c r="C64" i="11"/>
  <c r="E63" i="11"/>
  <c r="C63" i="11"/>
  <c r="E62" i="11"/>
  <c r="C62" i="11"/>
  <c r="E61" i="11"/>
  <c r="C61" i="11"/>
  <c r="E59" i="11"/>
  <c r="C59" i="11"/>
  <c r="E58" i="11"/>
  <c r="C58" i="11"/>
  <c r="E57" i="11"/>
  <c r="C57" i="11"/>
  <c r="E56" i="11"/>
  <c r="C56" i="11"/>
  <c r="E55" i="11"/>
  <c r="C55" i="11"/>
  <c r="E54" i="11"/>
  <c r="C54" i="11"/>
  <c r="E53" i="11"/>
  <c r="C53" i="11"/>
  <c r="E52" i="11"/>
  <c r="C52" i="11"/>
  <c r="E51" i="11"/>
  <c r="C51" i="11"/>
  <c r="E50" i="11"/>
  <c r="C50" i="11"/>
  <c r="E49" i="11"/>
  <c r="C49" i="11"/>
  <c r="E48" i="11"/>
  <c r="C48" i="11"/>
  <c r="E47" i="11"/>
  <c r="C47" i="11"/>
  <c r="E46" i="11"/>
  <c r="C46" i="11"/>
  <c r="E45" i="11"/>
  <c r="C45" i="11"/>
  <c r="E44" i="11"/>
  <c r="C44" i="11"/>
  <c r="E43" i="11"/>
  <c r="C43" i="11"/>
  <c r="E41" i="11"/>
  <c r="C41" i="11"/>
  <c r="E40" i="11"/>
  <c r="C40" i="11"/>
  <c r="E39" i="11"/>
  <c r="C39" i="11"/>
  <c r="E38" i="11"/>
  <c r="C38" i="11"/>
  <c r="E37" i="11"/>
  <c r="C37" i="11"/>
  <c r="E36" i="11"/>
  <c r="C36" i="11"/>
  <c r="E35" i="11"/>
  <c r="C35" i="11"/>
  <c r="E34" i="11"/>
  <c r="C34" i="11"/>
  <c r="E33" i="11"/>
  <c r="C33" i="11"/>
  <c r="E32" i="11"/>
  <c r="C32" i="11"/>
  <c r="E31" i="11"/>
  <c r="C31" i="11"/>
  <c r="E30" i="11"/>
  <c r="C30" i="11"/>
  <c r="E29" i="11"/>
  <c r="C29" i="11"/>
  <c r="E28" i="11"/>
  <c r="C28" i="11"/>
  <c r="E27" i="11"/>
  <c r="C27" i="11"/>
  <c r="E26" i="11"/>
  <c r="C26" i="11"/>
  <c r="E25" i="11"/>
  <c r="C25" i="11"/>
  <c r="E24" i="11"/>
  <c r="C24" i="11"/>
  <c r="E23" i="11"/>
  <c r="C23" i="11"/>
  <c r="E22" i="11"/>
  <c r="C22" i="11"/>
  <c r="E21" i="11"/>
  <c r="C21" i="11"/>
  <c r="E20" i="11"/>
  <c r="C20" i="11"/>
  <c r="E19" i="11"/>
  <c r="C19" i="11"/>
  <c r="E17" i="11"/>
  <c r="C17" i="11"/>
  <c r="E16" i="11"/>
  <c r="C16" i="11"/>
  <c r="E15" i="11"/>
  <c r="C15" i="11"/>
  <c r="E14" i="11"/>
  <c r="C14" i="11"/>
  <c r="E13" i="11"/>
  <c r="C13" i="11"/>
  <c r="E12" i="11"/>
  <c r="E11" i="11"/>
  <c r="C11" i="11"/>
  <c r="E10" i="11"/>
  <c r="C10" i="11"/>
  <c r="E9" i="11"/>
  <c r="C9" i="11"/>
  <c r="E8" i="11"/>
  <c r="C8" i="11"/>
  <c r="E7" i="11"/>
  <c r="C7" i="11"/>
  <c r="E5" i="11"/>
  <c r="C5" i="11"/>
  <c r="E4" i="11"/>
  <c r="C4" i="11"/>
  <c r="E3" i="11"/>
  <c r="C3" i="11"/>
  <c r="E2" i="11"/>
  <c r="C2" i="11"/>
  <c r="E85" i="10"/>
  <c r="C85" i="10"/>
  <c r="E84" i="10"/>
  <c r="C84" i="10"/>
  <c r="E83" i="10"/>
  <c r="C83" i="10"/>
  <c r="E82" i="10"/>
  <c r="C82" i="10"/>
  <c r="E81" i="10"/>
  <c r="C81" i="10"/>
  <c r="E80" i="10"/>
  <c r="C80" i="10"/>
  <c r="E79" i="10"/>
  <c r="C79" i="10"/>
  <c r="E77" i="10"/>
  <c r="C77" i="10"/>
  <c r="E76" i="10"/>
  <c r="C76" i="10"/>
  <c r="E75" i="10"/>
  <c r="C75" i="10"/>
  <c r="E74" i="10"/>
  <c r="C74" i="10"/>
  <c r="E73" i="10"/>
  <c r="C73" i="10"/>
  <c r="E72" i="10"/>
  <c r="C72" i="10"/>
  <c r="E71" i="10"/>
  <c r="C71" i="10"/>
  <c r="E70" i="10"/>
  <c r="C70" i="10"/>
  <c r="E69" i="10"/>
  <c r="C69" i="10"/>
  <c r="E68" i="10"/>
  <c r="C68" i="10"/>
  <c r="E67" i="10"/>
  <c r="C67" i="10"/>
  <c r="E66" i="10"/>
  <c r="C66" i="10"/>
  <c r="E65" i="10"/>
  <c r="C65" i="10"/>
  <c r="E64" i="10"/>
  <c r="C64" i="10"/>
  <c r="E63" i="10"/>
  <c r="C63" i="10"/>
  <c r="E62" i="10"/>
  <c r="C62" i="10"/>
  <c r="E61" i="10"/>
  <c r="C61" i="10"/>
  <c r="E60" i="10"/>
  <c r="C60" i="10"/>
  <c r="E59" i="10"/>
  <c r="C59" i="10"/>
  <c r="E58" i="10"/>
  <c r="C58" i="10"/>
  <c r="E57" i="10"/>
  <c r="C57" i="10"/>
  <c r="E56" i="10"/>
  <c r="C56" i="10"/>
  <c r="E55" i="10"/>
  <c r="C55" i="10"/>
  <c r="E54" i="10"/>
  <c r="C54" i="10"/>
  <c r="E53" i="10"/>
  <c r="C53" i="10"/>
  <c r="E52" i="10"/>
  <c r="C52" i="10"/>
  <c r="E51" i="10"/>
  <c r="C51" i="10"/>
  <c r="E50" i="10"/>
  <c r="C50" i="10"/>
  <c r="E49" i="10"/>
  <c r="C49" i="10"/>
  <c r="E48" i="10"/>
  <c r="C48" i="10"/>
  <c r="E47" i="10"/>
  <c r="C47" i="10"/>
  <c r="E46" i="10"/>
  <c r="C46" i="10"/>
  <c r="E45" i="10"/>
  <c r="C45" i="10"/>
  <c r="E44" i="10"/>
  <c r="C44" i="10"/>
  <c r="E43" i="10"/>
  <c r="C43" i="10"/>
  <c r="E41" i="10"/>
  <c r="C41" i="10"/>
  <c r="E40" i="10"/>
  <c r="C40" i="10"/>
  <c r="E39" i="10"/>
  <c r="C39" i="10"/>
  <c r="E38" i="10"/>
  <c r="C38" i="10"/>
  <c r="E37" i="10"/>
  <c r="C37" i="10"/>
  <c r="E35" i="10"/>
  <c r="C35" i="10"/>
  <c r="E34" i="10"/>
  <c r="C34" i="10"/>
  <c r="E33" i="10"/>
  <c r="C33" i="10"/>
  <c r="E32" i="10"/>
  <c r="C32" i="10"/>
  <c r="E31" i="10"/>
  <c r="C31" i="10"/>
  <c r="E30" i="10"/>
  <c r="C30" i="10"/>
  <c r="E29" i="10"/>
  <c r="C29" i="10"/>
  <c r="E28" i="10"/>
  <c r="C28" i="10"/>
  <c r="E27" i="10"/>
  <c r="C27" i="10"/>
  <c r="E26" i="10"/>
  <c r="C26" i="10"/>
  <c r="E25" i="10"/>
  <c r="C25" i="10"/>
  <c r="E24" i="10"/>
  <c r="C24" i="10"/>
  <c r="E23" i="10"/>
  <c r="C23" i="10"/>
  <c r="E22" i="10"/>
  <c r="C22" i="10"/>
  <c r="E21" i="10"/>
  <c r="C21" i="10"/>
  <c r="E20" i="10"/>
  <c r="C20" i="10"/>
  <c r="E19" i="10"/>
  <c r="C19" i="10"/>
  <c r="E18" i="10"/>
  <c r="C18" i="10"/>
  <c r="E17" i="10"/>
  <c r="C17" i="10"/>
  <c r="E16" i="10"/>
  <c r="C16" i="10"/>
  <c r="E15" i="10"/>
  <c r="C15" i="10"/>
  <c r="E14" i="10"/>
  <c r="C14" i="10"/>
  <c r="E13" i="10"/>
  <c r="C13" i="10"/>
  <c r="E12" i="10"/>
  <c r="C12" i="10"/>
  <c r="E11" i="10"/>
  <c r="C11" i="10"/>
  <c r="E10" i="10"/>
  <c r="C10" i="10"/>
  <c r="E9" i="10"/>
  <c r="C9" i="10"/>
  <c r="E8" i="10"/>
  <c r="C8" i="10"/>
  <c r="E7" i="10"/>
  <c r="C7" i="10"/>
  <c r="E6" i="10"/>
  <c r="C6" i="10"/>
  <c r="E5" i="10"/>
  <c r="C5" i="10"/>
  <c r="E4" i="10"/>
  <c r="C4" i="10"/>
  <c r="E3" i="10"/>
  <c r="C3" i="10"/>
  <c r="E2" i="10"/>
  <c r="C2" i="10"/>
  <c r="E85" i="9"/>
  <c r="C85" i="9"/>
  <c r="E83" i="9"/>
  <c r="C83" i="9"/>
  <c r="E82" i="9"/>
  <c r="C82" i="9"/>
  <c r="E81" i="9"/>
  <c r="C81" i="9"/>
  <c r="E80" i="9"/>
  <c r="C80" i="9"/>
  <c r="E79" i="9"/>
  <c r="C79" i="9"/>
  <c r="E78" i="9"/>
  <c r="C78" i="9"/>
  <c r="E77" i="9"/>
  <c r="C77" i="9"/>
  <c r="E76" i="9"/>
  <c r="C76" i="9"/>
  <c r="E75" i="9"/>
  <c r="C75" i="9"/>
  <c r="E74" i="9"/>
  <c r="C74" i="9"/>
  <c r="E73" i="9"/>
  <c r="C73" i="9"/>
  <c r="E71" i="9"/>
  <c r="C71" i="9"/>
  <c r="E70" i="9"/>
  <c r="C70" i="9"/>
  <c r="E69" i="9"/>
  <c r="C69" i="9"/>
  <c r="E68" i="9"/>
  <c r="C68" i="9"/>
  <c r="E67" i="9"/>
  <c r="C67" i="9"/>
  <c r="E66" i="9"/>
  <c r="C66" i="9"/>
  <c r="E65" i="9"/>
  <c r="C65" i="9"/>
  <c r="E64" i="9"/>
  <c r="C64" i="9"/>
  <c r="E63" i="9"/>
  <c r="C63" i="9"/>
  <c r="E62" i="9"/>
  <c r="C62" i="9"/>
  <c r="E61" i="9"/>
  <c r="C61" i="9"/>
  <c r="E60" i="9"/>
  <c r="C60" i="9"/>
  <c r="E59" i="9"/>
  <c r="C59" i="9"/>
  <c r="E58" i="9"/>
  <c r="C58" i="9"/>
  <c r="E57" i="9"/>
  <c r="C57" i="9"/>
  <c r="E56" i="9"/>
  <c r="C56" i="9"/>
  <c r="E55" i="9"/>
  <c r="C55" i="9"/>
  <c r="E54" i="9"/>
  <c r="C54" i="9"/>
  <c r="E53" i="9"/>
  <c r="C53" i="9"/>
  <c r="E52" i="9"/>
  <c r="C52" i="9"/>
  <c r="E51" i="9"/>
  <c r="C51" i="9"/>
  <c r="E50" i="9"/>
  <c r="C50" i="9"/>
  <c r="E49" i="9"/>
  <c r="C49" i="9"/>
  <c r="E47" i="9"/>
  <c r="C47" i="9"/>
  <c r="E46" i="9"/>
  <c r="C46" i="9"/>
  <c r="E45" i="9"/>
  <c r="C45" i="9"/>
  <c r="E44" i="9"/>
  <c r="C44" i="9"/>
  <c r="E43" i="9"/>
  <c r="C43" i="9"/>
  <c r="E42" i="9"/>
  <c r="C42" i="9"/>
  <c r="E41" i="9"/>
  <c r="C41" i="9"/>
  <c r="E40" i="9"/>
  <c r="C40" i="9"/>
  <c r="E39" i="9"/>
  <c r="C39" i="9"/>
  <c r="E37" i="9"/>
  <c r="C37" i="9"/>
  <c r="E36" i="9"/>
  <c r="C36" i="9"/>
  <c r="E35" i="9"/>
  <c r="C35" i="9"/>
  <c r="E34" i="9"/>
  <c r="C34" i="9"/>
  <c r="E33" i="9"/>
  <c r="C33" i="9"/>
  <c r="E32" i="9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E22" i="9"/>
  <c r="C22" i="9"/>
  <c r="E21" i="9"/>
  <c r="C21" i="9"/>
  <c r="E20" i="9"/>
  <c r="C20" i="9"/>
  <c r="E19" i="9"/>
  <c r="C19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5" i="9"/>
  <c r="C5" i="9"/>
  <c r="E4" i="9"/>
  <c r="C4" i="9"/>
  <c r="E3" i="9"/>
  <c r="C3" i="9"/>
  <c r="E2" i="9"/>
  <c r="C2" i="9"/>
  <c r="E85" i="7"/>
  <c r="C85" i="7"/>
  <c r="E83" i="7"/>
  <c r="C83" i="7"/>
  <c r="E82" i="7"/>
  <c r="C82" i="7"/>
  <c r="E81" i="7"/>
  <c r="C81" i="7"/>
  <c r="E80" i="7"/>
  <c r="C80" i="7"/>
  <c r="E79" i="7"/>
  <c r="C79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5" i="7"/>
  <c r="C65" i="7"/>
  <c r="E64" i="7"/>
  <c r="C64" i="7"/>
  <c r="E63" i="7"/>
  <c r="C63" i="7"/>
  <c r="E62" i="7"/>
  <c r="C62" i="7"/>
  <c r="E61" i="7"/>
  <c r="C61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7" i="7"/>
  <c r="C47" i="7"/>
  <c r="E46" i="7"/>
  <c r="C46" i="7"/>
  <c r="E45" i="7"/>
  <c r="C45" i="7"/>
  <c r="E44" i="7"/>
  <c r="C44" i="7"/>
  <c r="E43" i="7"/>
  <c r="C43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3" i="7"/>
  <c r="C23" i="7"/>
  <c r="E22" i="7"/>
  <c r="C22" i="7"/>
  <c r="E21" i="7"/>
  <c r="C21" i="7"/>
  <c r="E20" i="7"/>
  <c r="C20" i="7"/>
  <c r="E19" i="7"/>
  <c r="C19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E85" i="6"/>
  <c r="C85" i="6"/>
  <c r="E83" i="6"/>
  <c r="C83" i="6"/>
  <c r="E82" i="6"/>
  <c r="C82" i="6"/>
  <c r="E81" i="6"/>
  <c r="C81" i="6"/>
  <c r="E80" i="6"/>
  <c r="C80" i="6"/>
  <c r="E79" i="6"/>
  <c r="C79" i="6"/>
  <c r="E78" i="6"/>
  <c r="C78" i="6"/>
  <c r="E77" i="6"/>
  <c r="C77" i="6"/>
  <c r="E76" i="6"/>
  <c r="C76" i="6"/>
  <c r="E75" i="6"/>
  <c r="C75" i="6"/>
  <c r="E74" i="6"/>
  <c r="C74" i="6"/>
  <c r="E73" i="6"/>
  <c r="C73" i="6"/>
  <c r="E71" i="6"/>
  <c r="C71" i="6"/>
  <c r="E70" i="6"/>
  <c r="C70" i="6"/>
  <c r="E69" i="6"/>
  <c r="C69" i="6"/>
  <c r="E68" i="6"/>
  <c r="C68" i="6"/>
  <c r="E67" i="6"/>
  <c r="C67" i="6"/>
  <c r="E65" i="6"/>
  <c r="C65" i="6"/>
  <c r="E64" i="6"/>
  <c r="C64" i="6"/>
  <c r="E63" i="6"/>
  <c r="C63" i="6"/>
  <c r="E62" i="6"/>
  <c r="C62" i="6"/>
  <c r="E61" i="6"/>
  <c r="C61" i="6"/>
  <c r="E59" i="6"/>
  <c r="C59" i="6"/>
  <c r="E58" i="6"/>
  <c r="C58" i="6"/>
  <c r="E57" i="6"/>
  <c r="C57" i="6"/>
  <c r="E56" i="6"/>
  <c r="C56" i="6"/>
  <c r="E55" i="6"/>
  <c r="C55" i="6"/>
  <c r="E54" i="6"/>
  <c r="C54" i="6"/>
  <c r="E53" i="6"/>
  <c r="C53" i="6"/>
  <c r="E52" i="6"/>
  <c r="C52" i="6"/>
  <c r="E51" i="6"/>
  <c r="C51" i="6"/>
  <c r="E50" i="6"/>
  <c r="C50" i="6"/>
  <c r="E49" i="6"/>
  <c r="C49" i="6"/>
  <c r="E48" i="6"/>
  <c r="C48" i="6"/>
  <c r="E47" i="6"/>
  <c r="C47" i="6"/>
  <c r="E46" i="6"/>
  <c r="C46" i="6"/>
  <c r="E45" i="6"/>
  <c r="C45" i="6"/>
  <c r="E44" i="6"/>
  <c r="C44" i="6"/>
  <c r="E43" i="6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5" i="6"/>
  <c r="C35" i="6"/>
  <c r="E34" i="6"/>
  <c r="C34" i="6"/>
  <c r="E33" i="6"/>
  <c r="C33" i="6"/>
  <c r="E32" i="6"/>
  <c r="C32" i="6"/>
  <c r="E31" i="6"/>
  <c r="C31" i="6"/>
  <c r="E30" i="6"/>
  <c r="C30" i="6"/>
  <c r="E29" i="6"/>
  <c r="C29" i="6"/>
  <c r="E28" i="6"/>
  <c r="C28" i="6"/>
  <c r="E27" i="6"/>
  <c r="C27" i="6"/>
  <c r="E26" i="6"/>
  <c r="C26" i="6"/>
  <c r="E25" i="6"/>
  <c r="C25" i="6"/>
  <c r="E23" i="6"/>
  <c r="C23" i="6"/>
  <c r="E22" i="6"/>
  <c r="C22" i="6"/>
  <c r="E21" i="6"/>
  <c r="C21" i="6"/>
  <c r="E20" i="6"/>
  <c r="C20" i="6"/>
  <c r="E19" i="6"/>
  <c r="C19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C11" i="6"/>
  <c r="E10" i="6"/>
  <c r="C10" i="6"/>
  <c r="E9" i="6"/>
  <c r="C9" i="6"/>
  <c r="E8" i="6"/>
  <c r="C8" i="6"/>
  <c r="E7" i="6"/>
  <c r="C7" i="6"/>
  <c r="E6" i="6"/>
  <c r="C6" i="6"/>
  <c r="E5" i="6"/>
  <c r="C5" i="6"/>
  <c r="E4" i="6"/>
  <c r="C4" i="6"/>
  <c r="E3" i="6"/>
  <c r="C3" i="6"/>
  <c r="E2" i="6"/>
  <c r="C2" i="6"/>
  <c r="E85" i="5"/>
  <c r="C85" i="5"/>
  <c r="E83" i="5"/>
  <c r="C83" i="5"/>
  <c r="E82" i="5"/>
  <c r="C82" i="5"/>
  <c r="E81" i="5"/>
  <c r="C81" i="5"/>
  <c r="E80" i="5"/>
  <c r="C80" i="5"/>
  <c r="E79" i="5"/>
  <c r="C79" i="5"/>
  <c r="E78" i="5"/>
  <c r="C78" i="5"/>
  <c r="E77" i="5"/>
  <c r="C77" i="5"/>
  <c r="E76" i="5"/>
  <c r="C76" i="5"/>
  <c r="E75" i="5"/>
  <c r="C75" i="5"/>
  <c r="E74" i="5"/>
  <c r="C74" i="5"/>
  <c r="E73" i="5"/>
  <c r="C73" i="5"/>
  <c r="E71" i="5"/>
  <c r="C71" i="5"/>
  <c r="E70" i="5"/>
  <c r="C70" i="5"/>
  <c r="E69" i="5"/>
  <c r="C69" i="5"/>
  <c r="E68" i="5"/>
  <c r="C68" i="5"/>
  <c r="E67" i="5"/>
  <c r="C67" i="5"/>
  <c r="E65" i="5"/>
  <c r="C65" i="5"/>
  <c r="E64" i="5"/>
  <c r="C64" i="5"/>
  <c r="E63" i="5"/>
  <c r="C63" i="5"/>
  <c r="E62" i="5"/>
  <c r="C62" i="5"/>
  <c r="E61" i="5"/>
  <c r="C61" i="5"/>
  <c r="E59" i="5"/>
  <c r="C59" i="5"/>
  <c r="E58" i="5"/>
  <c r="C58" i="5"/>
  <c r="E57" i="5"/>
  <c r="C57" i="5"/>
  <c r="E56" i="5"/>
  <c r="C56" i="5"/>
  <c r="E55" i="5"/>
  <c r="C55" i="5"/>
  <c r="E54" i="5"/>
  <c r="C54" i="5"/>
  <c r="E53" i="5"/>
  <c r="C53" i="5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5" i="5"/>
  <c r="C35" i="5"/>
  <c r="E34" i="5"/>
  <c r="C34" i="5"/>
  <c r="E33" i="5"/>
  <c r="C33" i="5"/>
  <c r="E32" i="5"/>
  <c r="C32" i="5"/>
  <c r="E31" i="5"/>
  <c r="C31" i="5"/>
  <c r="E29" i="5"/>
  <c r="C29" i="5"/>
  <c r="E28" i="5"/>
  <c r="C28" i="5"/>
  <c r="E27" i="5"/>
  <c r="C27" i="5"/>
  <c r="E26" i="5"/>
  <c r="C26" i="5"/>
  <c r="E25" i="5"/>
  <c r="C25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E16" i="5"/>
  <c r="C16" i="5"/>
  <c r="E15" i="5"/>
  <c r="C15" i="5"/>
  <c r="E14" i="5"/>
  <c r="C14" i="5"/>
  <c r="E13" i="5"/>
  <c r="C13" i="5"/>
  <c r="E12" i="5"/>
  <c r="C12" i="5"/>
  <c r="E11" i="5"/>
  <c r="C11" i="5"/>
  <c r="E10" i="5"/>
  <c r="C10" i="5"/>
  <c r="E9" i="5"/>
  <c r="C9" i="5"/>
  <c r="E8" i="5"/>
  <c r="C8" i="5"/>
  <c r="E7" i="5"/>
  <c r="C7" i="5"/>
  <c r="E6" i="5"/>
  <c r="C6" i="5"/>
  <c r="E5" i="5"/>
  <c r="C5" i="5"/>
  <c r="E4" i="5"/>
  <c r="C4" i="5"/>
  <c r="E3" i="5"/>
  <c r="C3" i="5"/>
  <c r="E2" i="5"/>
  <c r="C2" i="5"/>
  <c r="E85" i="2"/>
  <c r="C85" i="2"/>
  <c r="E83" i="2"/>
  <c r="C83" i="2"/>
  <c r="E82" i="2"/>
  <c r="C82" i="2"/>
  <c r="E81" i="2"/>
  <c r="C81" i="2"/>
  <c r="E80" i="2"/>
  <c r="C80" i="2"/>
  <c r="E79" i="2"/>
  <c r="C79" i="2"/>
  <c r="E77" i="2"/>
  <c r="C77" i="2"/>
  <c r="E76" i="2"/>
  <c r="C76" i="2"/>
  <c r="E75" i="2"/>
  <c r="C75" i="2"/>
  <c r="E74" i="2"/>
  <c r="C74" i="2"/>
  <c r="E73" i="2"/>
  <c r="C73" i="2"/>
  <c r="E72" i="2"/>
  <c r="C72" i="2"/>
  <c r="E71" i="2"/>
  <c r="C71" i="2"/>
  <c r="E70" i="2"/>
  <c r="C70" i="2"/>
  <c r="E69" i="2"/>
  <c r="C69" i="2"/>
  <c r="E68" i="2"/>
  <c r="C68" i="2"/>
  <c r="E67" i="2"/>
  <c r="C67" i="2"/>
  <c r="E65" i="2"/>
  <c r="C65" i="2"/>
  <c r="E64" i="2"/>
  <c r="C64" i="2"/>
  <c r="E63" i="2"/>
  <c r="C63" i="2"/>
  <c r="E62" i="2"/>
  <c r="C62" i="2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85" i="1"/>
  <c r="C85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1" i="1"/>
  <c r="C71" i="1"/>
  <c r="E70" i="1"/>
  <c r="C70" i="1"/>
  <c r="E69" i="1"/>
  <c r="C69" i="1"/>
  <c r="E68" i="1"/>
  <c r="C68" i="1"/>
  <c r="E67" i="1"/>
  <c r="C67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3" i="1"/>
  <c r="C53" i="1"/>
  <c r="E52" i="1"/>
  <c r="C52" i="1"/>
  <c r="E51" i="1"/>
  <c r="C51" i="1"/>
  <c r="E50" i="1"/>
  <c r="C50" i="1"/>
  <c r="E49" i="1"/>
  <c r="C49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M3" i="12" l="1"/>
  <c r="M2" i="12"/>
  <c r="M4" i="12" s="1"/>
  <c r="N3" i="12"/>
  <c r="N2" i="12"/>
  <c r="N4" i="12" s="1"/>
  <c r="O3" i="12"/>
  <c r="O2" i="12"/>
  <c r="O4" i="12" s="1"/>
  <c r="P3" i="12"/>
  <c r="P2" i="12"/>
  <c r="P4" i="12" s="1"/>
  <c r="Q3" i="12"/>
  <c r="Q2" i="12"/>
  <c r="Q4" i="12" s="1"/>
  <c r="R3" i="12"/>
  <c r="R2" i="12"/>
  <c r="R4" i="12" s="1"/>
  <c r="S3" i="12"/>
  <c r="S2" i="12"/>
  <c r="S4" i="12" s="1"/>
  <c r="T3" i="12"/>
  <c r="T2" i="12"/>
  <c r="T4" i="12" s="1"/>
  <c r="B43" i="12"/>
  <c r="B6" i="12"/>
  <c r="M5" i="12" s="1"/>
  <c r="N5" i="12" s="1"/>
  <c r="O5" i="12" s="1"/>
  <c r="P5" i="12" s="1"/>
  <c r="Q5" i="12" s="1"/>
  <c r="R5" i="12" s="1"/>
  <c r="S5" i="12" s="1"/>
  <c r="T5" i="12" s="1"/>
  <c r="G6" i="12"/>
  <c r="B16" i="12"/>
  <c r="G16" i="12"/>
  <c r="B26" i="12"/>
  <c r="G26" i="12"/>
  <c r="B36" i="12"/>
  <c r="G36" i="12"/>
  <c r="T6" i="12" l="1"/>
  <c r="S6" i="12"/>
  <c r="R6" i="12"/>
  <c r="Q6" i="12"/>
  <c r="P6" i="12"/>
  <c r="O6" i="12"/>
  <c r="N6" i="12"/>
  <c r="M6" i="12"/>
  <c r="G38" i="12"/>
  <c r="G37" i="12"/>
  <c r="G39" i="12" s="1"/>
  <c r="B38" i="12"/>
  <c r="B37" i="12"/>
  <c r="B39" i="12" s="1"/>
  <c r="G28" i="12"/>
  <c r="G27" i="12"/>
  <c r="G29" i="12" s="1"/>
  <c r="B28" i="12"/>
  <c r="B27" i="12"/>
  <c r="B29" i="12" s="1"/>
  <c r="G18" i="12"/>
  <c r="G17" i="12"/>
  <c r="G19" i="12" s="1"/>
  <c r="B18" i="12"/>
  <c r="B17" i="12"/>
  <c r="B19" i="12" s="1"/>
  <c r="G8" i="12"/>
  <c r="G7" i="12"/>
  <c r="G9" i="12" s="1"/>
  <c r="B8" i="12"/>
  <c r="B7" i="12"/>
  <c r="B9" i="12" s="1"/>
  <c r="B46" i="12"/>
  <c r="B48" i="12" l="1"/>
  <c r="B47" i="12"/>
  <c r="B49" i="12" s="1"/>
</calcChain>
</file>

<file path=xl/sharedStrings.xml><?xml version="1.0" encoding="utf-8"?>
<sst xmlns="http://schemas.openxmlformats.org/spreadsheetml/2006/main" count="1554" uniqueCount="327">
  <si>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</si>
  <si>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</si>
  <si>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</si>
  <si>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</si>
  <si>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</si>
  <si>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</si>
  <si>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</si>
  <si>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</si>
  <si>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</si>
  <si>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</si>
  <si>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</si>
  <si>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</si>
  <si>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total_data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</si>
  <si>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</si>
  <si>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</si>
  <si>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</si>
  <si>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</si>
  <si>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</si>
  <si>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</si>
  <si>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</si>
  <si>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</si>
  <si>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</si>
  <si>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</si>
  <si>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</si>
  <si>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Saša.</t>
  </si>
  <si>
    <t>What is Saša Škrtić's last name?</t>
  </si>
  <si>
    <t>Škrtić</t>
  </si>
  <si>
    <t>What is Saša Škrtić's age?</t>
  </si>
  <si>
    <t>65</t>
  </si>
  <si>
    <t>What is Saša Škrtić's gender?</t>
  </si>
  <si>
    <t>Male.</t>
  </si>
  <si>
    <t>List all Saša Škrtić's friends.</t>
  </si>
  <si>
    <t>Saša Škrtić's friends:</t>
  </si>
  <si>
    <t>How many friends does Saša Škrtić have?</t>
  </si>
  <si>
    <t>3 (Nada Sudar, Zoran Gore</t>
  </si>
  <si>
    <t>What is Duje Ravlić's first name?</t>
  </si>
  <si>
    <t>Duje's first name is not provided.</t>
  </si>
  <si>
    <t>What is Duje Ravlić's last name?</t>
  </si>
  <si>
    <t>Ravlić</t>
  </si>
  <si>
    <t>What is Duje Ravlić's age?</t>
  </si>
  <si>
    <t>38</t>
  </si>
  <si>
    <t>What is Duje Ravlić's gender?</t>
  </si>
  <si>
    <t>Male</t>
  </si>
  <si>
    <t>List all Duje Ravlić's friends.</t>
  </si>
  <si>
    <t>Duje Ravlić is friends with:
1</t>
  </si>
  <si>
    <t>How many friends does Duje Ravlić have?</t>
  </si>
  <si>
    <t>2</t>
  </si>
  <si>
    <t>What is Eduard Tutić's first name?</t>
  </si>
  <si>
    <t>Eduard</t>
  </si>
  <si>
    <t>What is Eduard Tutić's last name?</t>
  </si>
  <si>
    <t>Tutić</t>
  </si>
  <si>
    <t>What is Eduard Tutić's age?</t>
  </si>
  <si>
    <t>64 years old.</t>
  </si>
  <si>
    <t>What is Eduard Tutić's gender?</t>
  </si>
  <si>
    <t>List all Eduard Tutić's friends.</t>
  </si>
  <si>
    <t>Eduard Tutić's friends:
1</t>
  </si>
  <si>
    <t>How many friends does Eduard Tutić have?</t>
  </si>
  <si>
    <t>Eduard Tutić has 9 friends</t>
  </si>
  <si>
    <t>What is Zoran Goreta's first name?</t>
  </si>
  <si>
    <t>Zoran</t>
  </si>
  <si>
    <t>What is Zoran Goreta's last name?</t>
  </si>
  <si>
    <t>Goreta.</t>
  </si>
  <si>
    <t>What is Zoran Goreta's age?</t>
  </si>
  <si>
    <t>12 years old.</t>
  </si>
  <si>
    <t>What is Zoran Goreta's gender?</t>
  </si>
  <si>
    <t>List all Zoran Goreta's friends.</t>
  </si>
  <si>
    <t>Zoran Goreta's friends:
1. Edu</t>
  </si>
  <si>
    <t>How many friends does Zoran Goreta have?</t>
  </si>
  <si>
    <t>Zoran Goreta has 4 friends.</t>
  </si>
  <si>
    <t>What is Ivo Čelina's first name?</t>
  </si>
  <si>
    <t>Ivo.</t>
  </si>
  <si>
    <t>What is Ivo Čelina's last name?</t>
  </si>
  <si>
    <t>Ivo Čelina's last name is not</t>
  </si>
  <si>
    <t>What is Ivo Čelina's age?</t>
  </si>
  <si>
    <t>27 years old.</t>
  </si>
  <si>
    <t>What is Ivo Čelina's gender?</t>
  </si>
  <si>
    <t>List all Ivo Čelina's friends.</t>
  </si>
  <si>
    <t>There is no information about Ivo Čelina</t>
  </si>
  <si>
    <t>Technically there is no information because he has no friends</t>
  </si>
  <si>
    <t>How many friends does Ivo Čelina have?</t>
  </si>
  <si>
    <t>Not mentioned.</t>
  </si>
  <si>
    <t>What is Gordan Lucić's first name?</t>
  </si>
  <si>
    <t>Gordan</t>
  </si>
  <si>
    <t>What is Gordan Lucić's last name?</t>
  </si>
  <si>
    <t>Lucić</t>
  </si>
  <si>
    <t>What is Gordan Lucić's age?</t>
  </si>
  <si>
    <t>28</t>
  </si>
  <si>
    <t>What is Gordan Lucić's gender?</t>
  </si>
  <si>
    <t>List all Gordan Lucić's friends.</t>
  </si>
  <si>
    <t>Gordan Lucić's friends:
1. N</t>
  </si>
  <si>
    <t>The name could only be Nada Sudar, so it is accepted as half true</t>
  </si>
  <si>
    <t>How many friends does Gordan Lucić have?</t>
  </si>
  <si>
    <t>Gordan Lucić has 3 friends.</t>
  </si>
  <si>
    <t>What is Ljubomir Jurišić's first name?</t>
  </si>
  <si>
    <t>Ljubomir's first name is not</t>
  </si>
  <si>
    <t>What is Ljubomir Jurišić's last name?</t>
  </si>
  <si>
    <t>Jurišić</t>
  </si>
  <si>
    <t>What is Ljubomir Jurišić's age?</t>
  </si>
  <si>
    <t>What is Ljubomir Jurišić's gender?</t>
  </si>
  <si>
    <t>List all Ljubomir Jurišić's friends.</t>
  </si>
  <si>
    <t>Ljubomir Jurišić's</t>
  </si>
  <si>
    <t>How many friends does Ljubomir Jurišić have?</t>
  </si>
  <si>
    <t>7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</si>
  <si>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</si>
  <si>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</si>
  <si>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</si>
  <si>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</si>
  <si>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</si>
  <si>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>61</t>
  </si>
  <si>
    <t>What is Jagoda Draženović's gender?</t>
  </si>
  <si>
    <t>Female.</t>
  </si>
  <si>
    <t>List all Jagoda Draženović's friends.</t>
  </si>
  <si>
    <t>1. Ljubomir Juriš</t>
  </si>
  <si>
    <t>How many friends does Jagoda Draženović have?</t>
  </si>
  <si>
    <t>Jagoda Draženović has 8</t>
  </si>
  <si>
    <t>What is Monika Rimac's first name?</t>
  </si>
  <si>
    <t>Monika.</t>
  </si>
  <si>
    <t>What is Monika Rimac's last name?</t>
  </si>
  <si>
    <t>Rimac</t>
  </si>
  <si>
    <t>What is Monika Rimac's age?</t>
  </si>
  <si>
    <t>16 years old.</t>
  </si>
  <si>
    <t>What is Monika Rimac's gender?</t>
  </si>
  <si>
    <t>List all Monika Rimac's friends.</t>
  </si>
  <si>
    <t>Monika Rimac's friends:
1. Z</t>
  </si>
  <si>
    <t>How many friends does Monika Rimac have?</t>
  </si>
  <si>
    <t>Monika Rimac has 3 friends.</t>
  </si>
  <si>
    <t>What is Mia Popić's first name?</t>
  </si>
  <si>
    <t>Mia</t>
  </si>
  <si>
    <t>What is Mia Popić's last name?</t>
  </si>
  <si>
    <t>Popić</t>
  </si>
  <si>
    <t>What is Mia Popić's age?</t>
  </si>
  <si>
    <t>Mia Popić is 22 years old.</t>
  </si>
  <si>
    <t>What is Mia Popić's gender?</t>
  </si>
  <si>
    <t>List all Mia Popić's friends.</t>
  </si>
  <si>
    <t>Mia Popić's friends are:
1.</t>
  </si>
  <si>
    <t>How many friends does Mia Popić have?</t>
  </si>
  <si>
    <t>Mia Popić has 8 friends.</t>
  </si>
  <si>
    <t>What is Nada Sudar's first name?</t>
  </si>
  <si>
    <t>Nada.</t>
  </si>
  <si>
    <t>What is Nada Sudar's last name?</t>
  </si>
  <si>
    <t>Sudar</t>
  </si>
  <si>
    <t>What is Nada Sudar's age?</t>
  </si>
  <si>
    <t>25</t>
  </si>
  <si>
    <t>What is Nada Sudar's gender?</t>
  </si>
  <si>
    <t>List all Nada Sudar's friends.</t>
  </si>
  <si>
    <t>1. Gordan Lucić
2. Jag</t>
  </si>
  <si>
    <t>I am conflicted by "half true" here since only 2 are listed of the 7</t>
  </si>
  <si>
    <t>How many friends does Nada Sudar have?</t>
  </si>
  <si>
    <t>13</t>
  </si>
  <si>
    <t>What is Mirjam Devčić's first name?</t>
  </si>
  <si>
    <t>I don't have Mirjam Devčić's</t>
  </si>
  <si>
    <t>What is Mirjam Devčić's last name?</t>
  </si>
  <si>
    <t>Devčić</t>
  </si>
  <si>
    <t>What is Mirjam Devčić's age?</t>
  </si>
  <si>
    <t>69</t>
  </si>
  <si>
    <t>What is Mirjam Devčić's gender?</t>
  </si>
  <si>
    <t>List all Mirjam Devčić's friends.</t>
  </si>
  <si>
    <t>1. Mia Popić
2. Lea</t>
  </si>
  <si>
    <t>How many friends does Mirjam Devčić have?</t>
  </si>
  <si>
    <t>Mirjam Devčić has 8 friends.</t>
  </si>
  <si>
    <t>why does it double the number of friends?</t>
  </si>
  <si>
    <t>What is Lea Grubić's first name?</t>
  </si>
  <si>
    <t>Lea</t>
  </si>
  <si>
    <t>What is Lea Grubić's last name?</t>
  </si>
  <si>
    <t>Grubić.</t>
  </si>
  <si>
    <t>What is Lea Grubić's age?</t>
  </si>
  <si>
    <t>51</t>
  </si>
  <si>
    <t>What is Lea Grubić's gender?</t>
  </si>
  <si>
    <t>Female</t>
  </si>
  <si>
    <t>List all Lea Grubić's friends.</t>
  </si>
  <si>
    <t>Lea Grubić's friends: 
1</t>
  </si>
  <si>
    <t>How many friends does Lea Grubić have?</t>
  </si>
  <si>
    <t>Lea Grubić has 3 friends.</t>
  </si>
  <si>
    <t>What is Antonija Salinović's first name?</t>
  </si>
  <si>
    <t>Antonija</t>
  </si>
  <si>
    <t>What is Antonija Salinović's last name?</t>
  </si>
  <si>
    <t>Salinović</t>
  </si>
  <si>
    <t>What is Antonija Salinović's age?</t>
  </si>
  <si>
    <t>21</t>
  </si>
  <si>
    <t>What is Antonija Salinović's gender?</t>
  </si>
  <si>
    <t>List all Antonija Salinović's friends.</t>
  </si>
  <si>
    <t>How many friends does Antonija Salinović have?</t>
  </si>
  <si>
    <t>14</t>
  </si>
  <si>
    <t>Saša</t>
  </si>
  <si>
    <t>Saša Škrtić and Nada</t>
  </si>
  <si>
    <t>"and" feels like it is done listing</t>
  </si>
  <si>
    <t>4</t>
  </si>
  <si>
    <t>Duje Ravlić's friends: 
1</t>
  </si>
  <si>
    <t>9</t>
  </si>
  <si>
    <t>The data does not provide Zoran Goreta's</t>
  </si>
  <si>
    <t>12</t>
  </si>
  <si>
    <t>Zoran Goreta's friends:
- Eduard</t>
  </si>
  <si>
    <t>8</t>
  </si>
  <si>
    <t>Ivo</t>
  </si>
  <si>
    <t>Čelina</t>
  </si>
  <si>
    <t>27</t>
  </si>
  <si>
    <t>No information.</t>
  </si>
  <si>
    <t>The data does not mention Gordan Lucić's</t>
  </si>
  <si>
    <t>Gordan Lucić's friends are:
1.</t>
  </si>
  <si>
    <t>61 years old.</t>
  </si>
  <si>
    <t>Ljubomir Jurišić,</t>
  </si>
  <si>
    <t>11</t>
  </si>
  <si>
    <t>Rimac.</t>
  </si>
  <si>
    <t>16</t>
  </si>
  <si>
    <t>Zoran Goreta, Eduard Tutić</t>
  </si>
  <si>
    <t>22</t>
  </si>
  <si>
    <t>Gordan Lucić, Ljubomir</t>
  </si>
  <si>
    <t>Nada</t>
  </si>
  <si>
    <t>Gordan Lucić, Jagoda Draženovi</t>
  </si>
  <si>
    <t>Mirjam</t>
  </si>
  <si>
    <t>Mirjam Devčić's friends are:
1</t>
  </si>
  <si>
    <t>The data does not mention Lea Grubić</t>
  </si>
  <si>
    <t>Grubić</t>
  </si>
  <si>
    <t>Mirjam Devčić, Mia Popić,</t>
  </si>
  <si>
    <t>6</t>
  </si>
  <si>
    <t>Škrtić.</t>
  </si>
  <si>
    <t>MALE.</t>
  </si>
  <si>
    <t>1. Nada Sudar
2. Z</t>
  </si>
  <si>
    <t>Duje</t>
  </si>
  <si>
    <t>MALE</t>
  </si>
  <si>
    <t>Duje Ravlić's friends:
1.</t>
  </si>
  <si>
    <t>64.</t>
  </si>
  <si>
    <t>Eduard Tutić knows:
1.</t>
  </si>
  <si>
    <t>Zoran.</t>
  </si>
  <si>
    <t>None, only knows Ivo.</t>
  </si>
  <si>
    <t>knowing himself is redundant</t>
  </si>
  <si>
    <t>None</t>
  </si>
  <si>
    <t>Nada Sudar, Jagoda Dražen</t>
  </si>
  <si>
    <t>5</t>
  </si>
  <si>
    <t>Ljubomir</t>
  </si>
  <si>
    <t>Antonija Salinović, Jagoda</t>
  </si>
  <si>
    <t>FEMALE</t>
  </si>
  <si>
    <t xml:space="preserve">Jagoda Draženović's friends:
</t>
  </si>
  <si>
    <t>8.</t>
  </si>
  <si>
    <t>Monika</t>
  </si>
  <si>
    <t>Zoran Goreta, Mia Popić</t>
  </si>
  <si>
    <t>Mia Popić knows: 
- Antonija</t>
  </si>
  <si>
    <t>Nada Sudar's friends:
1. Jag</t>
  </si>
  <si>
    <t>Mirjam.</t>
  </si>
  <si>
    <t>Mirjam Devčić knows Mia Popić,</t>
  </si>
  <si>
    <t>Lea Grubić's friends:
1.</t>
  </si>
  <si>
    <t>3</t>
  </si>
  <si>
    <t>["Nada Sudar", "Zoran Gore</t>
  </si>
  <si>
    <t>Ravlić.</t>
  </si>
  <si>
    <t>Antonija Salinović</t>
  </si>
  <si>
    <t>1</t>
  </si>
  <si>
    <t>64</t>
  </si>
  <si>
    <t>[
  {"friend": "Zoran Goreta</t>
  </si>
  <si>
    <t>0</t>
  </si>
  <si>
    <t>Gordan Lucić's friends:
- Nada</t>
  </si>
  <si>
    <t>{"friend": "Ljubomir J</t>
  </si>
  <si>
    <t>Jagoda Draženović has 7</t>
  </si>
  <si>
    <t>FEMALE.</t>
  </si>
  <si>
    <t>Monika Rimac has 2 friends.</t>
  </si>
  <si>
    <t>["Antonija Salinović", "</t>
  </si>
  <si>
    <t>Mia Popić has 7 friends.</t>
  </si>
  <si>
    <t>Nada Sudar's friends:
- Jagoda</t>
  </si>
  <si>
    <t>Mirjam Devčić's friends:
- Mia</t>
  </si>
  <si>
    <t>Mirjam Devčić has 4 friends.</t>
  </si>
  <si>
    <t>Lea Grubić's friends: 
-</t>
  </si>
  <si>
    <t>Salinović.</t>
  </si>
  <si>
    <t>Nada Sudar, Zoran Goreta</t>
  </si>
  <si>
    <t>1. Antonija Salinović</t>
  </si>
  <si>
    <t>1. Zoran Goreta
2. Mia</t>
  </si>
  <si>
    <t>Saša Škrtić, Eduard</t>
  </si>
  <si>
    <t>None.</t>
  </si>
  <si>
    <t>Gordan Lucić's friends are:
1.</t>
  </si>
  <si>
    <t>1. Antonija Salinović
2</t>
  </si>
  <si>
    <t>Jagoda.</t>
  </si>
  <si>
    <t>Mia Popić's friends:
1. Anton</t>
  </si>
  <si>
    <t>Sudar.</t>
  </si>
  <si>
    <t>Mirjam Devčić's friends:
1.</t>
  </si>
  <si>
    <t>Mirjam Devčić, Nada Sudar</t>
  </si>
  <si>
    <t>#person0 and #person3</t>
  </si>
  <si>
    <t>Duje.</t>
  </si>
  <si>
    <t>#person1</t>
  </si>
  <si>
    <t>None, listed as "knows" but no</t>
  </si>
  <si>
    <t>person2, person8, person9, person</t>
  </si>
  <si>
    <t>13.</t>
  </si>
  <si>
    <t>Zoran Goreta's friends:
1. person</t>
  </si>
  <si>
    <t>None, no friends listed.</t>
  </si>
  <si>
    <t>Gordan.</t>
  </si>
  <si>
    <t>Ljubomir's first name is L</t>
  </si>
  <si>
    <t>cannot know for certain, but he did write it technically</t>
  </si>
  <si>
    <t>Ljubomir Jurišić knows</t>
  </si>
  <si>
    <t>Zoran Goreta (#person3), Eduard</t>
  </si>
  <si>
    <t>3 (#person3, #person2)</t>
  </si>
  <si>
    <t>Mia.</t>
  </si>
  <si>
    <t>#person9</t>
  </si>
  <si>
    <t>Nada Sudar's friends: 
- person</t>
  </si>
  <si>
    <t>Mirjam Devčić knows person 9 (</t>
  </si>
  <si>
    <t>Lea.</t>
  </si>
  <si>
    <t>None listed.</t>
  </si>
  <si>
    <t>#person6, #person9, #person</t>
  </si>
  <si>
    <t>0, 3, 2, 10</t>
  </si>
  <si>
    <t>1. Jagoda Draženović
2</t>
  </si>
  <si>
    <t>1. Zoran Goreta
2. Sa</t>
  </si>
  <si>
    <t>Eduard Tutić has 6 friends</t>
  </si>
  <si>
    <t>Goreta</t>
  </si>
  <si>
    <t>Zoran Goreta's friends are:
- Human</t>
  </si>
  <si>
    <t>Lucić.</t>
  </si>
  <si>
    <t>Gordan Lucić's friends are:
- L</t>
  </si>
  <si>
    <t>Only one name starts with "L"</t>
  </si>
  <si>
    <t>Ljubomir has 7 friends.</t>
  </si>
  <si>
    <t>Jagoda has 4 friends.</t>
  </si>
  <si>
    <t>&lt;friend ref="3"/&gt;
&lt;friend ref="</t>
  </si>
  <si>
    <t>Mia has 6 friends.</t>
  </si>
  <si>
    <t>Human id="10"&gt;Nada Sudar&lt;/</t>
  </si>
  <si>
    <t>Human id "11" (Mirjam Devč</t>
  </si>
  <si>
    <t>Mirjam Devčić, Lea Grubi</t>
  </si>
  <si>
    <t xml:space="preserve">1. Jagoda Draženović
</t>
  </si>
  <si>
    <t>0, 3, 10</t>
  </si>
  <si>
    <t>3, 8, 9, 10</t>
  </si>
  <si>
    <t>Eduard Tutić has 7 friends</t>
  </si>
  <si>
    <t>Zoran Goreta's friends: 
- Du</t>
  </si>
  <si>
    <t xml:space="preserve">Gordan Lucić's friends are:
- </t>
  </si>
  <si>
    <t>6, 7, 13</t>
  </si>
  <si>
    <t>Ljubomir Jurišić has</t>
  </si>
  <si>
    <t>{"friend": "6"}, {"friend": "</t>
  </si>
  <si>
    <t>{"friend": "3"}, {"friend": "</t>
  </si>
  <si>
    <t>["3", "7", "2", "</t>
  </si>
  <si>
    <t>Mia has 7 friends.</t>
  </si>
  <si>
    <t>{"friend": "7"}, {"friend": "</t>
  </si>
  <si>
    <t>Nada Sudar has 13 friends.</t>
  </si>
  <si>
    <t>{"friend": "9"}, {"friend": "</t>
  </si>
  <si>
    <t>9, 10, 11, 12</t>
  </si>
  <si>
    <t>Antonija Salinović has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</si>
</sst>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32E1-DE86-40CD-B452-F844C852646E}">
  <dimension ref="A1:T49"/>
  <sheetViews>
    <sheetView workbookViewId="0">
      <selection activeCell="M5" sqref="M5"/>
    </sheetView>
  </sheetViews>
  <sheetFormatPr defaultRowHeight="15"/>
  <cols>
    <col min="1" max="1" width="10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15.7109375" bestFit="1" customWidth="1"/>
    <col min="7" max="7" width="12.5703125" bestFit="1" customWidth="1"/>
    <col min="8" max="8" width="6.28515625" bestFit="1" customWidth="1"/>
    <col min="9" max="9" width="8.5703125" bestFit="1" customWidth="1"/>
    <col min="12" max="12" width="10.140625" bestFit="1" customWidth="1"/>
    <col min="13" max="13" width="12.5703125" bestFit="1" customWidth="1"/>
    <col min="14" max="14" width="15.28515625" bestFit="1" customWidth="1"/>
    <col min="15" max="17" width="12.5703125" bestFit="1" customWidth="1"/>
    <col min="18" max="18" width="14.7109375" bestFit="1" customWidth="1"/>
    <col min="19" max="19" width="12.5703125" bestFit="1" customWidth="1"/>
    <col min="20" max="20" width="15.7109375" bestFit="1" customWidth="1"/>
  </cols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67</v>
      </c>
      <c r="N2">
        <f ca="1">G3+G4+G5</f>
        <v>64</v>
      </c>
      <c r="O2">
        <f ca="1">B13+B14+B15</f>
        <v>55</v>
      </c>
      <c r="P2">
        <f ca="1">G13+G14+G15</f>
        <v>52</v>
      </c>
      <c r="Q2">
        <f ca="1">B23+B24+B25</f>
        <v>59</v>
      </c>
      <c r="R2">
        <f ca="1">G23+G24+G25</f>
        <v>63</v>
      </c>
      <c r="S2">
        <f ca="1">B33+B34+B35</f>
        <v>62</v>
      </c>
      <c r="T2">
        <f ca="1">G33+G34+G35</f>
        <v>67</v>
      </c>
    </row>
    <row r="3" spans="1:20">
      <c r="A3" t="b">
        <v>1</v>
      </c>
      <c r="B3">
        <f ca="1">COUNTIFS(INDIRECT(A1 &amp; "!$C$2:$C$86"),TRUE, INDIRECT(A1 &amp; "!$E$2:$E$86"),TRUE)</f>
        <v>67</v>
      </c>
      <c r="C3">
        <f ca="1">COUNTIFS(INDIRECT(A1 &amp; "!$C$2:$C$86"),TRUE, INDIRECT(A1 &amp; "!$E$2:$E$86"),FALSE)</f>
        <v>0</v>
      </c>
      <c r="D3">
        <f ca="1">COUNTIFS(INDIRECT(A1 &amp; "!$C$2:$C$86"),TRUE, INDIRECT(A1 &amp; "!$E$2:$E$86"),"half true")</f>
        <v>0</v>
      </c>
      <c r="F3" t="b">
        <v>1</v>
      </c>
      <c r="G3">
        <f ca="1">COUNTIFS(INDIRECT(F1 &amp; "!$C$2:$C$86"),TRUE, INDIRECT(F1 &amp; "!$E$2:$E$86"),TRUE)</f>
        <v>64</v>
      </c>
      <c r="H3">
        <f ca="1">COUNTIFS(INDIRECT(F1 &amp; "!$C$2:$C$86"),TRUE, INDIRECT(F1 &amp; "!$E$2:$E$86"),FALSE)</f>
        <v>0</v>
      </c>
      <c r="I3">
        <f ca="1">COUNTIFS(INDIRECT(F1 &amp; "!$C$2:$C$86"),TRUE, INDIRECT(F1 &amp; "!$E$2:$E$86"),"half true")</f>
        <v>0</v>
      </c>
      <c r="L3" t="s">
        <v>10</v>
      </c>
      <c r="M3">
        <f ca="1">SUM(B3:D3)</f>
        <v>67</v>
      </c>
      <c r="N3">
        <f ca="1">SUM(G3:I3)</f>
        <v>64</v>
      </c>
      <c r="O3">
        <f ca="1">SUM(B13:D13)</f>
        <v>55</v>
      </c>
      <c r="P3">
        <f ca="1">SUM(G13:I13)</f>
        <v>52</v>
      </c>
      <c r="Q3">
        <f ca="1">SUM(B23:D23)</f>
        <v>59</v>
      </c>
      <c r="R3">
        <f ca="1">G23+H23+I23</f>
        <v>63</v>
      </c>
      <c r="S3">
        <f ca="1">B33+C33+D33</f>
        <v>62</v>
      </c>
      <c r="T3">
        <f ca="1">G33+H33+I33</f>
        <v>67</v>
      </c>
    </row>
    <row r="4" spans="1:20">
      <c r="A4" t="b">
        <v>0</v>
      </c>
      <c r="B4">
        <f ca="1">COUNTIFS(INDIRECT(A1 &amp; "!$C$2:$C$86"),FALSE, INDIRECT(A1 &amp; "!$E$2:$E$86"),TRUE)</f>
        <v>0</v>
      </c>
      <c r="C4">
        <f ca="1">COUNTIFS(INDIRECT(A1 &amp; "!$C$2:$C$86"),FALSE, INDIRECT(A1 &amp; "!$E$2:$E$86"),FALSE)</f>
        <v>14</v>
      </c>
      <c r="D4">
        <f ca="1">COUNTIFS(INDIRECT(A1 &amp; "!$C$2:$C$86"),FALSE, INDIRECT(A1 &amp; "!$E$2:$E$86"),"half true")</f>
        <v>0</v>
      </c>
      <c r="F4" t="b">
        <v>0</v>
      </c>
      <c r="G4">
        <f ca="1">COUNTIFS(INDIRECT(F1 &amp; "!$C$2:$C$86"),FALSE, INDIRECT(F1 &amp; "!$E$2:$E$86"),TRUE)</f>
        <v>0</v>
      </c>
      <c r="H4">
        <f ca="1">COUNTIFS(INDIRECT(F1 &amp; "!$C$2:$C$86"),FALSE, INDIRECT(F1 &amp; "!$E$2:$E$86"),FALSE)</f>
        <v>12</v>
      </c>
      <c r="I4">
        <f ca="1">COUNTIFS(INDIRECT(F1 &amp; "!$C$2:$C$86"),FALSE, INDIRECT(F1 &amp; "!$E$2:$E$86"),"half true")</f>
        <v>0</v>
      </c>
      <c r="L4" t="s">
        <v>11</v>
      </c>
      <c r="M4">
        <f ca="1">SUM(M2:M3)</f>
        <v>134</v>
      </c>
      <c r="N4">
        <f t="shared" ref="N4:T4" ca="1" si="0">SUM(N2:N3)</f>
        <v>128</v>
      </c>
      <c r="O4">
        <f t="shared" ca="1" si="0"/>
        <v>110</v>
      </c>
      <c r="P4">
        <f t="shared" ca="1" si="0"/>
        <v>104</v>
      </c>
      <c r="Q4">
        <f t="shared" ca="1" si="0"/>
        <v>118</v>
      </c>
      <c r="R4">
        <f t="shared" ca="1" si="0"/>
        <v>126</v>
      </c>
      <c r="S4">
        <f t="shared" ca="1" si="0"/>
        <v>124</v>
      </c>
      <c r="T4">
        <f t="shared" ca="1" si="0"/>
        <v>134</v>
      </c>
    </row>
    <row r="5" spans="1:20">
      <c r="A5" t="s">
        <v>8</v>
      </c>
      <c r="B5">
        <f ca="1">COUNTIFS(INDIRECT(A1 &amp; "!$C$2:$C$86"),"half true", INDIRECT(A1 &amp; "!$E$2:$E$86"),TRUE)</f>
        <v>0</v>
      </c>
      <c r="C5">
        <f ca="1">COUNTIFS(INDIRECT(A1 &amp; "!$C$2:$C$86"),"half true", INDIRECT(A1 &amp; "!$E$2:$E$86"),FALSE)</f>
        <v>0</v>
      </c>
      <c r="D5">
        <f ca="1">COUNTIFS(INDIRECT(A1 &amp; "!$C$2:$C$86"),"half true", INDIRECT(A1 &amp; "!$E$2:$E$86"),"half true")</f>
        <v>3</v>
      </c>
      <c r="F5" t="s">
        <v>8</v>
      </c>
      <c r="G5">
        <f ca="1">COUNTIFS(INDIRECT(F1 &amp; "!$C$2:$C$86"),"half true", INDIRECT(F1 &amp; "!$E$2:$E$86"),TRUE)</f>
        <v>0</v>
      </c>
      <c r="H5">
        <f ca="1">COUNTIFS(INDIRECT(F1 &amp; "!$C$2:$C$86"),"half true", INDIRECT(F1 &amp; "!$E$2:$E$86"),FALSE)</f>
        <v>4</v>
      </c>
      <c r="I5">
        <f ca="1">COUNTIFS(INDIRECT(F1 &amp; "!$C$2:$C$86"),"half true", INDIRECT(F1 &amp; "!$E$2:$E$86"),"half true")</f>
        <v>4</v>
      </c>
      <c r="L5" t="s">
        <v>12</v>
      </c>
      <c r="M5">
        <f ca="1">2*B6</f>
        <v>168</v>
      </c>
      <c r="N5">
        <f ca="1">M5</f>
        <v>168</v>
      </c>
      <c r="O5">
        <f t="shared" ref="O5:T5" ca="1" si="1">N5</f>
        <v>168</v>
      </c>
      <c r="P5">
        <f t="shared" ca="1" si="1"/>
        <v>168</v>
      </c>
      <c r="Q5">
        <f t="shared" ca="1" si="1"/>
        <v>168</v>
      </c>
      <c r="R5">
        <f t="shared" ca="1" si="1"/>
        <v>168</v>
      </c>
      <c r="S5">
        <f t="shared" ca="1" si="1"/>
        <v>168</v>
      </c>
      <c r="T5">
        <f t="shared" ca="1" si="1"/>
        <v>168</v>
      </c>
    </row>
    <row r="6" spans="1:20">
      <c r="A6" t="s">
        <v>13</v>
      </c>
      <c r="B6">
        <f ca="1">SUM(B3:D5)</f>
        <v>84</v>
      </c>
      <c r="F6" t="s">
        <v>13</v>
      </c>
      <c r="G6">
        <f ca="1">SUM(G3:I5)</f>
        <v>84</v>
      </c>
      <c r="M6">
        <f ca="1">M4/M5</f>
        <v>0.79761904761904767</v>
      </c>
      <c r="N6">
        <f t="shared" ref="N6:T6" ca="1" si="2">N4/N5</f>
        <v>0.76190476190476186</v>
      </c>
      <c r="O6">
        <f t="shared" ca="1" si="2"/>
        <v>0.65476190476190477</v>
      </c>
      <c r="P6">
        <f t="shared" ca="1" si="2"/>
        <v>0.61904761904761907</v>
      </c>
      <c r="Q6">
        <f t="shared" ca="1" si="2"/>
        <v>0.70238095238095233</v>
      </c>
      <c r="R6">
        <f t="shared" ca="1" si="2"/>
        <v>0.75</v>
      </c>
      <c r="S6">
        <f t="shared" ca="1" si="2"/>
        <v>0.73809523809523814</v>
      </c>
      <c r="T6">
        <f t="shared" ca="1" si="2"/>
        <v>0.79761904761904767</v>
      </c>
    </row>
    <row r="7" spans="1:20">
      <c r="A7" t="s">
        <v>14</v>
      </c>
      <c r="B7">
        <f ca="1">(B3+C4+D5)/B6</f>
        <v>1</v>
      </c>
      <c r="F7" t="s">
        <v>14</v>
      </c>
      <c r="G7">
        <f ca="1">(G3+H4+I5)/G6</f>
        <v>0.95238095238095233</v>
      </c>
    </row>
    <row r="8" spans="1:20">
      <c r="A8" t="s">
        <v>15</v>
      </c>
      <c r="B8">
        <f ca="1">((SUM(B3:D3)*SUM(B3:B5))+(SUM(B4:D4)*SUM(C3:C5))+(SUM(B5:D5)*SUM(D3:D5)))/(B6^2)</f>
        <v>0.66524943310657592</v>
      </c>
      <c r="F8" t="s">
        <v>15</v>
      </c>
      <c r="G8">
        <f ca="1">((SUM(G3:I3)*SUM(G3:G5))+(SUM(G4:I4)*SUM(H3:H5))+(SUM(G5:I5)*SUM(I3:I5)))/(G6^2)</f>
        <v>0.61224489795918369</v>
      </c>
    </row>
    <row r="9" spans="1:20">
      <c r="A9" t="s">
        <v>16</v>
      </c>
      <c r="B9">
        <f ca="1">(B7-B8)/(1-B8)</f>
        <v>1</v>
      </c>
      <c r="F9" t="s">
        <v>16</v>
      </c>
      <c r="G9">
        <f ca="1">(G7-G8)/(1-G8)</f>
        <v>0.87719298245614019</v>
      </c>
    </row>
    <row r="11" spans="1:20">
      <c r="A11" t="s">
        <v>2</v>
      </c>
      <c r="F11" t="s">
        <v>3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</row>
    <row r="13" spans="1:20">
      <c r="A13" t="b">
        <v>1</v>
      </c>
      <c r="B13">
        <f ca="1">COUNTIFS(INDIRECT(A11 &amp; "!$C$2:$C$86"),TRUE, INDIRECT(A11 &amp; "!$E$2:$E$86"),TRUE)</f>
        <v>55</v>
      </c>
      <c r="C13">
        <f ca="1">COUNTIFS(INDIRECT(A11 &amp; "!$C$2:$C$86"),TRUE, INDIRECT(A11 &amp; "!$E$2:$E$86"),FALSE)</f>
        <v>0</v>
      </c>
      <c r="D13">
        <f ca="1">COUNTIFS(INDIRECT(A11 &amp; "!$C$2:$C$86"),TRUE, INDIRECT(A11 &amp; "!$E$2:$E$86"),"half true")</f>
        <v>0</v>
      </c>
      <c r="F13" t="b">
        <v>1</v>
      </c>
      <c r="G13">
        <f ca="1">COUNTIFS(INDIRECT(F11 &amp; "!$C$2:$C$86"),TRUE, INDIRECT(F11 &amp; "!$E$2:$E$86"),TRUE)</f>
        <v>52</v>
      </c>
      <c r="H13">
        <f ca="1">COUNTIFS(INDIRECT(F11 &amp; "!$C$2:$C$86"),TRUE, INDIRECT(F11 &amp; "!$E$2:$E$86"),FALSE)</f>
        <v>0</v>
      </c>
      <c r="I13">
        <f ca="1">COUNTIFS(INDIRECT(F11 &amp; "!$C$2:$C$86"),TRUE, INDIRECT(F11 &amp; "!$E$2:$E$86"),"half true")</f>
        <v>0</v>
      </c>
    </row>
    <row r="14" spans="1:20">
      <c r="A14" t="b">
        <v>0</v>
      </c>
      <c r="B14">
        <f ca="1">COUNTIFS(INDIRECT(A11 &amp; "!$C$2:$C$86"),FALSE, INDIRECT(A11 &amp; "!$E$2:$E$86"),TRUE)</f>
        <v>0</v>
      </c>
      <c r="C14">
        <f ca="1">COUNTIFS(INDIRECT(A11 &amp; "!$C$2:$C$86"),FALSE, INDIRECT(A11 &amp; "!$E$2:$E$86"),FALSE)</f>
        <v>22</v>
      </c>
      <c r="D14">
        <f ca="1">COUNTIFS(INDIRECT(A11 &amp; "!$C$2:$C$86"),FALSE, INDIRECT(A11 &amp; "!$E$2:$E$86"),"half true")</f>
        <v>0</v>
      </c>
      <c r="F14" t="b">
        <v>0</v>
      </c>
      <c r="G14">
        <f ca="1">COUNTIFS(INDIRECT(F11 &amp; "!$C$2:$C$86"),FALSE, INDIRECT(F11 &amp; "!$E$2:$E$86"),TRUE)</f>
        <v>0</v>
      </c>
      <c r="H14">
        <f ca="1">COUNTIFS(INDIRECT(F11 &amp; "!$C$2:$C$86"),FALSE, INDIRECT(F11 &amp; "!$E$2:$E$86"),FALSE)</f>
        <v>27</v>
      </c>
      <c r="I14">
        <f ca="1">COUNTIFS(INDIRECT(F11 &amp; "!$C$2:$C$86"),FALSE, INDIRECT(F11 &amp; "!$E$2:$E$86"),"half true")</f>
        <v>0</v>
      </c>
    </row>
    <row r="15" spans="1:20">
      <c r="A15" t="s">
        <v>8</v>
      </c>
      <c r="B15">
        <f ca="1">COUNTIFS(INDIRECT(A11 &amp; "!$C$2:$C$86"),"half true", INDIRECT(A11 &amp; "!$E$2:$E$86"),TRUE)</f>
        <v>0</v>
      </c>
      <c r="C15">
        <f ca="1">COUNTIFS(INDIRECT(A11 &amp; "!$C$2:$C$86"),"half true", INDIRECT(A11 &amp; "!$E$2:$E$86"),FALSE)</f>
        <v>0</v>
      </c>
      <c r="D15">
        <f ca="1">COUNTIFS(INDIRECT(A11 &amp; "!$C$2:$C$86"),"half true", INDIRECT(A11 &amp; "!$E$2:$E$86"),"half true")</f>
        <v>7</v>
      </c>
      <c r="F15" t="s">
        <v>8</v>
      </c>
      <c r="G15">
        <f ca="1">COUNTIFS(INDIRECT(F11 &amp; "!$C$2:$C$86"),"half true", INDIRECT(F11 &amp; "!$E$2:$E$86"),TRUE)</f>
        <v>0</v>
      </c>
      <c r="H15">
        <f ca="1">COUNTIFS(INDIRECT(F11 &amp; "!$C$2:$C$86"),"half true", INDIRECT(F11 &amp; "!$E$2:$E$86"),FALSE)</f>
        <v>0</v>
      </c>
      <c r="I15">
        <f ca="1">COUNTIFS(INDIRECT(F11 &amp; "!$C$2:$C$86"),"half true", INDIRECT(F11 &amp; "!$E$2:$E$86"),"half true")</f>
        <v>5</v>
      </c>
    </row>
    <row r="16" spans="1:20">
      <c r="A16" t="s">
        <v>13</v>
      </c>
      <c r="B16">
        <f ca="1">SUM(B13:D15)</f>
        <v>84</v>
      </c>
      <c r="F16" t="s">
        <v>13</v>
      </c>
      <c r="G16">
        <f ca="1">SUM(G13:I15)</f>
        <v>84</v>
      </c>
    </row>
    <row r="17" spans="1:9">
      <c r="A17" t="s">
        <v>14</v>
      </c>
      <c r="B17">
        <f ca="1">(B13+C14+D15)/B16</f>
        <v>1</v>
      </c>
      <c r="F17" t="s">
        <v>14</v>
      </c>
      <c r="G17">
        <f ca="1">(G13+H14+I15)/G16</f>
        <v>1</v>
      </c>
    </row>
    <row r="18" spans="1:9">
      <c r="A18" t="s">
        <v>15</v>
      </c>
      <c r="B18">
        <f ca="1">((SUM(B13:D13)*SUM(B13:B15))+(SUM(B14:D14)*SUM(C13:C15))+(SUM(B15:D15)*SUM(D13:D15)))/(B16^2)</f>
        <v>0.50425170068027214</v>
      </c>
      <c r="F18" t="s">
        <v>15</v>
      </c>
      <c r="G18">
        <f ca="1">((SUM(G13:I13)*SUM(G13:G15))+(SUM(G14:I14)*SUM(H13:H15))+(SUM(G15:I15)*SUM(I13:I15)))/(G16^2)</f>
        <v>0.49007936507936506</v>
      </c>
    </row>
    <row r="19" spans="1:9">
      <c r="A19" t="s">
        <v>16</v>
      </c>
      <c r="B19">
        <f ca="1">(B17-B18)/(1-B18)</f>
        <v>1</v>
      </c>
      <c r="F19" t="s">
        <v>16</v>
      </c>
      <c r="G19">
        <f ca="1">(G17-G18)/(1-G18)</f>
        <v>1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"!$C$2:$C$86"),TRUE, INDIRECT(A21 &amp; "!$E$2:$E$86"),TRUE)</f>
        <v>59</v>
      </c>
      <c r="C23">
        <f ca="1">COUNTIFS(INDIRECT(A21 &amp; "!$C$2:$C$86"),TRUE, INDIRECT(A21 &amp; "!$E$2:$E$86"),FALSE)</f>
        <v>0</v>
      </c>
      <c r="D23">
        <f ca="1">COUNTIFS(INDIRECT(A21 &amp; "!$C$2:$C$86"),TRUE, INDIRECT(A21 &amp; "!$E$2:$E$86"),"half true")</f>
        <v>0</v>
      </c>
      <c r="F23" t="b">
        <v>1</v>
      </c>
      <c r="G23">
        <f ca="1">COUNTIFS(INDIRECT(F21 &amp; "!$C$2:$C$86"),TRUE, INDIRECT(F21 &amp; "!$E$2:$E$86"),TRUE)</f>
        <v>63</v>
      </c>
      <c r="H23">
        <f ca="1">COUNTIFS(INDIRECT(F21 &amp; "!$C$2:$C$86"),TRUE, INDIRECT(F21 &amp; "!$E$2:$E$86"),FALSE)</f>
        <v>0</v>
      </c>
      <c r="I23">
        <f ca="1">COUNTIFS(INDIRECT(F21 &amp; "!$C$2:$C$86"),TRUE, INDIRECT(F21 &amp; "!$E$2:$E$86"),"half true")</f>
        <v>0</v>
      </c>
    </row>
    <row r="24" spans="1:9">
      <c r="A24" t="b">
        <v>0</v>
      </c>
      <c r="B24">
        <f ca="1">COUNTIFS(INDIRECT(A21 &amp; "!$C$2:$C$86"),FALSE, INDIRECT(A21 &amp; "!$E$2:$E$86"),TRUE)</f>
        <v>0</v>
      </c>
      <c r="C24">
        <f ca="1">COUNTIFS(INDIRECT(A21 &amp; "!$C$2:$C$86"),FALSE, INDIRECT(A21 &amp; "!$E$2:$E$86"),FALSE)</f>
        <v>19</v>
      </c>
      <c r="D24">
        <f ca="1">COUNTIFS(INDIRECT(A21 &amp; "!$C$2:$C$86"),FALSE, INDIRECT(A21 &amp; "!$E$2:$E$86"),"half true")</f>
        <v>0</v>
      </c>
      <c r="F24" t="b">
        <v>0</v>
      </c>
      <c r="G24">
        <f ca="1">COUNTIFS(INDIRECT(F21 &amp; "!$C$2:$C$86"),FALSE, INDIRECT(F21 &amp; "!$E$2:$E$86"),TRUE)</f>
        <v>0</v>
      </c>
      <c r="H24">
        <f ca="1">COUNTIFS(INDIRECT(F21 &amp; "!$C$2:$C$86"),FALSE, INDIRECT(F21 &amp; "!$E$2:$E$86"),FALSE)</f>
        <v>14</v>
      </c>
      <c r="I24">
        <f ca="1">COUNTIFS(INDIRECT(F21 &amp; "!$C$2:$C$86"),FALSE, INDIRECT(F21 &amp; "!$E$2:$E$86"),"half true")</f>
        <v>0</v>
      </c>
    </row>
    <row r="25" spans="1:9">
      <c r="A25" t="s">
        <v>8</v>
      </c>
      <c r="B25">
        <f ca="1">COUNTIFS(INDIRECT(A21 &amp; "!$C$2:$C$86"),"half true", INDIRECT(A21 &amp; "!$E$2:$E$86"),TRUE)</f>
        <v>0</v>
      </c>
      <c r="C25">
        <f ca="1">COUNTIFS(INDIRECT(A21 &amp; "!$C$2:$C$86"),"half true", INDIRECT(A21 &amp; "!$E$2:$E$86"),FALSE)</f>
        <v>0</v>
      </c>
      <c r="D25">
        <f ca="1">COUNTIFS(INDIRECT(A21 &amp; "!$C$2:$C$86"),"half true", INDIRECT(A21 &amp; "!$E$2:$E$86"),"half true")</f>
        <v>6</v>
      </c>
      <c r="F25" t="s">
        <v>8</v>
      </c>
      <c r="G25">
        <f ca="1">COUNTIFS(INDIRECT(F21 &amp; "!$C$2:$C$86"),"half true", INDIRECT(F21 &amp; "!$E$2:$E$86"),TRUE)</f>
        <v>0</v>
      </c>
      <c r="H25">
        <f ca="1">COUNTIFS(INDIRECT(F21 &amp; "!$C$2:$C$86"),"half true", INDIRECT(F21 &amp; "!$E$2:$E$86"),FALSE)</f>
        <v>1</v>
      </c>
      <c r="I25">
        <f ca="1">COUNTIFS(INDIRECT(F21 &amp; "!$C$2:$C$86"),"half true", INDIRECT(F21 &amp; "!$E$2:$E$86"),"half true")</f>
        <v>6</v>
      </c>
    </row>
    <row r="26" spans="1:9">
      <c r="A26" t="s">
        <v>13</v>
      </c>
      <c r="B26">
        <f ca="1">SUM(B23:D25)</f>
        <v>84</v>
      </c>
      <c r="F26" t="s">
        <v>13</v>
      </c>
      <c r="G26">
        <f ca="1">SUM(G23:I25)</f>
        <v>84</v>
      </c>
    </row>
    <row r="27" spans="1:9">
      <c r="A27" t="s">
        <v>14</v>
      </c>
      <c r="B27">
        <f ca="1">(B23+C24+D25)/B26</f>
        <v>1</v>
      </c>
      <c r="F27" t="s">
        <v>14</v>
      </c>
      <c r="G27">
        <f ca="1">(G23+H24+I25)/G26</f>
        <v>0.98809523809523814</v>
      </c>
    </row>
    <row r="28" spans="1:9">
      <c r="A28" t="s">
        <v>15</v>
      </c>
      <c r="B28">
        <f ca="1">((SUM(B23:D23)*SUM(B23:B25))+(SUM(B24:D24)*SUM(C23:C25))+(SUM(B25:D25)*SUM(D23:D25)))/(B26^2)</f>
        <v>0.54960317460317465</v>
      </c>
      <c r="F28" t="s">
        <v>15</v>
      </c>
      <c r="G28">
        <f ca="1">((SUM(G23:I23)*SUM(G23:G25))+(SUM(G24:I24)*SUM(H23:H25))+(SUM(G25:I25)*SUM(I23:I25)))/(G26^2)</f>
        <v>0.5982142857142857</v>
      </c>
    </row>
    <row r="29" spans="1:9">
      <c r="A29" t="s">
        <v>16</v>
      </c>
      <c r="B29">
        <f ca="1">(B27-B28)/(1-B28)</f>
        <v>1</v>
      </c>
      <c r="F29" t="s">
        <v>16</v>
      </c>
      <c r="G29">
        <f ca="1">(G27-G28)/(1-G28)</f>
        <v>0.97037037037037044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"!$C$2:$C$86"),TRUE, INDIRECT(A31 &amp; "!$E$2:$E$86"),TRUE)</f>
        <v>62</v>
      </c>
      <c r="C33">
        <f ca="1">COUNTIFS(INDIRECT(A31 &amp; "!$C$2:$C$86"),TRUE, INDIRECT(A31 &amp; "!$E$2:$E$86"),FALSE)</f>
        <v>0</v>
      </c>
      <c r="D33">
        <f ca="1">COUNTIFS(INDIRECT(A31 &amp; "!$C$2:$C$86"),TRUE, INDIRECT(A31 &amp; "!$E$2:$E$86"),"half true")</f>
        <v>0</v>
      </c>
      <c r="F33" t="b">
        <v>1</v>
      </c>
      <c r="G33">
        <f ca="1">COUNTIFS(INDIRECT(F31 &amp; "!$C$2:$C$86"),TRUE, INDIRECT(F31 &amp; "!$E$2:$E$86"),TRUE)</f>
        <v>67</v>
      </c>
      <c r="H33">
        <f ca="1">COUNTIFS(INDIRECT(F31 &amp; "!$C$2:$C$86"),TRUE, INDIRECT(F31 &amp; "!$E$2:$E$86"),FALSE)</f>
        <v>0</v>
      </c>
      <c r="I33">
        <f ca="1">COUNTIFS(INDIRECT(F31 &amp; "!$C$2:$C$86"),TRUE, INDIRECT(F31 &amp; "!$E$2:$E$86"),"half true")</f>
        <v>0</v>
      </c>
    </row>
    <row r="34" spans="1:9">
      <c r="A34" t="b">
        <v>0</v>
      </c>
      <c r="B34">
        <f ca="1">COUNTIFS(INDIRECT(A31 &amp; "!$C$2:$C$86"),FALSE, INDIRECT(A31 &amp; "!$E$2:$E$86"),TRUE)</f>
        <v>0</v>
      </c>
      <c r="C34">
        <f ca="1">COUNTIFS(INDIRECT(A31 &amp; "!$C$2:$C$86"),FALSE, INDIRECT(A31 &amp; "!$E$2:$E$86"),FALSE)</f>
        <v>16</v>
      </c>
      <c r="D34">
        <f ca="1">COUNTIFS(INDIRECT(A31 &amp; "!$C$2:$C$86"),FALSE, INDIRECT(A31 &amp; "!$E$2:$E$86"),"half true")</f>
        <v>0</v>
      </c>
      <c r="F34" t="b">
        <v>0</v>
      </c>
      <c r="G34">
        <f ca="1">COUNTIFS(INDIRECT(F31 &amp; "!$C$2:$C$86"),FALSE, INDIRECT(F31 &amp; "!$E$2:$E$86"),TRUE)</f>
        <v>0</v>
      </c>
      <c r="H34">
        <f ca="1">COUNTIFS(INDIRECT(F31 &amp; "!$C$2:$C$86"),FALSE, INDIRECT(F31 &amp; "!$E$2:$E$86"),FALSE)</f>
        <v>10</v>
      </c>
      <c r="I34">
        <f ca="1">COUNTIFS(INDIRECT(F31 &amp; "!$C$2:$C$86"),FALSE, INDIRECT(F31 &amp; "!$E$2:$E$86"),"half true")</f>
        <v>0</v>
      </c>
    </row>
    <row r="35" spans="1:9">
      <c r="A35" t="s">
        <v>8</v>
      </c>
      <c r="B35">
        <f ca="1">COUNTIFS(INDIRECT(A31 &amp; "!$C$2:$C$86"),"half true", INDIRECT(A31 &amp; "!$E$2:$E$86"),TRUE)</f>
        <v>0</v>
      </c>
      <c r="C35">
        <f ca="1">COUNTIFS(INDIRECT(A31 &amp; "!$C$2:$C$86"),"half true", INDIRECT(A31 &amp; "!$E$2:$E$86"),FALSE)</f>
        <v>1</v>
      </c>
      <c r="D35">
        <f ca="1">COUNTIFS(INDIRECT(A31 &amp; "!$C$2:$C$86"),"half true", INDIRECT(A31 &amp; "!$E$2:$E$86"),"half true")</f>
        <v>5</v>
      </c>
      <c r="F35" t="s">
        <v>8</v>
      </c>
      <c r="G35">
        <f ca="1">COUNTIFS(INDIRECT(F31 &amp; "!$C$2:$C$86"),"half true", INDIRECT(F31 &amp; "!$E$2:$E$86"),TRUE)</f>
        <v>0</v>
      </c>
      <c r="H35">
        <f ca="1">COUNTIFS(INDIRECT(F31 &amp; "!$C$2:$C$86"),"half true", INDIRECT(F31 &amp; "!$E$2:$E$86"),FALSE)</f>
        <v>6</v>
      </c>
      <c r="I35">
        <f ca="1">COUNTIFS(INDIRECT(F31 &amp; "!$C$2:$C$86"),"half true", INDIRECT(F31 &amp; "!$E$2:$E$86"),"half true")</f>
        <v>1</v>
      </c>
    </row>
    <row r="36" spans="1:9">
      <c r="A36" t="s">
        <v>13</v>
      </c>
      <c r="B36">
        <f ca="1">SUM(B33:D35)</f>
        <v>84</v>
      </c>
      <c r="F36" t="s">
        <v>13</v>
      </c>
      <c r="G36">
        <f ca="1">SUM(G33:I35)</f>
        <v>84</v>
      </c>
    </row>
    <row r="37" spans="1:9">
      <c r="A37" t="s">
        <v>14</v>
      </c>
      <c r="B37">
        <f ca="1">(B33+C34+D35)/B36</f>
        <v>0.98809523809523814</v>
      </c>
      <c r="F37" t="s">
        <v>14</v>
      </c>
      <c r="G37">
        <f ca="1">(G33+H34+I35)/G36</f>
        <v>0.9285714285714286</v>
      </c>
    </row>
    <row r="38" spans="1:9">
      <c r="A38" t="s">
        <v>15</v>
      </c>
      <c r="B38">
        <f ca="1">((SUM(B33:D33)*SUM(B33:B35))+(SUM(B34:D34)*SUM(C33:C35))+(SUM(B35:D35)*SUM(D33:D35)))/(B36^2)</f>
        <v>0.5875850340136054</v>
      </c>
      <c r="F38" t="s">
        <v>15</v>
      </c>
      <c r="G38">
        <f ca="1">((SUM(G33:I33)*SUM(G33:G35))+(SUM(G34:I34)*SUM(H33:H35))+(SUM(G35:I35)*SUM(I33:I35)))/(G36^2)</f>
        <v>0.65986394557823125</v>
      </c>
    </row>
    <row r="39" spans="1:9">
      <c r="A39" t="s">
        <v>16</v>
      </c>
      <c r="B39">
        <f ca="1">(B37-B38)/(1-B38)</f>
        <v>0.9711340206185568</v>
      </c>
      <c r="F39" t="s">
        <v>16</v>
      </c>
      <c r="G39">
        <f ca="1">(G37-G38)/(1-G38)</f>
        <v>0.79000000000000015</v>
      </c>
    </row>
    <row r="41" spans="1:9">
      <c r="A41" t="s">
        <v>17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489</v>
      </c>
      <c r="C43">
        <f t="shared" ref="C43:D45" ca="1" si="3">C3+H3+C13+H13+C23+H23+C33+H33</f>
        <v>0</v>
      </c>
      <c r="D43">
        <f t="shared" ca="1" si="3"/>
        <v>0</v>
      </c>
    </row>
    <row r="44" spans="1:9">
      <c r="A44" t="b">
        <v>0</v>
      </c>
      <c r="B44">
        <f t="shared" ref="B44:B45" ca="1" si="4">B4+G4+B14+G14+B24+G24+B34+G34</f>
        <v>0</v>
      </c>
      <c r="C44">
        <f t="shared" ca="1" si="3"/>
        <v>134</v>
      </c>
      <c r="D44">
        <f t="shared" ca="1" si="3"/>
        <v>0</v>
      </c>
    </row>
    <row r="45" spans="1:9">
      <c r="A45" t="s">
        <v>8</v>
      </c>
      <c r="B45">
        <f t="shared" ca="1" si="4"/>
        <v>0</v>
      </c>
      <c r="C45">
        <f t="shared" ca="1" si="3"/>
        <v>12</v>
      </c>
      <c r="D45">
        <f t="shared" ca="1" si="3"/>
        <v>37</v>
      </c>
    </row>
    <row r="46" spans="1:9">
      <c r="A46" t="s">
        <v>13</v>
      </c>
      <c r="B46">
        <f ca="1">SUM(B43:D45)</f>
        <v>672</v>
      </c>
    </row>
    <row r="47" spans="1:9">
      <c r="A47" t="s">
        <v>14</v>
      </c>
      <c r="B47">
        <f ca="1">(B43+C44+D45)/B46</f>
        <v>0.9821428571428571</v>
      </c>
    </row>
    <row r="48" spans="1:9">
      <c r="A48" t="s">
        <v>15</v>
      </c>
      <c r="B48">
        <f ca="1">((SUM(B43:D43)*SUM(B43:B45))+(SUM(B44:D44)*SUM(C43:C45))+(SUM(B45:D45)*SUM(D43:D45)))/(B46^2)</f>
        <v>0.57685391865079361</v>
      </c>
    </row>
    <row r="49" spans="1:2">
      <c r="A49" t="s">
        <v>16</v>
      </c>
      <c r="B49">
        <f ca="1">(B47-B48)/(1-B48)</f>
        <v>0.95779910616162345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opLeftCell="B1" zoomScale="75" zoomScaleNormal="75" workbookViewId="0">
      <selection activeCell="E15" sqref="E15"/>
    </sheetView>
  </sheetViews>
  <sheetFormatPr defaultColWidth="8.5703125" defaultRowHeight="15"/>
  <cols>
    <col min="1" max="1" width="44.140625" customWidth="1"/>
    <col min="2" max="2" width="37.28515625" customWidth="1"/>
    <col min="4" max="4" width="56.5703125" customWidth="1"/>
    <col min="5" max="5" width="12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24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26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30</v>
      </c>
      <c r="C5" t="b">
        <f>TRUE()</f>
        <v>1</v>
      </c>
      <c r="E5" t="b">
        <f>TRUE()</f>
        <v>1</v>
      </c>
    </row>
    <row r="6" spans="1:5">
      <c r="A6" t="s">
        <v>31</v>
      </c>
      <c r="B6" t="s">
        <v>32</v>
      </c>
      <c r="C6" t="b">
        <f>FALSE()</f>
        <v>0</v>
      </c>
      <c r="E6" t="b">
        <f>FALSE()</f>
        <v>0</v>
      </c>
    </row>
    <row r="7" spans="1:5">
      <c r="A7" t="s">
        <v>33</v>
      </c>
      <c r="B7" t="s">
        <v>34</v>
      </c>
      <c r="C7" t="b">
        <f>FALSE()</f>
        <v>0</v>
      </c>
      <c r="E7" t="b">
        <f>FALSE()</f>
        <v>0</v>
      </c>
    </row>
    <row r="8" spans="1:5">
      <c r="A8" t="s">
        <v>35</v>
      </c>
      <c r="B8" t="s">
        <v>36</v>
      </c>
      <c r="C8" t="b">
        <f>FALSE()</f>
        <v>0</v>
      </c>
      <c r="E8" t="b">
        <f>FALSE()</f>
        <v>0</v>
      </c>
    </row>
    <row r="9" spans="1:5">
      <c r="A9" t="s">
        <v>37</v>
      </c>
      <c r="B9" t="s">
        <v>38</v>
      </c>
      <c r="C9" t="b">
        <f>TRUE()</f>
        <v>1</v>
      </c>
      <c r="E9" t="b">
        <f>TRUE()</f>
        <v>1</v>
      </c>
    </row>
    <row r="10" spans="1:5">
      <c r="A10" t="s">
        <v>39</v>
      </c>
      <c r="B10" t="s">
        <v>40</v>
      </c>
      <c r="C10" t="b">
        <f>TRUE()</f>
        <v>1</v>
      </c>
      <c r="E10" t="b">
        <f>TRUE()</f>
        <v>1</v>
      </c>
    </row>
    <row r="11" spans="1:5">
      <c r="A11" t="s">
        <v>41</v>
      </c>
      <c r="B11" t="s">
        <v>42</v>
      </c>
      <c r="C11" t="b">
        <f>TRUE()</f>
        <v>1</v>
      </c>
      <c r="E11" t="b">
        <f>TRUE()</f>
        <v>1</v>
      </c>
    </row>
    <row r="12" spans="1:5" ht="46.35">
      <c r="A12" t="s">
        <v>43</v>
      </c>
      <c r="B12" s="2" t="s">
        <v>44</v>
      </c>
      <c r="C12" t="b">
        <f>FALSE()</f>
        <v>0</v>
      </c>
      <c r="E12" t="b">
        <f>FALSE()</f>
        <v>0</v>
      </c>
    </row>
    <row r="13" spans="1:5">
      <c r="A13" t="s">
        <v>45</v>
      </c>
      <c r="B13" t="s">
        <v>46</v>
      </c>
      <c r="C13" t="b">
        <f>FALSE()</f>
        <v>0</v>
      </c>
      <c r="E13" t="b">
        <f>FALSE()</f>
        <v>0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50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52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30</v>
      </c>
      <c r="C17" t="b">
        <f>TRUE()</f>
        <v>1</v>
      </c>
      <c r="E17" t="b">
        <f>TRUE()</f>
        <v>1</v>
      </c>
    </row>
    <row r="18" spans="1:5" ht="46.35">
      <c r="A18" t="s">
        <v>54</v>
      </c>
      <c r="B18" s="2" t="s">
        <v>55</v>
      </c>
      <c r="C18" t="b">
        <f>FALSE()</f>
        <v>0</v>
      </c>
      <c r="E18" t="b">
        <f>FALSE()</f>
        <v>0</v>
      </c>
    </row>
    <row r="19" spans="1:5">
      <c r="A19" t="s">
        <v>56</v>
      </c>
      <c r="B19" t="s">
        <v>57</v>
      </c>
      <c r="C19" t="b">
        <f>FALSE()</f>
        <v>0</v>
      </c>
      <c r="E19" t="b">
        <f>FALSE()</f>
        <v>0</v>
      </c>
    </row>
    <row r="20" spans="1:5">
      <c r="A20" t="s">
        <v>58</v>
      </c>
      <c r="B20" t="s">
        <v>59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63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30</v>
      </c>
      <c r="C23" t="b">
        <f>TRUE()</f>
        <v>1</v>
      </c>
      <c r="E23" t="b">
        <f>TRUE()</f>
        <v>1</v>
      </c>
    </row>
    <row r="24" spans="1:5" ht="46.35">
      <c r="A24" t="s">
        <v>65</v>
      </c>
      <c r="B24" s="2" t="s">
        <v>66</v>
      </c>
      <c r="C24" t="s">
        <v>8</v>
      </c>
      <c r="E24" t="s">
        <v>8</v>
      </c>
    </row>
    <row r="25" spans="1:5">
      <c r="A25" t="s">
        <v>67</v>
      </c>
      <c r="B25" t="s">
        <v>68</v>
      </c>
      <c r="C25" t="b">
        <f>TRUE()</f>
        <v>1</v>
      </c>
      <c r="E25" t="b">
        <f>TRUE()</f>
        <v>1</v>
      </c>
    </row>
    <row r="26" spans="1:5">
      <c r="A26" t="s">
        <v>69</v>
      </c>
      <c r="B26" t="s">
        <v>70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72</v>
      </c>
      <c r="C27" t="b">
        <f>FALSE()</f>
        <v>0</v>
      </c>
      <c r="E27" t="b">
        <f>FALSE()</f>
        <v>0</v>
      </c>
    </row>
    <row r="28" spans="1:5">
      <c r="A28" t="s">
        <v>73</v>
      </c>
      <c r="B28" t="s">
        <v>74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30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77</v>
      </c>
      <c r="C30" t="b">
        <f>FALSE()</f>
        <v>0</v>
      </c>
      <c r="D30" t="s">
        <v>78</v>
      </c>
      <c r="E30" t="b">
        <f>FALSE()</f>
        <v>0</v>
      </c>
    </row>
    <row r="31" spans="1:5">
      <c r="A31" t="s">
        <v>79</v>
      </c>
      <c r="B31" t="s">
        <v>80</v>
      </c>
      <c r="C31" t="b">
        <f>FALSE()</f>
        <v>0</v>
      </c>
      <c r="D31" t="s">
        <v>78</v>
      </c>
      <c r="E31" t="b">
        <f>FALSE()</f>
        <v>0</v>
      </c>
    </row>
    <row r="32" spans="1:5">
      <c r="A32" t="s">
        <v>81</v>
      </c>
      <c r="B32" t="s">
        <v>82</v>
      </c>
      <c r="C32" t="b">
        <f>TRUE()</f>
        <v>1</v>
      </c>
      <c r="E32" t="b">
        <f>TRUE()</f>
        <v>1</v>
      </c>
    </row>
    <row r="33" spans="1:5">
      <c r="A33" t="s">
        <v>83</v>
      </c>
      <c r="B33" t="s">
        <v>84</v>
      </c>
      <c r="C33" t="b">
        <f>TRUE()</f>
        <v>1</v>
      </c>
      <c r="E33" t="b">
        <f>TRUE()</f>
        <v>1</v>
      </c>
    </row>
    <row r="34" spans="1:5">
      <c r="A34" t="s">
        <v>85</v>
      </c>
      <c r="B34" t="s">
        <v>86</v>
      </c>
      <c r="C34" t="b">
        <f>TRUE()</f>
        <v>1</v>
      </c>
      <c r="E34" t="b">
        <f>TRUE()</f>
        <v>1</v>
      </c>
    </row>
    <row r="35" spans="1:5">
      <c r="A35" t="s">
        <v>87</v>
      </c>
      <c r="B35" t="s">
        <v>30</v>
      </c>
      <c r="C35" t="b">
        <f>TRUE()</f>
        <v>1</v>
      </c>
      <c r="E35" t="b">
        <f>TRUE()</f>
        <v>1</v>
      </c>
    </row>
    <row r="36" spans="1:5" ht="46.35">
      <c r="A36" t="s">
        <v>88</v>
      </c>
      <c r="B36" s="2" t="s">
        <v>89</v>
      </c>
      <c r="C36" t="s">
        <v>8</v>
      </c>
      <c r="D36" t="s">
        <v>90</v>
      </c>
      <c r="E36" t="s">
        <v>8</v>
      </c>
    </row>
    <row r="37" spans="1:5">
      <c r="A37" t="s">
        <v>91</v>
      </c>
      <c r="B37" t="s">
        <v>92</v>
      </c>
      <c r="C37" t="b">
        <f>TRUE()</f>
        <v>1</v>
      </c>
      <c r="E37" t="b">
        <f>TRUE()</f>
        <v>1</v>
      </c>
    </row>
    <row r="38" spans="1:5">
      <c r="A38" t="s">
        <v>93</v>
      </c>
      <c r="B38" t="s">
        <v>94</v>
      </c>
      <c r="C38" t="b">
        <f>FALSE()</f>
        <v>0</v>
      </c>
      <c r="E38" t="b">
        <f>FALSE()</f>
        <v>0</v>
      </c>
    </row>
    <row r="39" spans="1:5">
      <c r="A39" t="s">
        <v>95</v>
      </c>
      <c r="B39" t="s">
        <v>96</v>
      </c>
      <c r="C39" t="b">
        <f>TRUE()</f>
        <v>1</v>
      </c>
      <c r="E39" t="b">
        <f>TRUE()</f>
        <v>1</v>
      </c>
    </row>
    <row r="40" spans="1:5">
      <c r="A40" t="s">
        <v>97</v>
      </c>
      <c r="B40" t="s">
        <v>40</v>
      </c>
      <c r="C40" t="b">
        <f>TRUE()</f>
        <v>1</v>
      </c>
      <c r="E40" t="b">
        <f>TRUE()</f>
        <v>1</v>
      </c>
    </row>
    <row r="41" spans="1:5">
      <c r="A41" t="s">
        <v>98</v>
      </c>
      <c r="B41" t="s">
        <v>30</v>
      </c>
      <c r="C41" t="b">
        <f>TRUE()</f>
        <v>1</v>
      </c>
      <c r="E41" t="b">
        <f>TRUE()</f>
        <v>1</v>
      </c>
    </row>
    <row r="42" spans="1:5">
      <c r="A42" t="s">
        <v>99</v>
      </c>
      <c r="B42" t="s">
        <v>100</v>
      </c>
      <c r="C42" t="b">
        <f>FALSE()</f>
        <v>0</v>
      </c>
      <c r="E42" t="b">
        <f>FALSE()</f>
        <v>0</v>
      </c>
    </row>
    <row r="43" spans="1:5">
      <c r="A43" t="s">
        <v>101</v>
      </c>
      <c r="B43" t="s">
        <v>102</v>
      </c>
      <c r="C43" t="b">
        <f>FALSE()</f>
        <v>0</v>
      </c>
      <c r="E43" t="b">
        <f>FALSE()</f>
        <v>0</v>
      </c>
    </row>
    <row r="44" spans="1:5">
      <c r="A44" t="s">
        <v>103</v>
      </c>
      <c r="B44" t="s">
        <v>104</v>
      </c>
      <c r="C44" t="b">
        <f>TRUE()</f>
        <v>1</v>
      </c>
      <c r="E44" t="b">
        <f>TRUE()</f>
        <v>1</v>
      </c>
    </row>
    <row r="45" spans="1:5">
      <c r="A45" t="s">
        <v>105</v>
      </c>
      <c r="B45" t="s">
        <v>106</v>
      </c>
      <c r="C45" t="b">
        <f>TRUE()</f>
        <v>1</v>
      </c>
      <c r="E45" t="b">
        <f>TRUE()</f>
        <v>1</v>
      </c>
    </row>
    <row r="46" spans="1:5">
      <c r="A46" t="s">
        <v>107</v>
      </c>
      <c r="B46" t="s">
        <v>108</v>
      </c>
      <c r="C46" t="b">
        <f>TRUE()</f>
        <v>1</v>
      </c>
      <c r="E46" t="b">
        <f>TRUE()</f>
        <v>1</v>
      </c>
    </row>
    <row r="47" spans="1:5">
      <c r="A47" t="s">
        <v>109</v>
      </c>
      <c r="B47" t="s">
        <v>110</v>
      </c>
      <c r="C47" t="b">
        <f>TRUE()</f>
        <v>1</v>
      </c>
      <c r="E47" t="b">
        <f>TRUE()</f>
        <v>1</v>
      </c>
    </row>
    <row r="48" spans="1:5">
      <c r="A48" t="s">
        <v>111</v>
      </c>
      <c r="B48" t="s">
        <v>112</v>
      </c>
      <c r="C48" t="s">
        <v>8</v>
      </c>
      <c r="E48" t="s">
        <v>8</v>
      </c>
    </row>
    <row r="49" spans="1:5">
      <c r="A49" t="s">
        <v>113</v>
      </c>
      <c r="B49" t="s">
        <v>114</v>
      </c>
      <c r="C49" t="b">
        <f>FALSE()</f>
        <v>0</v>
      </c>
      <c r="E49" t="b">
        <f>FALSE()</f>
        <v>0</v>
      </c>
    </row>
    <row r="50" spans="1:5">
      <c r="A50" t="s">
        <v>115</v>
      </c>
      <c r="B50" t="s">
        <v>116</v>
      </c>
      <c r="C50" t="b">
        <f>TRUE()</f>
        <v>1</v>
      </c>
      <c r="E50" t="b">
        <f>TRUE()</f>
        <v>1</v>
      </c>
    </row>
    <row r="51" spans="1:5">
      <c r="A51" t="s">
        <v>117</v>
      </c>
      <c r="B51" t="s">
        <v>118</v>
      </c>
      <c r="C51" t="b">
        <f>TRUE()</f>
        <v>1</v>
      </c>
      <c r="E51" t="b">
        <f>TRUE()</f>
        <v>1</v>
      </c>
    </row>
    <row r="52" spans="1:5">
      <c r="A52" t="s">
        <v>119</v>
      </c>
      <c r="B52" t="s">
        <v>120</v>
      </c>
      <c r="C52" t="b">
        <f>TRUE()</f>
        <v>1</v>
      </c>
      <c r="E52" t="b">
        <f>TRUE()</f>
        <v>1</v>
      </c>
    </row>
    <row r="53" spans="1:5">
      <c r="A53" t="s">
        <v>121</v>
      </c>
      <c r="B53" t="s">
        <v>110</v>
      </c>
      <c r="C53" t="b">
        <f>TRUE()</f>
        <v>1</v>
      </c>
      <c r="E53" t="b">
        <f>TRUE()</f>
        <v>1</v>
      </c>
    </row>
    <row r="54" spans="1:5" ht="31.35">
      <c r="A54" t="s">
        <v>122</v>
      </c>
      <c r="B54" s="2" t="s">
        <v>123</v>
      </c>
      <c r="C54" t="s">
        <v>8</v>
      </c>
      <c r="E54" t="s">
        <v>8</v>
      </c>
    </row>
    <row r="55" spans="1:5">
      <c r="A55" t="s">
        <v>124</v>
      </c>
      <c r="B55" t="s">
        <v>125</v>
      </c>
      <c r="C55" t="b">
        <f>FALSE()</f>
        <v>0</v>
      </c>
      <c r="E55" t="b">
        <f>FALSE()</f>
        <v>0</v>
      </c>
    </row>
    <row r="56" spans="1:5">
      <c r="A56" t="s">
        <v>126</v>
      </c>
      <c r="B56" t="s">
        <v>127</v>
      </c>
      <c r="C56" t="b">
        <f>TRUE()</f>
        <v>1</v>
      </c>
      <c r="E56" t="b">
        <f>TRUE()</f>
        <v>1</v>
      </c>
    </row>
    <row r="57" spans="1:5">
      <c r="A57" t="s">
        <v>128</v>
      </c>
      <c r="B57" t="s">
        <v>129</v>
      </c>
      <c r="C57" t="b">
        <f>TRUE()</f>
        <v>1</v>
      </c>
      <c r="E57" t="b">
        <f>TRUE()</f>
        <v>1</v>
      </c>
    </row>
    <row r="58" spans="1:5">
      <c r="A58" t="s">
        <v>130</v>
      </c>
      <c r="B58" t="s">
        <v>131</v>
      </c>
      <c r="C58" t="b">
        <f>TRUE()</f>
        <v>1</v>
      </c>
      <c r="E58" t="b">
        <f>TRUE()</f>
        <v>1</v>
      </c>
    </row>
    <row r="59" spans="1:5">
      <c r="A59" t="s">
        <v>132</v>
      </c>
      <c r="B59" t="s">
        <v>110</v>
      </c>
      <c r="C59" t="b">
        <f>TRUE()</f>
        <v>1</v>
      </c>
      <c r="E59" t="b">
        <f>TRUE()</f>
        <v>1</v>
      </c>
    </row>
    <row r="60" spans="1:5" ht="46.35">
      <c r="A60" t="s">
        <v>133</v>
      </c>
      <c r="B60" s="2" t="s">
        <v>134</v>
      </c>
      <c r="C60" t="b">
        <f>FALSE()</f>
        <v>0</v>
      </c>
      <c r="E60" t="b">
        <f>FALSE()</f>
        <v>0</v>
      </c>
    </row>
    <row r="61" spans="1:5">
      <c r="A61" t="s">
        <v>135</v>
      </c>
      <c r="B61" t="s">
        <v>136</v>
      </c>
      <c r="C61" t="b">
        <f>FALSE()</f>
        <v>0</v>
      </c>
      <c r="E61" t="b">
        <f>FALSE()</f>
        <v>0</v>
      </c>
    </row>
    <row r="62" spans="1:5">
      <c r="A62" t="s">
        <v>137</v>
      </c>
      <c r="B62" t="s">
        <v>138</v>
      </c>
      <c r="C62" t="b">
        <f>TRUE()</f>
        <v>1</v>
      </c>
      <c r="E62" t="b">
        <f>TRUE()</f>
        <v>1</v>
      </c>
    </row>
    <row r="63" spans="1:5">
      <c r="A63" t="s">
        <v>139</v>
      </c>
      <c r="B63" t="s">
        <v>140</v>
      </c>
      <c r="C63" t="b">
        <f>TRUE()</f>
        <v>1</v>
      </c>
      <c r="E63" t="b">
        <f>TRUE()</f>
        <v>1</v>
      </c>
    </row>
    <row r="64" spans="1:5">
      <c r="A64" t="s">
        <v>141</v>
      </c>
      <c r="B64" t="s">
        <v>142</v>
      </c>
      <c r="C64" t="b">
        <f>TRUE()</f>
        <v>1</v>
      </c>
      <c r="E64" t="b">
        <f>TRUE()</f>
        <v>1</v>
      </c>
    </row>
    <row r="65" spans="1:5">
      <c r="A65" t="s">
        <v>143</v>
      </c>
      <c r="B65" t="s">
        <v>110</v>
      </c>
      <c r="C65" t="b">
        <f>TRUE()</f>
        <v>1</v>
      </c>
      <c r="E65" t="b">
        <f>TRUE()</f>
        <v>1</v>
      </c>
    </row>
    <row r="66" spans="1:5" ht="31.35">
      <c r="A66" t="s">
        <v>144</v>
      </c>
      <c r="B66" s="2" t="s">
        <v>145</v>
      </c>
      <c r="C66" t="s">
        <v>8</v>
      </c>
      <c r="D66" t="s">
        <v>146</v>
      </c>
      <c r="E66" t="s">
        <v>8</v>
      </c>
    </row>
    <row r="67" spans="1:5">
      <c r="A67" t="s">
        <v>147</v>
      </c>
      <c r="B67" t="s">
        <v>148</v>
      </c>
      <c r="C67" t="b">
        <f>FALSE()</f>
        <v>0</v>
      </c>
      <c r="E67" t="b">
        <f>FALSE()</f>
        <v>0</v>
      </c>
    </row>
    <row r="68" spans="1:5">
      <c r="A68" t="s">
        <v>149</v>
      </c>
      <c r="B68" t="s">
        <v>150</v>
      </c>
      <c r="C68" t="b">
        <f>FALSE()</f>
        <v>0</v>
      </c>
      <c r="E68" t="b">
        <f>FALSE()</f>
        <v>0</v>
      </c>
    </row>
    <row r="69" spans="1:5">
      <c r="A69" t="s">
        <v>151</v>
      </c>
      <c r="B69" t="s">
        <v>152</v>
      </c>
      <c r="C69" t="b">
        <f>TRUE()</f>
        <v>1</v>
      </c>
      <c r="E69" t="b">
        <f>TRUE()</f>
        <v>1</v>
      </c>
    </row>
    <row r="70" spans="1:5">
      <c r="A70" t="s">
        <v>153</v>
      </c>
      <c r="B70" t="s">
        <v>154</v>
      </c>
      <c r="C70" t="b">
        <f>TRUE()</f>
        <v>1</v>
      </c>
      <c r="E70" t="b">
        <f>TRUE()</f>
        <v>1</v>
      </c>
    </row>
    <row r="71" spans="1:5">
      <c r="A71" t="s">
        <v>155</v>
      </c>
      <c r="B71" t="s">
        <v>110</v>
      </c>
      <c r="C71" t="b">
        <f>TRUE()</f>
        <v>1</v>
      </c>
      <c r="E71" t="b">
        <f>TRUE()</f>
        <v>1</v>
      </c>
    </row>
    <row r="72" spans="1:5" ht="31.35">
      <c r="A72" t="s">
        <v>156</v>
      </c>
      <c r="B72" s="2" t="s">
        <v>157</v>
      </c>
      <c r="C72" t="s">
        <v>8</v>
      </c>
      <c r="E72" t="s">
        <v>8</v>
      </c>
    </row>
    <row r="73" spans="1:5">
      <c r="A73" t="s">
        <v>158</v>
      </c>
      <c r="B73" t="s">
        <v>159</v>
      </c>
      <c r="C73" t="b">
        <f>FALSE()</f>
        <v>0</v>
      </c>
      <c r="D73" t="s">
        <v>160</v>
      </c>
      <c r="E73" t="b">
        <f>FALSE()</f>
        <v>0</v>
      </c>
    </row>
    <row r="74" spans="1:5">
      <c r="A74" t="s">
        <v>161</v>
      </c>
      <c r="B74" t="s">
        <v>162</v>
      </c>
      <c r="C74" t="b">
        <f>TRUE()</f>
        <v>1</v>
      </c>
      <c r="E74" t="b">
        <f>TRUE()</f>
        <v>1</v>
      </c>
    </row>
    <row r="75" spans="1:5">
      <c r="A75" t="s">
        <v>163</v>
      </c>
      <c r="B75" t="s">
        <v>164</v>
      </c>
      <c r="C75" t="b">
        <f>TRUE()</f>
        <v>1</v>
      </c>
      <c r="E75" t="b">
        <f>TRUE()</f>
        <v>1</v>
      </c>
    </row>
    <row r="76" spans="1:5">
      <c r="A76" t="s">
        <v>165</v>
      </c>
      <c r="B76" t="s">
        <v>166</v>
      </c>
      <c r="C76" t="b">
        <f>TRUE()</f>
        <v>1</v>
      </c>
      <c r="E76" t="b">
        <f>TRUE()</f>
        <v>1</v>
      </c>
    </row>
    <row r="77" spans="1:5">
      <c r="A77" t="s">
        <v>167</v>
      </c>
      <c r="B77" t="s">
        <v>168</v>
      </c>
      <c r="C77" t="b">
        <f>TRUE()</f>
        <v>1</v>
      </c>
      <c r="E77" t="b">
        <f>TRUE()</f>
        <v>1</v>
      </c>
    </row>
    <row r="78" spans="1:5" ht="31.35">
      <c r="A78" t="s">
        <v>169</v>
      </c>
      <c r="B78" s="2" t="s">
        <v>170</v>
      </c>
      <c r="C78" t="b">
        <f>FALSE()</f>
        <v>0</v>
      </c>
      <c r="E78" t="b">
        <f>FALSE()</f>
        <v>0</v>
      </c>
    </row>
    <row r="79" spans="1:5">
      <c r="A79" t="s">
        <v>171</v>
      </c>
      <c r="B79" t="s">
        <v>172</v>
      </c>
      <c r="C79" t="b">
        <f>TRUE()</f>
        <v>1</v>
      </c>
      <c r="E79" t="b">
        <f>TRUE()</f>
        <v>1</v>
      </c>
    </row>
    <row r="80" spans="1:5">
      <c r="A80" t="s">
        <v>173</v>
      </c>
      <c r="B80" t="s">
        <v>174</v>
      </c>
      <c r="C80" t="b">
        <f>TRUE()</f>
        <v>1</v>
      </c>
      <c r="E80" t="b">
        <f>TRUE()</f>
        <v>1</v>
      </c>
    </row>
    <row r="81" spans="1:5">
      <c r="A81" t="s">
        <v>175</v>
      </c>
      <c r="B81" t="s">
        <v>176</v>
      </c>
      <c r="C81" t="b">
        <f>TRUE()</f>
        <v>1</v>
      </c>
      <c r="E81" t="b">
        <f>TRUE()</f>
        <v>1</v>
      </c>
    </row>
    <row r="82" spans="1:5">
      <c r="A82" t="s">
        <v>177</v>
      </c>
      <c r="B82" t="s">
        <v>178</v>
      </c>
      <c r="C82" t="b">
        <f>TRUE()</f>
        <v>1</v>
      </c>
      <c r="E82" t="b">
        <f>TRUE()</f>
        <v>1</v>
      </c>
    </row>
    <row r="83" spans="1:5">
      <c r="A83" t="s">
        <v>179</v>
      </c>
      <c r="B83" t="s">
        <v>110</v>
      </c>
      <c r="C83" t="b">
        <f>TRUE()</f>
        <v>1</v>
      </c>
      <c r="E83" t="b">
        <f>TRUE()</f>
        <v>1</v>
      </c>
    </row>
    <row r="84" spans="1:5">
      <c r="A84" t="s">
        <v>180</v>
      </c>
      <c r="B84" t="s">
        <v>112</v>
      </c>
      <c r="C84" t="s">
        <v>8</v>
      </c>
      <c r="E84" t="s">
        <v>8</v>
      </c>
    </row>
    <row r="85" spans="1:5">
      <c r="A85" t="s">
        <v>181</v>
      </c>
      <c r="B85" t="s">
        <v>182</v>
      </c>
      <c r="C85" t="b">
        <f>FALSE()</f>
        <v>0</v>
      </c>
      <c r="E85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5"/>
  <sheetViews>
    <sheetView zoomScale="75" zoomScaleNormal="75" workbookViewId="0">
      <selection activeCell="F17" sqref="F17"/>
    </sheetView>
  </sheetViews>
  <sheetFormatPr defaultColWidth="8.5703125" defaultRowHeight="15"/>
  <cols>
    <col min="1" max="1" width="46.7109375" customWidth="1"/>
    <col min="2" max="2" width="39.42578125" customWidth="1"/>
    <col min="4" max="4" width="19" customWidth="1"/>
    <col min="5" max="5" width="12.71093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183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26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30</v>
      </c>
      <c r="C5" t="b">
        <f>TRUE()</f>
        <v>1</v>
      </c>
      <c r="E5" t="b">
        <f>TRUE()</f>
        <v>1</v>
      </c>
    </row>
    <row r="6" spans="1:5">
      <c r="A6" t="s">
        <v>31</v>
      </c>
      <c r="B6" t="s">
        <v>184</v>
      </c>
      <c r="C6" t="b">
        <f>FALSE()</f>
        <v>0</v>
      </c>
      <c r="D6" t="s">
        <v>185</v>
      </c>
      <c r="E6" t="b">
        <f>FALSE()</f>
        <v>0</v>
      </c>
    </row>
    <row r="7" spans="1:5">
      <c r="A7" t="s">
        <v>33</v>
      </c>
      <c r="B7" t="s">
        <v>186</v>
      </c>
      <c r="C7" t="b">
        <f>FALSE()</f>
        <v>0</v>
      </c>
      <c r="E7" t="b">
        <f>FALSE()</f>
        <v>0</v>
      </c>
    </row>
    <row r="8" spans="1:5">
      <c r="A8" t="s">
        <v>35</v>
      </c>
      <c r="B8" t="s">
        <v>80</v>
      </c>
      <c r="C8" t="b">
        <f>FALSE()</f>
        <v>0</v>
      </c>
      <c r="E8" t="b">
        <f>FALSE()</f>
        <v>0</v>
      </c>
    </row>
    <row r="9" spans="1:5">
      <c r="A9" t="s">
        <v>37</v>
      </c>
      <c r="B9" t="s">
        <v>38</v>
      </c>
      <c r="C9" t="b">
        <f>TRUE()</f>
        <v>1</v>
      </c>
      <c r="E9" t="b">
        <f>TRUE()</f>
        <v>1</v>
      </c>
    </row>
    <row r="10" spans="1:5">
      <c r="A10" t="s">
        <v>39</v>
      </c>
      <c r="B10" t="s">
        <v>40</v>
      </c>
      <c r="C10" t="b">
        <f>TRUE()</f>
        <v>1</v>
      </c>
      <c r="E10" t="b">
        <f>TRUE()</f>
        <v>1</v>
      </c>
    </row>
    <row r="11" spans="1:5">
      <c r="A11" t="s">
        <v>41</v>
      </c>
      <c r="B11" t="s">
        <v>30</v>
      </c>
      <c r="C11" t="b">
        <f>TRUE()</f>
        <v>1</v>
      </c>
      <c r="E11" t="b">
        <f>TRUE()</f>
        <v>1</v>
      </c>
    </row>
    <row r="12" spans="1:5" ht="46.35">
      <c r="A12" t="s">
        <v>43</v>
      </c>
      <c r="B12" s="2" t="s">
        <v>187</v>
      </c>
      <c r="C12" t="b">
        <f>FALSE()</f>
        <v>0</v>
      </c>
      <c r="E12" t="b">
        <f>FALSE()</f>
        <v>0</v>
      </c>
    </row>
    <row r="13" spans="1:5">
      <c r="A13" t="s">
        <v>45</v>
      </c>
      <c r="B13" t="s">
        <v>186</v>
      </c>
      <c r="C13" t="b">
        <f>FALSE()</f>
        <v>0</v>
      </c>
      <c r="E13" t="b">
        <f>FALSE()</f>
        <v>0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50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52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30</v>
      </c>
      <c r="C17" t="b">
        <f>TRUE()</f>
        <v>1</v>
      </c>
      <c r="E17" t="b">
        <f>TRUE()</f>
        <v>1</v>
      </c>
    </row>
    <row r="18" spans="1:5" ht="46.35">
      <c r="A18" t="s">
        <v>54</v>
      </c>
      <c r="B18" s="2" t="s">
        <v>55</v>
      </c>
      <c r="C18" t="b">
        <f>FALSE()</f>
        <v>0</v>
      </c>
      <c r="E18" t="b">
        <f>FALSE()</f>
        <v>0</v>
      </c>
    </row>
    <row r="19" spans="1:5">
      <c r="A19" t="s">
        <v>56</v>
      </c>
      <c r="B19" t="s">
        <v>188</v>
      </c>
      <c r="C19" t="b">
        <f>FALSE()</f>
        <v>0</v>
      </c>
      <c r="E19" t="b">
        <f>FALSE()</f>
        <v>0</v>
      </c>
    </row>
    <row r="20" spans="1:5">
      <c r="A20" t="s">
        <v>58</v>
      </c>
      <c r="B20" t="s">
        <v>189</v>
      </c>
      <c r="C20" t="b">
        <f>FALSE()</f>
        <v>0</v>
      </c>
      <c r="E20" t="b">
        <f>FALSE()</f>
        <v>0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190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30</v>
      </c>
      <c r="C23" t="b">
        <f>TRUE()</f>
        <v>1</v>
      </c>
      <c r="E23" t="b">
        <f>TRUE()</f>
        <v>1</v>
      </c>
    </row>
    <row r="24" spans="1:5" ht="31.35">
      <c r="A24" t="s">
        <v>65</v>
      </c>
      <c r="B24" s="2" t="s">
        <v>191</v>
      </c>
      <c r="C24" t="s">
        <v>8</v>
      </c>
      <c r="E24" t="s">
        <v>8</v>
      </c>
    </row>
    <row r="25" spans="1:5">
      <c r="A25" t="s">
        <v>67</v>
      </c>
      <c r="B25" t="s">
        <v>192</v>
      </c>
      <c r="C25" t="b">
        <f>FALSE()</f>
        <v>0</v>
      </c>
      <c r="E25" t="b">
        <f>FALSE()</f>
        <v>0</v>
      </c>
    </row>
    <row r="26" spans="1:5">
      <c r="A26" t="s">
        <v>69</v>
      </c>
      <c r="B26" t="s">
        <v>193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194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195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30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77</v>
      </c>
      <c r="C30" t="b">
        <f>FALSE()</f>
        <v>0</v>
      </c>
      <c r="E30" t="b">
        <f>FALSE()</f>
        <v>0</v>
      </c>
    </row>
    <row r="31" spans="1:5">
      <c r="A31" t="s">
        <v>79</v>
      </c>
      <c r="B31" t="s">
        <v>196</v>
      </c>
      <c r="C31" t="b">
        <f>FALSE()</f>
        <v>0</v>
      </c>
      <c r="E31" t="b">
        <f>FALSE()</f>
        <v>0</v>
      </c>
    </row>
    <row r="32" spans="1:5">
      <c r="A32" t="s">
        <v>81</v>
      </c>
      <c r="B32" t="s">
        <v>197</v>
      </c>
      <c r="C32" t="b">
        <f>FALSE()</f>
        <v>0</v>
      </c>
      <c r="E32" t="b">
        <f>FALSE()</f>
        <v>0</v>
      </c>
    </row>
    <row r="33" spans="1:5">
      <c r="A33" t="s">
        <v>83</v>
      </c>
      <c r="B33" t="s">
        <v>84</v>
      </c>
      <c r="C33" t="b">
        <f>TRUE()</f>
        <v>1</v>
      </c>
      <c r="E33" t="b">
        <f>TRUE()</f>
        <v>1</v>
      </c>
    </row>
    <row r="34" spans="1:5">
      <c r="A34" t="s">
        <v>85</v>
      </c>
      <c r="B34" t="s">
        <v>86</v>
      </c>
      <c r="C34" t="b">
        <f>TRUE()</f>
        <v>1</v>
      </c>
      <c r="E34" t="b">
        <f>TRUE()</f>
        <v>1</v>
      </c>
    </row>
    <row r="35" spans="1:5">
      <c r="A35" t="s">
        <v>87</v>
      </c>
      <c r="B35" t="s">
        <v>30</v>
      </c>
      <c r="C35" t="b">
        <f>TRUE()</f>
        <v>1</v>
      </c>
      <c r="E35" t="b">
        <f>TRUE()</f>
        <v>1</v>
      </c>
    </row>
    <row r="36" spans="1:5" ht="46.35">
      <c r="A36" t="s">
        <v>88</v>
      </c>
      <c r="B36" s="2" t="s">
        <v>198</v>
      </c>
      <c r="C36" t="b">
        <f>FALSE()</f>
        <v>0</v>
      </c>
      <c r="E36" t="b">
        <f>FALSE()</f>
        <v>0</v>
      </c>
    </row>
    <row r="37" spans="1:5">
      <c r="A37" t="s">
        <v>91</v>
      </c>
      <c r="B37" t="s">
        <v>188</v>
      </c>
      <c r="C37" t="b">
        <f>FALSE()</f>
        <v>0</v>
      </c>
      <c r="E37" t="b">
        <f>FALSE()</f>
        <v>0</v>
      </c>
    </row>
    <row r="38" spans="1:5">
      <c r="A38" t="s">
        <v>93</v>
      </c>
      <c r="B38" t="s">
        <v>94</v>
      </c>
      <c r="C38" t="b">
        <f>FALSE()</f>
        <v>0</v>
      </c>
      <c r="E38" t="b">
        <f>FALSE()</f>
        <v>0</v>
      </c>
    </row>
    <row r="39" spans="1:5">
      <c r="A39" t="s">
        <v>95</v>
      </c>
      <c r="B39" t="s">
        <v>96</v>
      </c>
      <c r="C39" t="b">
        <f>TRUE()</f>
        <v>1</v>
      </c>
      <c r="E39" t="b">
        <f>TRUE()</f>
        <v>1</v>
      </c>
    </row>
    <row r="40" spans="1:5">
      <c r="A40" t="s">
        <v>97</v>
      </c>
      <c r="B40" t="s">
        <v>40</v>
      </c>
      <c r="C40" t="b">
        <f>TRUE()</f>
        <v>1</v>
      </c>
      <c r="E40" t="b">
        <f>TRUE()</f>
        <v>1</v>
      </c>
    </row>
    <row r="41" spans="1:5">
      <c r="A41" t="s">
        <v>98</v>
      </c>
      <c r="B41" t="s">
        <v>30</v>
      </c>
      <c r="C41" t="b">
        <f>TRUE()</f>
        <v>1</v>
      </c>
      <c r="E41" t="b">
        <f>TRUE()</f>
        <v>1</v>
      </c>
    </row>
    <row r="42" spans="1:5">
      <c r="A42" t="s">
        <v>99</v>
      </c>
      <c r="B42" t="s">
        <v>100</v>
      </c>
      <c r="C42" t="b">
        <f>FALSE()</f>
        <v>0</v>
      </c>
      <c r="E42" t="b">
        <f>FALSE()</f>
        <v>0</v>
      </c>
    </row>
    <row r="43" spans="1:5">
      <c r="A43" t="s">
        <v>101</v>
      </c>
      <c r="B43" t="s">
        <v>102</v>
      </c>
      <c r="C43" t="b">
        <f>FALSE()</f>
        <v>0</v>
      </c>
      <c r="E43" t="b">
        <f>FALSE()</f>
        <v>0</v>
      </c>
    </row>
    <row r="44" spans="1:5">
      <c r="A44" t="s">
        <v>103</v>
      </c>
      <c r="B44" t="s">
        <v>104</v>
      </c>
      <c r="C44" t="b">
        <f>TRUE()</f>
        <v>1</v>
      </c>
      <c r="E44" t="b">
        <f>TRUE()</f>
        <v>1</v>
      </c>
    </row>
    <row r="45" spans="1:5">
      <c r="A45" t="s">
        <v>105</v>
      </c>
      <c r="B45" t="s">
        <v>106</v>
      </c>
      <c r="C45" t="b">
        <f>TRUE()</f>
        <v>1</v>
      </c>
      <c r="E45" t="b">
        <f>TRUE()</f>
        <v>1</v>
      </c>
    </row>
    <row r="46" spans="1:5">
      <c r="A46" t="s">
        <v>107</v>
      </c>
      <c r="B46" t="s">
        <v>199</v>
      </c>
      <c r="C46" t="b">
        <f>TRUE()</f>
        <v>1</v>
      </c>
      <c r="E46" t="b">
        <f>TRUE()</f>
        <v>1</v>
      </c>
    </row>
    <row r="47" spans="1:5">
      <c r="A47" t="s">
        <v>109</v>
      </c>
      <c r="B47" t="s">
        <v>110</v>
      </c>
      <c r="C47" t="b">
        <f>TRUE()</f>
        <v>1</v>
      </c>
      <c r="E47" t="b">
        <f>TRUE()</f>
        <v>1</v>
      </c>
    </row>
    <row r="48" spans="1:5">
      <c r="A48" t="s">
        <v>111</v>
      </c>
      <c r="B48" t="s">
        <v>200</v>
      </c>
      <c r="C48" t="s">
        <v>8</v>
      </c>
      <c r="E48" t="s">
        <v>8</v>
      </c>
    </row>
    <row r="49" spans="1:5">
      <c r="A49" t="s">
        <v>113</v>
      </c>
      <c r="B49" t="s">
        <v>201</v>
      </c>
      <c r="C49" t="b">
        <f>FALSE()</f>
        <v>0</v>
      </c>
      <c r="E49" t="b">
        <f>FALSE()</f>
        <v>0</v>
      </c>
    </row>
    <row r="50" spans="1:5">
      <c r="A50" t="s">
        <v>115</v>
      </c>
      <c r="B50" t="s">
        <v>116</v>
      </c>
      <c r="C50" t="b">
        <f>TRUE()</f>
        <v>1</v>
      </c>
      <c r="E50" t="b">
        <f>TRUE()</f>
        <v>1</v>
      </c>
    </row>
    <row r="51" spans="1:5">
      <c r="A51" t="s">
        <v>117</v>
      </c>
      <c r="B51" t="s">
        <v>202</v>
      </c>
      <c r="C51" t="b">
        <f>TRUE()</f>
        <v>1</v>
      </c>
      <c r="E51" t="b">
        <f>TRUE()</f>
        <v>1</v>
      </c>
    </row>
    <row r="52" spans="1:5">
      <c r="A52" t="s">
        <v>119</v>
      </c>
      <c r="B52" t="s">
        <v>203</v>
      </c>
      <c r="C52" t="b">
        <f>TRUE()</f>
        <v>1</v>
      </c>
      <c r="E52" t="b">
        <f>TRUE()</f>
        <v>1</v>
      </c>
    </row>
    <row r="53" spans="1:5">
      <c r="A53" t="s">
        <v>121</v>
      </c>
      <c r="B53" t="s">
        <v>110</v>
      </c>
      <c r="C53" t="b">
        <f>TRUE()</f>
        <v>1</v>
      </c>
      <c r="E53" t="b">
        <f>TRUE()</f>
        <v>1</v>
      </c>
    </row>
    <row r="54" spans="1:5">
      <c r="A54" t="s">
        <v>122</v>
      </c>
      <c r="B54" t="s">
        <v>204</v>
      </c>
      <c r="C54" t="b">
        <f>TRUE()</f>
        <v>1</v>
      </c>
      <c r="E54" t="b">
        <f>TRUE()</f>
        <v>1</v>
      </c>
    </row>
    <row r="55" spans="1:5">
      <c r="A55" t="s">
        <v>124</v>
      </c>
      <c r="B55" t="s">
        <v>186</v>
      </c>
      <c r="C55" t="b">
        <f>FALSE()</f>
        <v>0</v>
      </c>
      <c r="E55" t="b">
        <f>FALSE()</f>
        <v>0</v>
      </c>
    </row>
    <row r="56" spans="1:5">
      <c r="A56" t="s">
        <v>126</v>
      </c>
      <c r="B56" t="s">
        <v>127</v>
      </c>
      <c r="C56" t="b">
        <f>TRUE()</f>
        <v>1</v>
      </c>
      <c r="E56" t="b">
        <f>TRUE()</f>
        <v>1</v>
      </c>
    </row>
    <row r="57" spans="1:5">
      <c r="A57" t="s">
        <v>128</v>
      </c>
      <c r="B57" t="s">
        <v>129</v>
      </c>
      <c r="C57" t="b">
        <f>TRUE()</f>
        <v>1</v>
      </c>
      <c r="E57" t="b">
        <f>TRUE()</f>
        <v>1</v>
      </c>
    </row>
    <row r="58" spans="1:5">
      <c r="A58" t="s">
        <v>130</v>
      </c>
      <c r="B58" t="s">
        <v>205</v>
      </c>
      <c r="C58" t="b">
        <f>TRUE()</f>
        <v>1</v>
      </c>
      <c r="E58" t="b">
        <f>TRUE()</f>
        <v>1</v>
      </c>
    </row>
    <row r="59" spans="1:5">
      <c r="A59" t="s">
        <v>132</v>
      </c>
      <c r="B59" t="s">
        <v>110</v>
      </c>
      <c r="C59" t="b">
        <f>TRUE()</f>
        <v>1</v>
      </c>
      <c r="E59" t="b">
        <f>TRUE()</f>
        <v>1</v>
      </c>
    </row>
    <row r="60" spans="1:5">
      <c r="A60" t="s">
        <v>133</v>
      </c>
      <c r="B60" t="s">
        <v>206</v>
      </c>
      <c r="C60" t="b">
        <f>FALSE()</f>
        <v>0</v>
      </c>
      <c r="E60" t="b">
        <f>FALSE()</f>
        <v>0</v>
      </c>
    </row>
    <row r="61" spans="1:5">
      <c r="A61" t="s">
        <v>135</v>
      </c>
      <c r="B61" t="s">
        <v>148</v>
      </c>
      <c r="C61" t="b">
        <f>FALSE()</f>
        <v>0</v>
      </c>
      <c r="E61" t="b">
        <f>FALSE()</f>
        <v>0</v>
      </c>
    </row>
    <row r="62" spans="1:5">
      <c r="A62" t="s">
        <v>137</v>
      </c>
      <c r="B62" t="s">
        <v>207</v>
      </c>
      <c r="C62" t="b">
        <f>TRUE()</f>
        <v>1</v>
      </c>
      <c r="E62" t="b">
        <f>TRUE()</f>
        <v>1</v>
      </c>
    </row>
    <row r="63" spans="1:5">
      <c r="A63" t="s">
        <v>139</v>
      </c>
      <c r="B63" t="s">
        <v>140</v>
      </c>
      <c r="C63" t="b">
        <f>TRUE()</f>
        <v>1</v>
      </c>
      <c r="E63" t="b">
        <f>TRUE()</f>
        <v>1</v>
      </c>
    </row>
    <row r="64" spans="1:5">
      <c r="A64" t="s">
        <v>141</v>
      </c>
      <c r="B64" t="s">
        <v>142</v>
      </c>
      <c r="C64" t="b">
        <f>TRUE()</f>
        <v>1</v>
      </c>
      <c r="E64" t="b">
        <f>TRUE()</f>
        <v>1</v>
      </c>
    </row>
    <row r="65" spans="1:5">
      <c r="A65" t="s">
        <v>143</v>
      </c>
      <c r="B65" t="s">
        <v>110</v>
      </c>
      <c r="C65" t="b">
        <f>TRUE()</f>
        <v>1</v>
      </c>
      <c r="E65" t="b">
        <f>TRUE()</f>
        <v>1</v>
      </c>
    </row>
    <row r="66" spans="1:5">
      <c r="A66" t="s">
        <v>144</v>
      </c>
      <c r="B66" t="s">
        <v>208</v>
      </c>
      <c r="C66" t="s">
        <v>8</v>
      </c>
      <c r="E66" t="s">
        <v>8</v>
      </c>
    </row>
    <row r="67" spans="1:5">
      <c r="A67" t="s">
        <v>147</v>
      </c>
      <c r="B67" t="s">
        <v>201</v>
      </c>
      <c r="C67" t="b">
        <f>FALSE()</f>
        <v>0</v>
      </c>
      <c r="E67" t="b">
        <f>FALSE()</f>
        <v>0</v>
      </c>
    </row>
    <row r="68" spans="1:5">
      <c r="A68" t="s">
        <v>149</v>
      </c>
      <c r="B68" t="s">
        <v>209</v>
      </c>
      <c r="C68" t="b">
        <f>TRUE()</f>
        <v>1</v>
      </c>
      <c r="E68" t="b">
        <f>TRUE()</f>
        <v>1</v>
      </c>
    </row>
    <row r="69" spans="1:5">
      <c r="A69" t="s">
        <v>151</v>
      </c>
      <c r="B69" t="s">
        <v>152</v>
      </c>
      <c r="C69" t="b">
        <f>TRUE()</f>
        <v>1</v>
      </c>
      <c r="E69" t="b">
        <f>TRUE()</f>
        <v>1</v>
      </c>
    </row>
    <row r="70" spans="1:5">
      <c r="A70" t="s">
        <v>153</v>
      </c>
      <c r="B70" t="s">
        <v>154</v>
      </c>
      <c r="C70" t="b">
        <f>TRUE()</f>
        <v>1</v>
      </c>
      <c r="E70" t="b">
        <f>TRUE()</f>
        <v>1</v>
      </c>
    </row>
    <row r="71" spans="1:5">
      <c r="A71" t="s">
        <v>155</v>
      </c>
      <c r="B71" t="s">
        <v>110</v>
      </c>
      <c r="C71" t="b">
        <f>TRUE()</f>
        <v>1</v>
      </c>
      <c r="E71" t="b">
        <f>TRUE()</f>
        <v>1</v>
      </c>
    </row>
    <row r="72" spans="1:5" ht="46.35">
      <c r="A72" t="s">
        <v>156</v>
      </c>
      <c r="B72" s="2" t="s">
        <v>210</v>
      </c>
      <c r="C72" t="b">
        <f>FALSE()</f>
        <v>0</v>
      </c>
      <c r="E72" t="b">
        <f>FALSE()</f>
        <v>0</v>
      </c>
    </row>
    <row r="73" spans="1:5">
      <c r="A73" t="s">
        <v>158</v>
      </c>
      <c r="B73" t="s">
        <v>192</v>
      </c>
      <c r="C73" t="b">
        <f>FALSE()</f>
        <v>0</v>
      </c>
      <c r="E73" t="b">
        <f>FALSE()</f>
        <v>0</v>
      </c>
    </row>
    <row r="74" spans="1:5">
      <c r="A74" t="s">
        <v>161</v>
      </c>
      <c r="B74" t="s">
        <v>211</v>
      </c>
      <c r="C74" t="b">
        <f>FALSE()</f>
        <v>0</v>
      </c>
      <c r="E74" t="b">
        <f>FALSE()</f>
        <v>0</v>
      </c>
    </row>
    <row r="75" spans="1:5">
      <c r="A75" t="s">
        <v>163</v>
      </c>
      <c r="B75" t="s">
        <v>212</v>
      </c>
      <c r="C75" t="b">
        <f>TRUE()</f>
        <v>1</v>
      </c>
      <c r="E75" t="b">
        <f>TRUE()</f>
        <v>1</v>
      </c>
    </row>
    <row r="76" spans="1:5">
      <c r="A76" t="s">
        <v>165</v>
      </c>
      <c r="B76" t="s">
        <v>166</v>
      </c>
      <c r="C76" t="b">
        <f>TRUE()</f>
        <v>1</v>
      </c>
      <c r="E76" t="b">
        <f>TRUE()</f>
        <v>1</v>
      </c>
    </row>
    <row r="77" spans="1:5">
      <c r="A77" t="s">
        <v>167</v>
      </c>
      <c r="B77" t="s">
        <v>110</v>
      </c>
      <c r="C77" t="b">
        <f>TRUE()</f>
        <v>1</v>
      </c>
      <c r="E77" t="b">
        <f>TRUE()</f>
        <v>1</v>
      </c>
    </row>
    <row r="78" spans="1:5">
      <c r="A78" t="s">
        <v>169</v>
      </c>
      <c r="B78" t="s">
        <v>213</v>
      </c>
      <c r="C78" t="s">
        <v>8</v>
      </c>
      <c r="E78" t="s">
        <v>8</v>
      </c>
    </row>
    <row r="79" spans="1:5">
      <c r="A79" t="s">
        <v>171</v>
      </c>
      <c r="B79" t="s">
        <v>214</v>
      </c>
      <c r="C79" t="b">
        <f>FALSE()</f>
        <v>0</v>
      </c>
      <c r="E79" t="b">
        <f>FALSE()</f>
        <v>0</v>
      </c>
    </row>
    <row r="80" spans="1:5">
      <c r="A80" t="s">
        <v>173</v>
      </c>
      <c r="B80" t="s">
        <v>174</v>
      </c>
      <c r="C80" t="b">
        <f>TRUE()</f>
        <v>1</v>
      </c>
      <c r="E80" t="b">
        <f>TRUE()</f>
        <v>1</v>
      </c>
    </row>
    <row r="81" spans="1:5">
      <c r="A81" t="s">
        <v>175</v>
      </c>
      <c r="B81" t="s">
        <v>176</v>
      </c>
      <c r="C81" t="b">
        <f>TRUE()</f>
        <v>1</v>
      </c>
      <c r="E81" t="b">
        <f>TRUE()</f>
        <v>1</v>
      </c>
    </row>
    <row r="82" spans="1:5">
      <c r="A82" t="s">
        <v>177</v>
      </c>
      <c r="B82" t="s">
        <v>178</v>
      </c>
      <c r="C82" t="b">
        <f>TRUE()</f>
        <v>1</v>
      </c>
      <c r="E82" t="b">
        <f>TRUE()</f>
        <v>1</v>
      </c>
    </row>
    <row r="83" spans="1:5">
      <c r="A83" t="s">
        <v>179</v>
      </c>
      <c r="B83" t="s">
        <v>110</v>
      </c>
      <c r="C83" t="b">
        <f>TRUE()</f>
        <v>1</v>
      </c>
      <c r="E83" t="b">
        <f>TRUE()</f>
        <v>1</v>
      </c>
    </row>
    <row r="84" spans="1:5">
      <c r="A84" t="s">
        <v>180</v>
      </c>
      <c r="B84" t="s">
        <v>200</v>
      </c>
      <c r="C84" t="s">
        <v>8</v>
      </c>
      <c r="E84" t="s">
        <v>8</v>
      </c>
    </row>
    <row r="85" spans="1:5">
      <c r="A85" t="s">
        <v>181</v>
      </c>
      <c r="B85" t="s">
        <v>148</v>
      </c>
      <c r="C85" t="b">
        <f>FALSE()</f>
        <v>0</v>
      </c>
      <c r="E85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5"/>
  <sheetViews>
    <sheetView zoomScale="75" zoomScaleNormal="75" workbookViewId="0">
      <selection activeCell="E81" sqref="E81"/>
    </sheetView>
  </sheetViews>
  <sheetFormatPr defaultColWidth="8.5703125" defaultRowHeight="15"/>
  <cols>
    <col min="1" max="1" width="47.5703125" customWidth="1"/>
    <col min="2" max="2" width="28.7109375" customWidth="1"/>
    <col min="5" max="5" width="12.2851562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183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215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216</v>
      </c>
      <c r="C5" t="b">
        <f>TRUE()</f>
        <v>1</v>
      </c>
      <c r="E5" t="b">
        <f>TRUE()</f>
        <v>1</v>
      </c>
    </row>
    <row r="6" spans="1:5" ht="31.35">
      <c r="A6" t="s">
        <v>31</v>
      </c>
      <c r="B6" s="2" t="s">
        <v>217</v>
      </c>
      <c r="C6" t="b">
        <f>TRUE()</f>
        <v>1</v>
      </c>
      <c r="E6" t="b">
        <f>TRUE()</f>
        <v>1</v>
      </c>
    </row>
    <row r="7" spans="1:5">
      <c r="A7" t="s">
        <v>33</v>
      </c>
      <c r="B7" t="s">
        <v>46</v>
      </c>
      <c r="C7" t="b">
        <f>TRUE()</f>
        <v>1</v>
      </c>
      <c r="E7" t="b">
        <f>TRUE()</f>
        <v>1</v>
      </c>
    </row>
    <row r="8" spans="1:5">
      <c r="A8" t="s">
        <v>35</v>
      </c>
      <c r="B8" t="s">
        <v>218</v>
      </c>
      <c r="C8" t="b">
        <f>TRUE()</f>
        <v>1</v>
      </c>
      <c r="E8" t="b">
        <f>TRUE()</f>
        <v>1</v>
      </c>
    </row>
    <row r="9" spans="1:5">
      <c r="A9" t="s">
        <v>37</v>
      </c>
      <c r="B9" t="s">
        <v>38</v>
      </c>
      <c r="C9" t="b">
        <f>TRUE()</f>
        <v>1</v>
      </c>
      <c r="E9" t="b">
        <f>TRUE()</f>
        <v>1</v>
      </c>
    </row>
    <row r="10" spans="1:5">
      <c r="A10" t="s">
        <v>39</v>
      </c>
      <c r="B10" t="s">
        <v>40</v>
      </c>
      <c r="C10" t="b">
        <f>TRUE()</f>
        <v>1</v>
      </c>
      <c r="E10" t="b">
        <f>TRUE()</f>
        <v>1</v>
      </c>
    </row>
    <row r="11" spans="1:5">
      <c r="A11" t="s">
        <v>41</v>
      </c>
      <c r="B11" t="s">
        <v>219</v>
      </c>
      <c r="C11" t="b">
        <f>TRUE()</f>
        <v>1</v>
      </c>
      <c r="E11" t="b">
        <f>TRUE()</f>
        <v>1</v>
      </c>
    </row>
    <row r="12" spans="1:5" ht="46.35">
      <c r="A12" t="s">
        <v>43</v>
      </c>
      <c r="B12" s="2" t="s">
        <v>220</v>
      </c>
      <c r="C12" t="b">
        <f>FALSE()</f>
        <v>0</v>
      </c>
      <c r="E12" t="b">
        <f>FALSE()</f>
        <v>0</v>
      </c>
    </row>
    <row r="13" spans="1:5">
      <c r="A13" t="s">
        <v>45</v>
      </c>
      <c r="B13" t="s">
        <v>46</v>
      </c>
      <c r="C13" t="b">
        <f>FALSE()</f>
        <v>0</v>
      </c>
      <c r="E13" t="b">
        <f>FALSE()</f>
        <v>0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50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221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219</v>
      </c>
      <c r="C17" t="b">
        <f>TRUE()</f>
        <v>1</v>
      </c>
      <c r="E17" t="b">
        <f>TRUE()</f>
        <v>1</v>
      </c>
    </row>
    <row r="18" spans="1:5" ht="46.35">
      <c r="A18" t="s">
        <v>54</v>
      </c>
      <c r="B18" s="2" t="s">
        <v>222</v>
      </c>
      <c r="C18" t="b">
        <f>FALSE()</f>
        <v>0</v>
      </c>
      <c r="E18" t="b">
        <f>FALSE()</f>
        <v>0</v>
      </c>
    </row>
    <row r="19" spans="1:5">
      <c r="A19" t="s">
        <v>56</v>
      </c>
      <c r="B19" t="s">
        <v>57</v>
      </c>
      <c r="C19" t="b">
        <f>FALSE()</f>
        <v>0</v>
      </c>
      <c r="E19" t="b">
        <f>FALSE()</f>
        <v>0</v>
      </c>
    </row>
    <row r="20" spans="1:5">
      <c r="A20" t="s">
        <v>58</v>
      </c>
      <c r="B20" t="s">
        <v>223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190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216</v>
      </c>
      <c r="C23" t="b">
        <f>TRUE()</f>
        <v>1</v>
      </c>
      <c r="E23" t="b">
        <f>TRUE()</f>
        <v>1</v>
      </c>
    </row>
    <row r="24" spans="1:5" ht="46.35">
      <c r="A24" t="s">
        <v>65</v>
      </c>
      <c r="B24" s="2" t="s">
        <v>66</v>
      </c>
      <c r="C24" t="s">
        <v>8</v>
      </c>
      <c r="E24" t="s">
        <v>8</v>
      </c>
    </row>
    <row r="25" spans="1:5">
      <c r="A25" t="s">
        <v>67</v>
      </c>
      <c r="B25" t="s">
        <v>102</v>
      </c>
      <c r="C25" t="b">
        <f>FALSE()</f>
        <v>0</v>
      </c>
      <c r="E25" t="b">
        <f>FALSE()</f>
        <v>0</v>
      </c>
    </row>
    <row r="26" spans="1:5">
      <c r="A26" t="s">
        <v>69</v>
      </c>
      <c r="B26" t="s">
        <v>193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194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195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219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224</v>
      </c>
      <c r="C30" t="s">
        <v>8</v>
      </c>
      <c r="D30" t="s">
        <v>225</v>
      </c>
      <c r="E30" t="s">
        <v>8</v>
      </c>
    </row>
    <row r="31" spans="1:5">
      <c r="A31" t="s">
        <v>79</v>
      </c>
      <c r="B31" t="s">
        <v>226</v>
      </c>
      <c r="C31" t="b">
        <f>TRUE()</f>
        <v>1</v>
      </c>
      <c r="E31" t="b">
        <f>TRUE()</f>
        <v>1</v>
      </c>
    </row>
    <row r="32" spans="1:5">
      <c r="A32" t="s">
        <v>81</v>
      </c>
      <c r="B32" t="s">
        <v>82</v>
      </c>
      <c r="C32" t="b">
        <f>TRUE()</f>
        <v>1</v>
      </c>
      <c r="E32" t="b">
        <f>TRUE()</f>
        <v>1</v>
      </c>
    </row>
    <row r="33" spans="1:5">
      <c r="A33" t="s">
        <v>83</v>
      </c>
      <c r="B33" t="s">
        <v>84</v>
      </c>
      <c r="C33" t="b">
        <f>TRUE()</f>
        <v>1</v>
      </c>
      <c r="E33" t="b">
        <f>TRUE()</f>
        <v>1</v>
      </c>
    </row>
    <row r="34" spans="1:5">
      <c r="A34" t="s">
        <v>85</v>
      </c>
      <c r="B34" t="s">
        <v>86</v>
      </c>
      <c r="C34" t="b">
        <f>TRUE()</f>
        <v>1</v>
      </c>
      <c r="E34" t="b">
        <f>TRUE()</f>
        <v>1</v>
      </c>
    </row>
    <row r="35" spans="1:5">
      <c r="A35" t="s">
        <v>87</v>
      </c>
      <c r="B35" t="s">
        <v>219</v>
      </c>
      <c r="C35" t="b">
        <f>TRUE()</f>
        <v>1</v>
      </c>
      <c r="E35" t="b">
        <f>TRUE()</f>
        <v>1</v>
      </c>
    </row>
    <row r="36" spans="1:5">
      <c r="A36" t="s">
        <v>88</v>
      </c>
      <c r="B36" t="s">
        <v>227</v>
      </c>
      <c r="C36" t="s">
        <v>8</v>
      </c>
      <c r="E36" t="s">
        <v>8</v>
      </c>
    </row>
    <row r="37" spans="1:5">
      <c r="A37" t="s">
        <v>91</v>
      </c>
      <c r="B37" t="s">
        <v>228</v>
      </c>
      <c r="C37" t="b">
        <f>FALSE()</f>
        <v>0</v>
      </c>
      <c r="E37" t="b">
        <f>FALSE()</f>
        <v>0</v>
      </c>
    </row>
    <row r="38" spans="1:5">
      <c r="A38" t="s">
        <v>93</v>
      </c>
      <c r="B38" t="s">
        <v>229</v>
      </c>
      <c r="C38" t="b">
        <f>TRUE()</f>
        <v>1</v>
      </c>
      <c r="E38" t="b">
        <f>TRUE()</f>
        <v>1</v>
      </c>
    </row>
    <row r="39" spans="1:5">
      <c r="A39" t="s">
        <v>95</v>
      </c>
      <c r="B39" t="s">
        <v>96</v>
      </c>
      <c r="C39" t="b">
        <f>TRUE()</f>
        <v>1</v>
      </c>
      <c r="E39" t="b">
        <f>TRUE()</f>
        <v>1</v>
      </c>
    </row>
    <row r="40" spans="1:5">
      <c r="A40" t="s">
        <v>97</v>
      </c>
      <c r="B40" t="s">
        <v>40</v>
      </c>
      <c r="C40" t="b">
        <f>TRUE()</f>
        <v>1</v>
      </c>
      <c r="E40" t="b">
        <f>TRUE()</f>
        <v>1</v>
      </c>
    </row>
    <row r="41" spans="1:5">
      <c r="A41" t="s">
        <v>98</v>
      </c>
      <c r="B41" t="s">
        <v>219</v>
      </c>
      <c r="C41" t="b">
        <f>TRUE()</f>
        <v>1</v>
      </c>
      <c r="E41" t="b">
        <f>TRUE()</f>
        <v>1</v>
      </c>
    </row>
    <row r="42" spans="1:5">
      <c r="A42" t="s">
        <v>99</v>
      </c>
      <c r="B42" t="s">
        <v>230</v>
      </c>
      <c r="C42" t="b">
        <f>TRUE()</f>
        <v>1</v>
      </c>
      <c r="E42" t="b">
        <f>TRUE()</f>
        <v>1</v>
      </c>
    </row>
    <row r="43" spans="1:5">
      <c r="A43" t="s">
        <v>101</v>
      </c>
      <c r="B43" t="s">
        <v>192</v>
      </c>
      <c r="C43" t="b">
        <f>FALSE()</f>
        <v>0</v>
      </c>
      <c r="E43" t="b">
        <f>FALSE()</f>
        <v>0</v>
      </c>
    </row>
    <row r="44" spans="1:5">
      <c r="A44" t="s">
        <v>103</v>
      </c>
      <c r="B44" t="s">
        <v>104</v>
      </c>
      <c r="C44" t="b">
        <f>TRUE()</f>
        <v>1</v>
      </c>
      <c r="E44" t="b">
        <f>TRUE()</f>
        <v>1</v>
      </c>
    </row>
    <row r="45" spans="1:5">
      <c r="A45" t="s">
        <v>105</v>
      </c>
      <c r="B45" t="s">
        <v>106</v>
      </c>
      <c r="C45" t="b">
        <f>TRUE()</f>
        <v>1</v>
      </c>
      <c r="E45" t="b">
        <f>TRUE()</f>
        <v>1</v>
      </c>
    </row>
    <row r="46" spans="1:5">
      <c r="A46" t="s">
        <v>107</v>
      </c>
      <c r="B46" t="s">
        <v>108</v>
      </c>
      <c r="C46" t="b">
        <f>TRUE()</f>
        <v>1</v>
      </c>
      <c r="E46" t="b">
        <f>TRUE()</f>
        <v>1</v>
      </c>
    </row>
    <row r="47" spans="1:5">
      <c r="A47" t="s">
        <v>109</v>
      </c>
      <c r="B47" t="s">
        <v>231</v>
      </c>
      <c r="C47" t="b">
        <f>TRUE()</f>
        <v>1</v>
      </c>
      <c r="E47" t="b">
        <f>TRUE()</f>
        <v>1</v>
      </c>
    </row>
    <row r="48" spans="1:5" ht="46.35">
      <c r="A48" t="s">
        <v>111</v>
      </c>
      <c r="B48" s="2" t="s">
        <v>232</v>
      </c>
      <c r="C48" t="b">
        <f>FALSE()</f>
        <v>0</v>
      </c>
      <c r="E48" t="b">
        <f>FALSE()</f>
        <v>0</v>
      </c>
    </row>
    <row r="49" spans="1:5">
      <c r="A49" t="s">
        <v>113</v>
      </c>
      <c r="B49" t="s">
        <v>233</v>
      </c>
      <c r="C49" t="b">
        <f>FALSE()</f>
        <v>0</v>
      </c>
      <c r="E49" t="b">
        <f>FALSE()</f>
        <v>0</v>
      </c>
    </row>
    <row r="50" spans="1:5">
      <c r="A50" t="s">
        <v>115</v>
      </c>
      <c r="B50" t="s">
        <v>234</v>
      </c>
      <c r="C50" t="b">
        <f>TRUE()</f>
        <v>1</v>
      </c>
      <c r="E50" t="b">
        <f>TRUE()</f>
        <v>1</v>
      </c>
    </row>
    <row r="51" spans="1:5">
      <c r="A51" t="s">
        <v>117</v>
      </c>
      <c r="B51" t="s">
        <v>118</v>
      </c>
      <c r="C51" t="b">
        <f>TRUE()</f>
        <v>1</v>
      </c>
      <c r="E51" t="b">
        <f>TRUE()</f>
        <v>1</v>
      </c>
    </row>
    <row r="52" spans="1:5">
      <c r="A52" t="s">
        <v>119</v>
      </c>
      <c r="B52" t="s">
        <v>203</v>
      </c>
      <c r="C52" t="b">
        <f>TRUE()</f>
        <v>1</v>
      </c>
      <c r="E52" t="b">
        <f>TRUE()</f>
        <v>1</v>
      </c>
    </row>
    <row r="53" spans="1:5">
      <c r="A53" t="s">
        <v>121</v>
      </c>
      <c r="B53" t="s">
        <v>231</v>
      </c>
      <c r="C53" t="b">
        <f>TRUE()</f>
        <v>1</v>
      </c>
      <c r="E53" t="b">
        <f>TRUE()</f>
        <v>1</v>
      </c>
    </row>
    <row r="54" spans="1:5">
      <c r="A54" t="s">
        <v>122</v>
      </c>
      <c r="B54" t="s">
        <v>235</v>
      </c>
      <c r="C54" t="b">
        <f>TRUE()</f>
        <v>1</v>
      </c>
      <c r="E54" t="b">
        <f>TRUE()</f>
        <v>1</v>
      </c>
    </row>
    <row r="55" spans="1:5">
      <c r="A55" t="s">
        <v>124</v>
      </c>
      <c r="B55" t="s">
        <v>46</v>
      </c>
      <c r="C55" t="b">
        <f>TRUE()</f>
        <v>1</v>
      </c>
      <c r="E55" t="b">
        <f>TRUE()</f>
        <v>1</v>
      </c>
    </row>
    <row r="56" spans="1:5">
      <c r="A56" t="s">
        <v>126</v>
      </c>
      <c r="B56" t="s">
        <v>127</v>
      </c>
      <c r="C56" t="b">
        <f>TRUE()</f>
        <v>1</v>
      </c>
      <c r="E56" t="b">
        <f>TRUE()</f>
        <v>1</v>
      </c>
    </row>
    <row r="57" spans="1:5">
      <c r="A57" t="s">
        <v>128</v>
      </c>
      <c r="B57" t="s">
        <v>129</v>
      </c>
      <c r="C57" t="b">
        <f>TRUE()</f>
        <v>1</v>
      </c>
      <c r="E57" t="b">
        <f>TRUE()</f>
        <v>1</v>
      </c>
    </row>
    <row r="58" spans="1:5">
      <c r="A58" t="s">
        <v>130</v>
      </c>
      <c r="B58" t="s">
        <v>205</v>
      </c>
      <c r="C58" t="b">
        <f>TRUE()</f>
        <v>1</v>
      </c>
      <c r="E58" t="b">
        <f>TRUE()</f>
        <v>1</v>
      </c>
    </row>
    <row r="59" spans="1:5">
      <c r="A59" t="s">
        <v>132</v>
      </c>
      <c r="B59" t="s">
        <v>231</v>
      </c>
      <c r="C59" t="b">
        <f>TRUE()</f>
        <v>1</v>
      </c>
      <c r="E59" t="b">
        <f>TRUE()</f>
        <v>1</v>
      </c>
    </row>
    <row r="60" spans="1:5" ht="31.35">
      <c r="A60" t="s">
        <v>133</v>
      </c>
      <c r="B60" s="2" t="s">
        <v>236</v>
      </c>
      <c r="C60" t="s">
        <v>8</v>
      </c>
      <c r="E60" t="s">
        <v>8</v>
      </c>
    </row>
    <row r="61" spans="1:5">
      <c r="A61" t="s">
        <v>135</v>
      </c>
      <c r="B61" t="s">
        <v>188</v>
      </c>
      <c r="C61" t="b">
        <f>FALSE()</f>
        <v>0</v>
      </c>
      <c r="E61" t="b">
        <f>FALSE()</f>
        <v>0</v>
      </c>
    </row>
    <row r="62" spans="1:5">
      <c r="A62" t="s">
        <v>137</v>
      </c>
      <c r="B62" t="s">
        <v>207</v>
      </c>
      <c r="C62" t="b">
        <f>TRUE()</f>
        <v>1</v>
      </c>
      <c r="E62" t="b">
        <f>TRUE()</f>
        <v>1</v>
      </c>
    </row>
    <row r="63" spans="1:5">
      <c r="A63" t="s">
        <v>139</v>
      </c>
      <c r="B63" t="s">
        <v>140</v>
      </c>
      <c r="C63" t="b">
        <f>TRUE()</f>
        <v>1</v>
      </c>
      <c r="E63" t="b">
        <f>TRUE()</f>
        <v>1</v>
      </c>
    </row>
    <row r="64" spans="1:5">
      <c r="A64" t="s">
        <v>141</v>
      </c>
      <c r="B64" t="s">
        <v>142</v>
      </c>
      <c r="C64" t="b">
        <f>TRUE()</f>
        <v>1</v>
      </c>
      <c r="E64" t="b">
        <f>TRUE()</f>
        <v>1</v>
      </c>
    </row>
    <row r="65" spans="1:5">
      <c r="A65" t="s">
        <v>143</v>
      </c>
      <c r="B65" t="s">
        <v>231</v>
      </c>
      <c r="C65" t="b">
        <f>TRUE()</f>
        <v>1</v>
      </c>
      <c r="E65" t="b">
        <f>TRUE()</f>
        <v>1</v>
      </c>
    </row>
    <row r="66" spans="1:5" ht="31.35">
      <c r="A66" t="s">
        <v>144</v>
      </c>
      <c r="B66" s="2" t="s">
        <v>237</v>
      </c>
      <c r="C66" t="s">
        <v>8</v>
      </c>
      <c r="E66" t="s">
        <v>8</v>
      </c>
    </row>
    <row r="67" spans="1:5">
      <c r="A67" t="s">
        <v>147</v>
      </c>
      <c r="B67" t="s">
        <v>190</v>
      </c>
      <c r="C67" t="b">
        <f>FALSE()</f>
        <v>0</v>
      </c>
      <c r="E67" t="b">
        <f>FALSE()</f>
        <v>0</v>
      </c>
    </row>
    <row r="68" spans="1:5">
      <c r="A68" t="s">
        <v>149</v>
      </c>
      <c r="B68" t="s">
        <v>238</v>
      </c>
      <c r="C68" t="b">
        <f>TRUE()</f>
        <v>1</v>
      </c>
      <c r="E68" t="b">
        <f>TRUE()</f>
        <v>1</v>
      </c>
    </row>
    <row r="69" spans="1:5">
      <c r="A69" t="s">
        <v>151</v>
      </c>
      <c r="B69" t="s">
        <v>152</v>
      </c>
      <c r="C69" t="b">
        <f>TRUE()</f>
        <v>1</v>
      </c>
      <c r="E69" t="b">
        <f>TRUE()</f>
        <v>1</v>
      </c>
    </row>
    <row r="70" spans="1:5">
      <c r="A70" t="s">
        <v>153</v>
      </c>
      <c r="B70" t="s">
        <v>154</v>
      </c>
      <c r="C70" t="b">
        <f>TRUE()</f>
        <v>1</v>
      </c>
      <c r="E70" t="b">
        <f>TRUE()</f>
        <v>1</v>
      </c>
    </row>
    <row r="71" spans="1:5">
      <c r="A71" t="s">
        <v>155</v>
      </c>
      <c r="B71" t="s">
        <v>231</v>
      </c>
      <c r="C71" t="b">
        <f>TRUE()</f>
        <v>1</v>
      </c>
      <c r="E71" t="b">
        <f>TRUE()</f>
        <v>1</v>
      </c>
    </row>
    <row r="72" spans="1:5">
      <c r="A72" t="s">
        <v>156</v>
      </c>
      <c r="B72" t="s">
        <v>239</v>
      </c>
      <c r="C72" t="s">
        <v>8</v>
      </c>
      <c r="E72" t="s">
        <v>8</v>
      </c>
    </row>
    <row r="73" spans="1:5">
      <c r="A73" t="s">
        <v>158</v>
      </c>
      <c r="B73" t="s">
        <v>228</v>
      </c>
      <c r="C73" t="b">
        <f>FALSE()</f>
        <v>0</v>
      </c>
      <c r="E73" t="b">
        <f>FALSE()</f>
        <v>0</v>
      </c>
    </row>
    <row r="74" spans="1:5">
      <c r="A74" t="s">
        <v>161</v>
      </c>
      <c r="B74" t="s">
        <v>162</v>
      </c>
      <c r="C74" t="b">
        <f>TRUE()</f>
        <v>1</v>
      </c>
      <c r="E74" t="b">
        <f>TRUE()</f>
        <v>1</v>
      </c>
    </row>
    <row r="75" spans="1:5">
      <c r="A75" t="s">
        <v>163</v>
      </c>
      <c r="B75" t="s">
        <v>212</v>
      </c>
      <c r="C75" t="b">
        <f>TRUE()</f>
        <v>1</v>
      </c>
      <c r="E75" t="b">
        <f>TRUE()</f>
        <v>1</v>
      </c>
    </row>
    <row r="76" spans="1:5">
      <c r="A76" t="s">
        <v>165</v>
      </c>
      <c r="B76" t="s">
        <v>166</v>
      </c>
      <c r="C76" t="b">
        <f>TRUE()</f>
        <v>1</v>
      </c>
      <c r="E76" t="b">
        <f>TRUE()</f>
        <v>1</v>
      </c>
    </row>
    <row r="77" spans="1:5">
      <c r="A77" t="s">
        <v>167</v>
      </c>
      <c r="B77" t="s">
        <v>231</v>
      </c>
      <c r="C77" t="b">
        <f>TRUE()</f>
        <v>1</v>
      </c>
      <c r="E77" t="b">
        <f>TRUE()</f>
        <v>1</v>
      </c>
    </row>
    <row r="78" spans="1:5" ht="46.35">
      <c r="A78" t="s">
        <v>169</v>
      </c>
      <c r="B78" s="2" t="s">
        <v>240</v>
      </c>
      <c r="C78" t="b">
        <f>FALSE()</f>
        <v>0</v>
      </c>
      <c r="E78" t="b">
        <f>FALSE()</f>
        <v>0</v>
      </c>
    </row>
    <row r="79" spans="1:5">
      <c r="A79" t="s">
        <v>171</v>
      </c>
      <c r="B79" t="s">
        <v>241</v>
      </c>
      <c r="C79" t="b">
        <f>TRUE()</f>
        <v>1</v>
      </c>
      <c r="E79" t="b">
        <f>TRUE()</f>
        <v>1</v>
      </c>
    </row>
    <row r="80" spans="1:5">
      <c r="A80" t="s">
        <v>173</v>
      </c>
      <c r="B80" t="s">
        <v>174</v>
      </c>
      <c r="C80" t="b">
        <f>TRUE()</f>
        <v>1</v>
      </c>
      <c r="E80" t="b">
        <f>TRUE()</f>
        <v>1</v>
      </c>
    </row>
    <row r="81" spans="1:5">
      <c r="A81" t="s">
        <v>175</v>
      </c>
      <c r="B81" t="s">
        <v>176</v>
      </c>
      <c r="C81" t="b">
        <f>TRUE()</f>
        <v>1</v>
      </c>
      <c r="E81" t="b">
        <f>TRUE()</f>
        <v>1</v>
      </c>
    </row>
    <row r="82" spans="1:5">
      <c r="A82" t="s">
        <v>177</v>
      </c>
      <c r="B82" t="s">
        <v>178</v>
      </c>
      <c r="C82" t="b">
        <f>TRUE()</f>
        <v>1</v>
      </c>
      <c r="E82" t="b">
        <f>TRUE()</f>
        <v>1</v>
      </c>
    </row>
    <row r="83" spans="1:5">
      <c r="A83" t="s">
        <v>179</v>
      </c>
      <c r="B83" t="s">
        <v>231</v>
      </c>
      <c r="C83" t="b">
        <f>TRUE()</f>
        <v>1</v>
      </c>
      <c r="E83" t="b">
        <f>TRUE()</f>
        <v>1</v>
      </c>
    </row>
    <row r="84" spans="1:5">
      <c r="A84" t="s">
        <v>180</v>
      </c>
      <c r="B84" t="s">
        <v>112</v>
      </c>
      <c r="C84" t="s">
        <v>8</v>
      </c>
      <c r="E84" t="b">
        <v>0</v>
      </c>
    </row>
    <row r="85" spans="1:5">
      <c r="A85" t="s">
        <v>181</v>
      </c>
      <c r="B85" t="s">
        <v>192</v>
      </c>
      <c r="C85" t="b">
        <f>FALSE()</f>
        <v>0</v>
      </c>
      <c r="E85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5"/>
  <sheetViews>
    <sheetView zoomScale="75" zoomScaleNormal="75" workbookViewId="0">
      <selection activeCell="E24" sqref="E24"/>
    </sheetView>
  </sheetViews>
  <sheetFormatPr defaultColWidth="8.5703125" defaultRowHeight="15"/>
  <cols>
    <col min="1" max="1" width="48.140625" customWidth="1"/>
    <col min="2" max="2" width="31.85546875" customWidth="1"/>
    <col min="5" max="5" width="14.71093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183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26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219</v>
      </c>
      <c r="C5" t="b">
        <f>TRUE()</f>
        <v>1</v>
      </c>
      <c r="E5" t="b">
        <f>TRUE()</f>
        <v>1</v>
      </c>
    </row>
    <row r="6" spans="1:5">
      <c r="A6" t="s">
        <v>31</v>
      </c>
      <c r="B6" t="s">
        <v>242</v>
      </c>
      <c r="C6" t="b">
        <f>TRUE()</f>
        <v>1</v>
      </c>
      <c r="E6" t="b">
        <f>TRUE()</f>
        <v>1</v>
      </c>
    </row>
    <row r="7" spans="1:5">
      <c r="A7" t="s">
        <v>33</v>
      </c>
      <c r="B7" t="s">
        <v>46</v>
      </c>
      <c r="C7" t="b">
        <f>TRUE()</f>
        <v>1</v>
      </c>
      <c r="E7" t="b">
        <f>TRUE()</f>
        <v>1</v>
      </c>
    </row>
    <row r="8" spans="1:5">
      <c r="A8" t="s">
        <v>35</v>
      </c>
      <c r="B8" t="s">
        <v>218</v>
      </c>
      <c r="C8" t="b">
        <f>TRUE()</f>
        <v>1</v>
      </c>
      <c r="E8" t="b">
        <f>TRUE()</f>
        <v>1</v>
      </c>
    </row>
    <row r="9" spans="1:5">
      <c r="A9" t="s">
        <v>37</v>
      </c>
      <c r="B9" t="s">
        <v>243</v>
      </c>
      <c r="C9" t="b">
        <f>TRUE()</f>
        <v>1</v>
      </c>
      <c r="E9" t="b">
        <f>TRUE()</f>
        <v>1</v>
      </c>
    </row>
    <row r="10" spans="1:5">
      <c r="A10" t="s">
        <v>39</v>
      </c>
      <c r="B10" t="s">
        <v>40</v>
      </c>
      <c r="C10" t="b">
        <f>TRUE()</f>
        <v>1</v>
      </c>
      <c r="E10" t="b">
        <f>TRUE()</f>
        <v>1</v>
      </c>
    </row>
    <row r="11" spans="1:5">
      <c r="A11" t="s">
        <v>41</v>
      </c>
      <c r="B11" t="s">
        <v>219</v>
      </c>
      <c r="C11" t="b">
        <f>TRUE()</f>
        <v>1</v>
      </c>
      <c r="E11" t="b">
        <f>TRUE()</f>
        <v>1</v>
      </c>
    </row>
    <row r="12" spans="1:5">
      <c r="A12" t="s">
        <v>43</v>
      </c>
      <c r="B12" t="s">
        <v>244</v>
      </c>
      <c r="C12" t="b">
        <f>TRUE()</f>
        <v>1</v>
      </c>
      <c r="E12" t="b">
        <f>TRUE()</f>
        <v>1</v>
      </c>
    </row>
    <row r="13" spans="1:5">
      <c r="A13" t="s">
        <v>45</v>
      </c>
      <c r="B13" t="s">
        <v>245</v>
      </c>
      <c r="C13" t="b">
        <f>TRUE()</f>
        <v>1</v>
      </c>
      <c r="E13" t="b">
        <f>TRUE()</f>
        <v>1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50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246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219</v>
      </c>
      <c r="C17" t="b">
        <f>TRUE()</f>
        <v>1</v>
      </c>
      <c r="E17" t="b">
        <f>TRUE()</f>
        <v>1</v>
      </c>
    </row>
    <row r="18" spans="1:5" ht="31.35">
      <c r="A18" t="s">
        <v>54</v>
      </c>
      <c r="B18" s="2" t="s">
        <v>247</v>
      </c>
      <c r="C18" t="s">
        <v>8</v>
      </c>
      <c r="E18" t="b">
        <v>0</v>
      </c>
    </row>
    <row r="19" spans="1:5">
      <c r="A19" t="s">
        <v>56</v>
      </c>
      <c r="B19" t="s">
        <v>102</v>
      </c>
      <c r="C19" t="b">
        <f>FALSE()</f>
        <v>0</v>
      </c>
      <c r="E19" t="b">
        <f>FALSE()</f>
        <v>0</v>
      </c>
    </row>
    <row r="20" spans="1:5">
      <c r="A20" t="s">
        <v>58</v>
      </c>
      <c r="B20" t="s">
        <v>59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190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219</v>
      </c>
      <c r="C23" t="b">
        <f>TRUE()</f>
        <v>1</v>
      </c>
      <c r="E23" t="b">
        <f>TRUE()</f>
        <v>1</v>
      </c>
    </row>
    <row r="24" spans="1:5" ht="46.35">
      <c r="A24" t="s">
        <v>65</v>
      </c>
      <c r="B24" s="2" t="s">
        <v>66</v>
      </c>
      <c r="C24" t="s">
        <v>8</v>
      </c>
      <c r="E24" t="b">
        <v>0</v>
      </c>
    </row>
    <row r="25" spans="1:5">
      <c r="A25" t="s">
        <v>67</v>
      </c>
      <c r="B25" t="s">
        <v>102</v>
      </c>
      <c r="C25" t="b">
        <f>FALSE()</f>
        <v>0</v>
      </c>
      <c r="E25" t="b">
        <f>FALSE()</f>
        <v>0</v>
      </c>
    </row>
    <row r="26" spans="1:5">
      <c r="A26" t="s">
        <v>69</v>
      </c>
      <c r="B26" t="s">
        <v>193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194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195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219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226</v>
      </c>
      <c r="C30" t="b">
        <f>TRUE()</f>
        <v>1</v>
      </c>
      <c r="E30" t="b">
        <f>TRUE()</f>
        <v>1</v>
      </c>
    </row>
    <row r="31" spans="1:5">
      <c r="A31" t="s">
        <v>79</v>
      </c>
      <c r="B31" t="s">
        <v>248</v>
      </c>
      <c r="C31" t="b">
        <f>TRUE()</f>
        <v>1</v>
      </c>
      <c r="E31" t="b">
        <f>TRUE()</f>
        <v>1</v>
      </c>
    </row>
    <row r="32" spans="1:5">
      <c r="A32" t="s">
        <v>81</v>
      </c>
      <c r="B32" t="s">
        <v>82</v>
      </c>
      <c r="C32" t="b">
        <f>TRUE()</f>
        <v>1</v>
      </c>
      <c r="E32" t="b">
        <f>TRUE()</f>
        <v>1</v>
      </c>
    </row>
    <row r="33" spans="1:5">
      <c r="A33" t="s">
        <v>83</v>
      </c>
      <c r="B33" t="s">
        <v>84</v>
      </c>
      <c r="C33" t="b">
        <f>TRUE()</f>
        <v>1</v>
      </c>
      <c r="E33" t="b">
        <f>TRUE()</f>
        <v>1</v>
      </c>
    </row>
    <row r="34" spans="1:5">
      <c r="A34" t="s">
        <v>85</v>
      </c>
      <c r="B34" t="s">
        <v>86</v>
      </c>
      <c r="C34" t="b">
        <f>TRUE()</f>
        <v>1</v>
      </c>
      <c r="E34" t="b">
        <f>TRUE()</f>
        <v>1</v>
      </c>
    </row>
    <row r="35" spans="1:5">
      <c r="A35" t="s">
        <v>87</v>
      </c>
      <c r="B35" t="s">
        <v>219</v>
      </c>
      <c r="C35" t="b">
        <f>TRUE()</f>
        <v>1</v>
      </c>
      <c r="E35" t="b">
        <f>TRUE()</f>
        <v>1</v>
      </c>
    </row>
    <row r="36" spans="1:5" ht="31.35">
      <c r="A36" t="s">
        <v>88</v>
      </c>
      <c r="B36" s="2" t="s">
        <v>249</v>
      </c>
      <c r="C36" t="s">
        <v>8</v>
      </c>
      <c r="E36" t="b">
        <v>0</v>
      </c>
    </row>
    <row r="37" spans="1:5">
      <c r="A37" t="s">
        <v>91</v>
      </c>
      <c r="B37" t="s">
        <v>186</v>
      </c>
      <c r="C37" t="b">
        <f>FALSE()</f>
        <v>0</v>
      </c>
      <c r="E37" t="b">
        <f>FALSE()</f>
        <v>0</v>
      </c>
    </row>
    <row r="38" spans="1:5">
      <c r="A38" t="s">
        <v>93</v>
      </c>
      <c r="B38" t="s">
        <v>229</v>
      </c>
      <c r="C38" t="b">
        <f>TRUE()</f>
        <v>1</v>
      </c>
      <c r="E38" t="b">
        <f>TRUE()</f>
        <v>1</v>
      </c>
    </row>
    <row r="39" spans="1:5">
      <c r="A39" t="s">
        <v>95</v>
      </c>
      <c r="B39" t="s">
        <v>96</v>
      </c>
      <c r="C39" t="b">
        <f>TRUE()</f>
        <v>1</v>
      </c>
      <c r="E39" t="b">
        <f>TRUE()</f>
        <v>1</v>
      </c>
    </row>
    <row r="40" spans="1:5">
      <c r="A40" t="s">
        <v>97</v>
      </c>
      <c r="B40" t="s">
        <v>40</v>
      </c>
      <c r="C40" t="b">
        <f>TRUE()</f>
        <v>1</v>
      </c>
      <c r="E40" t="b">
        <f>TRUE()</f>
        <v>1</v>
      </c>
    </row>
    <row r="41" spans="1:5">
      <c r="A41" t="s">
        <v>98</v>
      </c>
      <c r="B41" t="s">
        <v>216</v>
      </c>
      <c r="C41" t="b">
        <f>TRUE()</f>
        <v>1</v>
      </c>
      <c r="E41" t="b">
        <f>TRUE()</f>
        <v>1</v>
      </c>
    </row>
    <row r="42" spans="1:5">
      <c r="A42" t="s">
        <v>99</v>
      </c>
      <c r="B42" t="s">
        <v>100</v>
      </c>
      <c r="C42" t="b">
        <f>FALSE()</f>
        <v>0</v>
      </c>
      <c r="E42" t="b">
        <f>FALSE()</f>
        <v>0</v>
      </c>
    </row>
    <row r="43" spans="1:5">
      <c r="A43" t="s">
        <v>101</v>
      </c>
      <c r="B43" t="s">
        <v>186</v>
      </c>
      <c r="C43" t="b">
        <f>FALSE()</f>
        <v>0</v>
      </c>
      <c r="E43" t="b">
        <f>FALSE()</f>
        <v>0</v>
      </c>
    </row>
    <row r="44" spans="1:5">
      <c r="A44" t="s">
        <v>103</v>
      </c>
      <c r="B44" t="s">
        <v>104</v>
      </c>
      <c r="C44" t="b">
        <f>TRUE()</f>
        <v>1</v>
      </c>
      <c r="E44" t="b">
        <f>TRUE()</f>
        <v>1</v>
      </c>
    </row>
    <row r="45" spans="1:5">
      <c r="A45" t="s">
        <v>105</v>
      </c>
      <c r="B45" t="s">
        <v>106</v>
      </c>
      <c r="C45" t="b">
        <f>TRUE()</f>
        <v>1</v>
      </c>
      <c r="E45" t="b">
        <f>TRUE()</f>
        <v>1</v>
      </c>
    </row>
    <row r="46" spans="1:5">
      <c r="A46" t="s">
        <v>107</v>
      </c>
      <c r="B46" t="s">
        <v>108</v>
      </c>
      <c r="C46" t="b">
        <f>TRUE()</f>
        <v>1</v>
      </c>
      <c r="E46" t="b">
        <f>TRUE()</f>
        <v>1</v>
      </c>
    </row>
    <row r="47" spans="1:5">
      <c r="A47" t="s">
        <v>109</v>
      </c>
      <c r="B47" t="s">
        <v>231</v>
      </c>
      <c r="C47" t="b">
        <f>TRUE()</f>
        <v>1</v>
      </c>
      <c r="E47" t="b">
        <f>TRUE()</f>
        <v>1</v>
      </c>
    </row>
    <row r="48" spans="1:5">
      <c r="A48" t="s">
        <v>111</v>
      </c>
      <c r="B48" t="s">
        <v>250</v>
      </c>
      <c r="C48" t="b">
        <f>TRUE()</f>
        <v>1</v>
      </c>
      <c r="E48" t="b">
        <f>TRUE()</f>
        <v>1</v>
      </c>
    </row>
    <row r="49" spans="1:5">
      <c r="A49" t="s">
        <v>113</v>
      </c>
      <c r="B49" t="s">
        <v>251</v>
      </c>
      <c r="C49" t="b">
        <f>FALSE()</f>
        <v>0</v>
      </c>
      <c r="E49" t="b">
        <f>FALSE()</f>
        <v>0</v>
      </c>
    </row>
    <row r="50" spans="1:5">
      <c r="A50" t="s">
        <v>115</v>
      </c>
      <c r="B50" t="s">
        <v>234</v>
      </c>
      <c r="C50" t="b">
        <f>TRUE()</f>
        <v>1</v>
      </c>
      <c r="E50" t="b">
        <f>TRUE()</f>
        <v>1</v>
      </c>
    </row>
    <row r="51" spans="1:5">
      <c r="A51" t="s">
        <v>117</v>
      </c>
      <c r="B51" t="s">
        <v>118</v>
      </c>
      <c r="C51" t="b">
        <f>TRUE()</f>
        <v>1</v>
      </c>
      <c r="E51" t="b">
        <f>TRUE()</f>
        <v>1</v>
      </c>
    </row>
    <row r="52" spans="1:5">
      <c r="A52" t="s">
        <v>119</v>
      </c>
      <c r="B52" t="s">
        <v>203</v>
      </c>
      <c r="C52" t="b">
        <f>TRUE()</f>
        <v>1</v>
      </c>
      <c r="E52" t="b">
        <f>TRUE()</f>
        <v>1</v>
      </c>
    </row>
    <row r="53" spans="1:5">
      <c r="A53" t="s">
        <v>121</v>
      </c>
      <c r="B53" t="s">
        <v>252</v>
      </c>
      <c r="C53" t="b">
        <f>TRUE()</f>
        <v>1</v>
      </c>
      <c r="E53" t="b">
        <f>TRUE()</f>
        <v>1</v>
      </c>
    </row>
    <row r="54" spans="1:5">
      <c r="A54" t="s">
        <v>122</v>
      </c>
      <c r="B54" t="s">
        <v>204</v>
      </c>
      <c r="C54" t="b">
        <f>TRUE()</f>
        <v>1</v>
      </c>
      <c r="E54" t="b">
        <f>TRUE()</f>
        <v>1</v>
      </c>
    </row>
    <row r="55" spans="1:5">
      <c r="A55" t="s">
        <v>124</v>
      </c>
      <c r="B55" t="s">
        <v>253</v>
      </c>
      <c r="C55" t="b">
        <f>TRUE()</f>
        <v>1</v>
      </c>
      <c r="E55" t="b">
        <f>TRUE()</f>
        <v>1</v>
      </c>
    </row>
    <row r="56" spans="1:5">
      <c r="A56" t="s">
        <v>126</v>
      </c>
      <c r="B56" t="s">
        <v>127</v>
      </c>
      <c r="C56" t="b">
        <f>TRUE()</f>
        <v>1</v>
      </c>
      <c r="E56" t="b">
        <f>TRUE()</f>
        <v>1</v>
      </c>
    </row>
    <row r="57" spans="1:5">
      <c r="A57" t="s">
        <v>128</v>
      </c>
      <c r="B57" t="s">
        <v>129</v>
      </c>
      <c r="C57" t="b">
        <f>TRUE()</f>
        <v>1</v>
      </c>
      <c r="E57" t="b">
        <f>TRUE()</f>
        <v>1</v>
      </c>
    </row>
    <row r="58" spans="1:5">
      <c r="A58" t="s">
        <v>130</v>
      </c>
      <c r="B58" t="s">
        <v>205</v>
      </c>
      <c r="C58" t="b">
        <f>TRUE()</f>
        <v>1</v>
      </c>
      <c r="E58" t="b">
        <f>TRUE()</f>
        <v>1</v>
      </c>
    </row>
    <row r="59" spans="1:5">
      <c r="A59" t="s">
        <v>132</v>
      </c>
      <c r="B59" t="s">
        <v>231</v>
      </c>
      <c r="C59" t="b">
        <f>TRUE()</f>
        <v>1</v>
      </c>
      <c r="E59" t="b">
        <f>TRUE()</f>
        <v>1</v>
      </c>
    </row>
    <row r="60" spans="1:5">
      <c r="A60" t="s">
        <v>133</v>
      </c>
      <c r="B60" t="s">
        <v>254</v>
      </c>
      <c r="C60" t="s">
        <v>8</v>
      </c>
      <c r="E60" t="b">
        <v>0</v>
      </c>
    </row>
    <row r="61" spans="1:5">
      <c r="A61" t="s">
        <v>135</v>
      </c>
      <c r="B61" t="s">
        <v>255</v>
      </c>
      <c r="C61" t="b">
        <f>FALSE()</f>
        <v>0</v>
      </c>
      <c r="E61" t="b">
        <f>FALSE()</f>
        <v>0</v>
      </c>
    </row>
    <row r="62" spans="1:5">
      <c r="A62" t="s">
        <v>137</v>
      </c>
      <c r="B62" t="s">
        <v>207</v>
      </c>
      <c r="C62" t="b">
        <f>TRUE()</f>
        <v>1</v>
      </c>
      <c r="E62" t="b">
        <f>TRUE()</f>
        <v>1</v>
      </c>
    </row>
    <row r="63" spans="1:5">
      <c r="A63" t="s">
        <v>139</v>
      </c>
      <c r="B63" t="s">
        <v>140</v>
      </c>
      <c r="C63" t="b">
        <f>TRUE()</f>
        <v>1</v>
      </c>
      <c r="E63" t="b">
        <f>TRUE()</f>
        <v>1</v>
      </c>
    </row>
    <row r="64" spans="1:5">
      <c r="A64" t="s">
        <v>141</v>
      </c>
      <c r="B64" t="s">
        <v>142</v>
      </c>
      <c r="C64" t="b">
        <f>TRUE()</f>
        <v>1</v>
      </c>
      <c r="E64" t="b">
        <f>TRUE()</f>
        <v>1</v>
      </c>
    </row>
    <row r="65" spans="1:5">
      <c r="A65" t="s">
        <v>143</v>
      </c>
      <c r="B65" t="s">
        <v>168</v>
      </c>
      <c r="C65" t="b">
        <f>TRUE()</f>
        <v>1</v>
      </c>
      <c r="E65" t="b">
        <f>TRUE()</f>
        <v>1</v>
      </c>
    </row>
    <row r="66" spans="1:5" ht="31.35">
      <c r="A66" t="s">
        <v>144</v>
      </c>
      <c r="B66" s="2" t="s">
        <v>256</v>
      </c>
      <c r="C66" t="s">
        <v>8</v>
      </c>
      <c r="E66" t="b">
        <v>0</v>
      </c>
    </row>
    <row r="67" spans="1:5">
      <c r="A67" t="s">
        <v>147</v>
      </c>
      <c r="B67" t="s">
        <v>205</v>
      </c>
      <c r="C67" t="b">
        <f>FALSE()</f>
        <v>0</v>
      </c>
      <c r="E67" t="b">
        <f>FALSE()</f>
        <v>0</v>
      </c>
    </row>
    <row r="68" spans="1:5">
      <c r="A68" t="s">
        <v>149</v>
      </c>
      <c r="B68" t="s">
        <v>209</v>
      </c>
      <c r="C68" t="b">
        <f>TRUE()</f>
        <v>1</v>
      </c>
      <c r="E68" t="b">
        <f>TRUE()</f>
        <v>1</v>
      </c>
    </row>
    <row r="69" spans="1:5">
      <c r="A69" t="s">
        <v>151</v>
      </c>
      <c r="B69" t="s">
        <v>152</v>
      </c>
      <c r="C69" t="b">
        <f>TRUE()</f>
        <v>1</v>
      </c>
      <c r="E69" t="b">
        <f>TRUE()</f>
        <v>1</v>
      </c>
    </row>
    <row r="70" spans="1:5">
      <c r="A70" t="s">
        <v>153</v>
      </c>
      <c r="B70" t="s">
        <v>154</v>
      </c>
      <c r="C70" t="b">
        <f>TRUE()</f>
        <v>1</v>
      </c>
      <c r="E70" t="b">
        <f>TRUE()</f>
        <v>1</v>
      </c>
    </row>
    <row r="71" spans="1:5">
      <c r="A71" t="s">
        <v>155</v>
      </c>
      <c r="B71" t="s">
        <v>231</v>
      </c>
      <c r="C71" t="b">
        <f>TRUE()</f>
        <v>1</v>
      </c>
      <c r="E71" t="b">
        <f>TRUE()</f>
        <v>1</v>
      </c>
    </row>
    <row r="72" spans="1:5" ht="31.35">
      <c r="A72" t="s">
        <v>156</v>
      </c>
      <c r="B72" s="2" t="s">
        <v>257</v>
      </c>
      <c r="C72" t="s">
        <v>8</v>
      </c>
      <c r="E72" t="b">
        <v>0</v>
      </c>
    </row>
    <row r="73" spans="1:5">
      <c r="A73" t="s">
        <v>158</v>
      </c>
      <c r="B73" t="s">
        <v>258</v>
      </c>
      <c r="C73" t="b">
        <f>TRUE()</f>
        <v>1</v>
      </c>
      <c r="E73" t="b">
        <f>TRUE()</f>
        <v>1</v>
      </c>
    </row>
    <row r="74" spans="1:5">
      <c r="A74" t="s">
        <v>161</v>
      </c>
      <c r="B74" t="s">
        <v>162</v>
      </c>
      <c r="C74" t="b">
        <f>TRUE()</f>
        <v>1</v>
      </c>
      <c r="E74" t="b">
        <f>TRUE()</f>
        <v>1</v>
      </c>
    </row>
    <row r="75" spans="1:5">
      <c r="A75" t="s">
        <v>163</v>
      </c>
      <c r="B75" t="s">
        <v>212</v>
      </c>
      <c r="C75" t="b">
        <f>TRUE()</f>
        <v>1</v>
      </c>
      <c r="E75" t="b">
        <f>TRUE()</f>
        <v>1</v>
      </c>
    </row>
    <row r="76" spans="1:5">
      <c r="A76" t="s">
        <v>165</v>
      </c>
      <c r="B76" t="s">
        <v>166</v>
      </c>
      <c r="C76" t="b">
        <f>TRUE()</f>
        <v>1</v>
      </c>
      <c r="E76" t="b">
        <f>TRUE()</f>
        <v>1</v>
      </c>
    </row>
    <row r="77" spans="1:5">
      <c r="A77" t="s">
        <v>167</v>
      </c>
      <c r="B77" t="s">
        <v>231</v>
      </c>
      <c r="C77" t="b">
        <f>TRUE()</f>
        <v>1</v>
      </c>
      <c r="E77" t="b">
        <f>TRUE()</f>
        <v>1</v>
      </c>
    </row>
    <row r="78" spans="1:5" ht="31.35">
      <c r="A78" t="s">
        <v>169</v>
      </c>
      <c r="B78" s="2" t="s">
        <v>259</v>
      </c>
      <c r="C78" t="b">
        <f>FALSE()</f>
        <v>0</v>
      </c>
      <c r="E78" t="b">
        <f>FALSE()</f>
        <v>0</v>
      </c>
    </row>
    <row r="79" spans="1:5">
      <c r="A79" t="s">
        <v>171</v>
      </c>
      <c r="B79" t="s">
        <v>241</v>
      </c>
      <c r="C79" t="b">
        <f>TRUE()</f>
        <v>1</v>
      </c>
      <c r="E79" t="b">
        <f>TRUE()</f>
        <v>1</v>
      </c>
    </row>
    <row r="80" spans="1:5">
      <c r="A80" t="s">
        <v>173</v>
      </c>
      <c r="B80" t="s">
        <v>174</v>
      </c>
      <c r="C80" t="b">
        <f>TRUE()</f>
        <v>1</v>
      </c>
      <c r="E80" t="b">
        <f>TRUE()</f>
        <v>1</v>
      </c>
    </row>
    <row r="81" spans="1:5">
      <c r="A81" t="s">
        <v>175</v>
      </c>
      <c r="B81" t="s">
        <v>260</v>
      </c>
      <c r="C81" t="b">
        <f>TRUE()</f>
        <v>1</v>
      </c>
      <c r="E81" t="b">
        <f>TRUE()</f>
        <v>1</v>
      </c>
    </row>
    <row r="82" spans="1:5">
      <c r="A82" t="s">
        <v>177</v>
      </c>
      <c r="B82" t="s">
        <v>178</v>
      </c>
      <c r="C82" t="b">
        <f>TRUE()</f>
        <v>1</v>
      </c>
      <c r="E82" t="b">
        <f>TRUE()</f>
        <v>1</v>
      </c>
    </row>
    <row r="83" spans="1:5">
      <c r="A83" t="s">
        <v>179</v>
      </c>
      <c r="B83" t="s">
        <v>231</v>
      </c>
      <c r="C83" t="b">
        <f>TRUE()</f>
        <v>1</v>
      </c>
      <c r="E83" t="b">
        <f>TRUE()</f>
        <v>1</v>
      </c>
    </row>
    <row r="84" spans="1:5">
      <c r="A84" t="s">
        <v>180</v>
      </c>
      <c r="B84" t="s">
        <v>200</v>
      </c>
      <c r="C84" t="s">
        <v>8</v>
      </c>
      <c r="E84" t="s">
        <v>8</v>
      </c>
    </row>
    <row r="85" spans="1:5">
      <c r="A85" t="s">
        <v>181</v>
      </c>
      <c r="B85" t="s">
        <v>102</v>
      </c>
      <c r="C85" t="b">
        <f>FALSE()</f>
        <v>0</v>
      </c>
      <c r="E85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5"/>
  <sheetViews>
    <sheetView zoomScale="75" zoomScaleNormal="75" workbookViewId="0">
      <selection activeCell="J18" sqref="J18"/>
    </sheetView>
  </sheetViews>
  <sheetFormatPr defaultColWidth="8.5703125" defaultRowHeight="15"/>
  <cols>
    <col min="1" max="1" width="45.28515625" customWidth="1"/>
    <col min="2" max="2" width="29.7109375" customWidth="1"/>
    <col min="5" max="5" width="13.42578125" customWidth="1"/>
  </cols>
  <sheetData>
    <row r="1" spans="1:9">
      <c r="A1" s="1" t="s">
        <v>18</v>
      </c>
      <c r="B1" s="1" t="s">
        <v>19</v>
      </c>
      <c r="C1" t="s">
        <v>20</v>
      </c>
      <c r="D1" t="s">
        <v>21</v>
      </c>
      <c r="E1" t="s">
        <v>22</v>
      </c>
      <c r="H1" s="3"/>
      <c r="I1" s="3"/>
    </row>
    <row r="2" spans="1:9">
      <c r="A2" t="s">
        <v>23</v>
      </c>
      <c r="B2" t="s">
        <v>183</v>
      </c>
      <c r="C2" t="b">
        <f>TRUE()</f>
        <v>1</v>
      </c>
      <c r="E2" t="b">
        <f>TRUE()</f>
        <v>1</v>
      </c>
    </row>
    <row r="3" spans="1:9">
      <c r="A3" t="s">
        <v>25</v>
      </c>
      <c r="B3" t="s">
        <v>26</v>
      </c>
      <c r="C3" t="b">
        <f>TRUE()</f>
        <v>1</v>
      </c>
      <c r="E3" t="b">
        <f>TRUE()</f>
        <v>1</v>
      </c>
    </row>
    <row r="4" spans="1:9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9">
      <c r="A5" t="s">
        <v>29</v>
      </c>
      <c r="B5" t="s">
        <v>216</v>
      </c>
      <c r="C5" t="b">
        <f>TRUE()</f>
        <v>1</v>
      </c>
      <c r="E5" t="b">
        <f>TRUE()</f>
        <v>1</v>
      </c>
    </row>
    <row r="6" spans="1:9">
      <c r="A6" t="s">
        <v>31</v>
      </c>
      <c r="B6" t="s">
        <v>261</v>
      </c>
      <c r="C6" t="b">
        <f>TRUE()</f>
        <v>1</v>
      </c>
      <c r="E6" t="b">
        <f>TRUE()</f>
        <v>1</v>
      </c>
    </row>
    <row r="7" spans="1:9">
      <c r="A7" t="s">
        <v>33</v>
      </c>
      <c r="B7" t="s">
        <v>46</v>
      </c>
      <c r="C7" t="b">
        <f>TRUE()</f>
        <v>1</v>
      </c>
      <c r="E7" t="b">
        <f>TRUE()</f>
        <v>1</v>
      </c>
    </row>
    <row r="8" spans="1:9">
      <c r="A8" t="s">
        <v>35</v>
      </c>
      <c r="B8" t="s">
        <v>218</v>
      </c>
      <c r="C8" t="b">
        <f>TRUE()</f>
        <v>1</v>
      </c>
      <c r="E8" t="b">
        <f>TRUE()</f>
        <v>1</v>
      </c>
    </row>
    <row r="9" spans="1:9">
      <c r="A9" t="s">
        <v>37</v>
      </c>
      <c r="B9" t="s">
        <v>243</v>
      </c>
      <c r="C9" t="b">
        <f>TRUE()</f>
        <v>1</v>
      </c>
      <c r="E9" t="b">
        <f>TRUE()</f>
        <v>1</v>
      </c>
    </row>
    <row r="10" spans="1:9">
      <c r="A10" t="s">
        <v>39</v>
      </c>
      <c r="B10" t="s">
        <v>40</v>
      </c>
      <c r="C10" t="b">
        <f>TRUE()</f>
        <v>1</v>
      </c>
      <c r="E10" t="b">
        <f>TRUE()</f>
        <v>1</v>
      </c>
    </row>
    <row r="11" spans="1:9">
      <c r="A11" t="s">
        <v>41</v>
      </c>
      <c r="B11" t="s">
        <v>219</v>
      </c>
      <c r="C11" t="b">
        <f>TRUE()</f>
        <v>1</v>
      </c>
      <c r="E11" t="b">
        <f>TRUE()</f>
        <v>1</v>
      </c>
    </row>
    <row r="12" spans="1:9">
      <c r="A12" t="s">
        <v>43</v>
      </c>
      <c r="B12" t="s">
        <v>262</v>
      </c>
      <c r="C12" t="b">
        <f>TRUE()</f>
        <v>1</v>
      </c>
      <c r="E12" t="b">
        <f>TRUE()</f>
        <v>1</v>
      </c>
    </row>
    <row r="13" spans="1:9">
      <c r="A13" t="s">
        <v>45</v>
      </c>
      <c r="B13" t="s">
        <v>245</v>
      </c>
      <c r="C13" t="b">
        <f>TRUE()</f>
        <v>1</v>
      </c>
      <c r="E13" t="b">
        <f>TRUE()</f>
        <v>1</v>
      </c>
    </row>
    <row r="14" spans="1:9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9">
      <c r="A15" t="s">
        <v>49</v>
      </c>
      <c r="B15" t="s">
        <v>50</v>
      </c>
      <c r="C15" t="b">
        <f>TRUE()</f>
        <v>1</v>
      </c>
      <c r="E15" t="b">
        <f>TRUE()</f>
        <v>1</v>
      </c>
    </row>
    <row r="16" spans="1:9">
      <c r="A16" t="s">
        <v>51</v>
      </c>
      <c r="B16" t="s">
        <v>246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219</v>
      </c>
      <c r="C17" t="b">
        <f>TRUE()</f>
        <v>1</v>
      </c>
      <c r="E17" t="b">
        <f>TRUE()</f>
        <v>1</v>
      </c>
    </row>
    <row r="18" spans="1:5" ht="30.75">
      <c r="A18" t="s">
        <v>54</v>
      </c>
      <c r="B18" s="2" t="s">
        <v>263</v>
      </c>
      <c r="C18" t="s">
        <v>8</v>
      </c>
      <c r="E18" t="b">
        <v>0</v>
      </c>
    </row>
    <row r="19" spans="1:5">
      <c r="A19" t="s">
        <v>56</v>
      </c>
      <c r="B19" t="s">
        <v>102</v>
      </c>
      <c r="C19" t="b">
        <f>FALSE()</f>
        <v>0</v>
      </c>
      <c r="E19" t="b">
        <f>FALSE()</f>
        <v>0</v>
      </c>
    </row>
    <row r="20" spans="1:5">
      <c r="A20" t="s">
        <v>58</v>
      </c>
      <c r="B20" t="s">
        <v>59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190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216</v>
      </c>
      <c r="C23" t="b">
        <f>TRUE()</f>
        <v>1</v>
      </c>
      <c r="E23" t="b">
        <f>TRUE()</f>
        <v>1</v>
      </c>
    </row>
    <row r="24" spans="1:5">
      <c r="A24" t="s">
        <v>65</v>
      </c>
      <c r="B24" t="s">
        <v>264</v>
      </c>
      <c r="C24" t="s">
        <v>8</v>
      </c>
      <c r="E24" t="b">
        <v>0</v>
      </c>
    </row>
    <row r="25" spans="1:5">
      <c r="A25" t="s">
        <v>67</v>
      </c>
      <c r="B25" t="s">
        <v>228</v>
      </c>
      <c r="C25" t="b">
        <f>FALSE()</f>
        <v>0</v>
      </c>
      <c r="E25" t="b">
        <f>FALSE()</f>
        <v>0</v>
      </c>
    </row>
    <row r="26" spans="1:5">
      <c r="A26" t="s">
        <v>69</v>
      </c>
      <c r="B26" t="s">
        <v>70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194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195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219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265</v>
      </c>
      <c r="C30" t="b">
        <f>TRUE()</f>
        <v>1</v>
      </c>
      <c r="E30" t="b">
        <f>TRUE()</f>
        <v>1</v>
      </c>
    </row>
    <row r="31" spans="1:5">
      <c r="A31" t="s">
        <v>79</v>
      </c>
      <c r="B31" t="s">
        <v>248</v>
      </c>
      <c r="C31" t="b">
        <f>TRUE()</f>
        <v>1</v>
      </c>
      <c r="E31" t="b">
        <f>TRUE()</f>
        <v>1</v>
      </c>
    </row>
    <row r="32" spans="1:5">
      <c r="A32" t="s">
        <v>81</v>
      </c>
      <c r="B32" t="s">
        <v>82</v>
      </c>
      <c r="C32" t="b">
        <f>TRUE()</f>
        <v>1</v>
      </c>
      <c r="E32" t="b">
        <f>TRUE()</f>
        <v>1</v>
      </c>
    </row>
    <row r="33" spans="1:5">
      <c r="A33" t="s">
        <v>83</v>
      </c>
      <c r="B33" t="s">
        <v>84</v>
      </c>
      <c r="C33" t="b">
        <f>TRUE()</f>
        <v>1</v>
      </c>
      <c r="E33" t="b">
        <f>TRUE()</f>
        <v>1</v>
      </c>
    </row>
    <row r="34" spans="1:5">
      <c r="A34" t="s">
        <v>85</v>
      </c>
      <c r="B34" t="s">
        <v>86</v>
      </c>
      <c r="C34" t="b">
        <f>TRUE()</f>
        <v>1</v>
      </c>
      <c r="E34" t="b">
        <f>TRUE()</f>
        <v>1</v>
      </c>
    </row>
    <row r="35" spans="1:5">
      <c r="A35" t="s">
        <v>87</v>
      </c>
      <c r="B35" t="s">
        <v>219</v>
      </c>
      <c r="C35" t="b">
        <f>TRUE()</f>
        <v>1</v>
      </c>
      <c r="E35" t="b">
        <f>TRUE()</f>
        <v>1</v>
      </c>
    </row>
    <row r="36" spans="1:5" ht="30.75">
      <c r="A36" t="s">
        <v>88</v>
      </c>
      <c r="B36" s="2" t="s">
        <v>266</v>
      </c>
      <c r="C36" t="b">
        <f>FALSE()</f>
        <v>0</v>
      </c>
      <c r="E36" t="b">
        <f>FALSE()</f>
        <v>0</v>
      </c>
    </row>
    <row r="37" spans="1:5">
      <c r="A37" t="s">
        <v>91</v>
      </c>
      <c r="B37" t="s">
        <v>102</v>
      </c>
      <c r="C37" t="b">
        <f>FALSE()</f>
        <v>0</v>
      </c>
      <c r="E37" t="b">
        <f>FALSE()</f>
        <v>0</v>
      </c>
    </row>
    <row r="38" spans="1:5">
      <c r="A38" t="s">
        <v>93</v>
      </c>
      <c r="B38" t="s">
        <v>229</v>
      </c>
      <c r="C38" t="b">
        <f>TRUE()</f>
        <v>1</v>
      </c>
      <c r="E38" t="b">
        <f>TRUE()</f>
        <v>1</v>
      </c>
    </row>
    <row r="39" spans="1:5">
      <c r="A39" t="s">
        <v>95</v>
      </c>
      <c r="B39" t="s">
        <v>96</v>
      </c>
      <c r="C39" t="b">
        <f>TRUE()</f>
        <v>1</v>
      </c>
      <c r="E39" t="b">
        <f>TRUE()</f>
        <v>1</v>
      </c>
    </row>
    <row r="40" spans="1:5">
      <c r="A40" t="s">
        <v>97</v>
      </c>
      <c r="B40" t="s">
        <v>40</v>
      </c>
      <c r="C40" t="b">
        <f>TRUE()</f>
        <v>1</v>
      </c>
      <c r="E40" t="b">
        <f>TRUE()</f>
        <v>1</v>
      </c>
    </row>
    <row r="41" spans="1:5">
      <c r="A41" t="s">
        <v>98</v>
      </c>
      <c r="B41" t="s">
        <v>219</v>
      </c>
      <c r="C41" t="b">
        <f>TRUE()</f>
        <v>1</v>
      </c>
      <c r="E41" t="b">
        <f>TRUE()</f>
        <v>1</v>
      </c>
    </row>
    <row r="42" spans="1:5" ht="30.75">
      <c r="A42" t="s">
        <v>99</v>
      </c>
      <c r="B42" s="2" t="s">
        <v>267</v>
      </c>
      <c r="C42" t="s">
        <v>8</v>
      </c>
      <c r="E42" t="s">
        <v>8</v>
      </c>
    </row>
    <row r="43" spans="1:5">
      <c r="A43" t="s">
        <v>101</v>
      </c>
      <c r="B43" t="s">
        <v>102</v>
      </c>
      <c r="C43" t="b">
        <f>FALSE()</f>
        <v>0</v>
      </c>
      <c r="E43" t="b">
        <f>FALSE()</f>
        <v>0</v>
      </c>
    </row>
    <row r="44" spans="1:5">
      <c r="A44" t="s">
        <v>103</v>
      </c>
      <c r="B44" t="s">
        <v>268</v>
      </c>
      <c r="C44" t="b">
        <f>TRUE()</f>
        <v>1</v>
      </c>
      <c r="E44" t="b">
        <f>TRUE()</f>
        <v>1</v>
      </c>
    </row>
    <row r="45" spans="1:5">
      <c r="A45" t="s">
        <v>105</v>
      </c>
      <c r="B45" t="s">
        <v>106</v>
      </c>
      <c r="C45" t="b">
        <f>TRUE()</f>
        <v>1</v>
      </c>
      <c r="E45" t="b">
        <f>TRUE()</f>
        <v>1</v>
      </c>
    </row>
    <row r="46" spans="1:5">
      <c r="A46" t="s">
        <v>107</v>
      </c>
      <c r="B46" t="s">
        <v>108</v>
      </c>
      <c r="C46" t="b">
        <f>TRUE()</f>
        <v>1</v>
      </c>
      <c r="E46" t="b">
        <f>TRUE()</f>
        <v>1</v>
      </c>
    </row>
    <row r="47" spans="1:5">
      <c r="A47" t="s">
        <v>109</v>
      </c>
      <c r="B47" t="s">
        <v>231</v>
      </c>
      <c r="C47" t="b">
        <f>TRUE()</f>
        <v>1</v>
      </c>
      <c r="E47" t="b">
        <f>TRUE()</f>
        <v>1</v>
      </c>
    </row>
    <row r="48" spans="1:5">
      <c r="A48" t="s">
        <v>111</v>
      </c>
      <c r="B48" t="s">
        <v>200</v>
      </c>
      <c r="C48" t="s">
        <v>8</v>
      </c>
      <c r="E48" t="s">
        <v>8</v>
      </c>
    </row>
    <row r="49" spans="1:5">
      <c r="A49" t="s">
        <v>113</v>
      </c>
      <c r="B49" t="s">
        <v>102</v>
      </c>
      <c r="C49" t="b">
        <f>FALSE()</f>
        <v>0</v>
      </c>
      <c r="E49" t="b">
        <f>FALSE()</f>
        <v>0</v>
      </c>
    </row>
    <row r="50" spans="1:5">
      <c r="A50" t="s">
        <v>115</v>
      </c>
      <c r="B50" t="s">
        <v>234</v>
      </c>
      <c r="C50" t="b">
        <f>TRUE()</f>
        <v>1</v>
      </c>
      <c r="E50" t="b">
        <f>TRUE()</f>
        <v>1</v>
      </c>
    </row>
    <row r="51" spans="1:5">
      <c r="A51" t="s">
        <v>117</v>
      </c>
      <c r="B51" t="s">
        <v>202</v>
      </c>
      <c r="C51" t="b">
        <f>TRUE()</f>
        <v>1</v>
      </c>
      <c r="E51" t="b">
        <f>TRUE()</f>
        <v>1</v>
      </c>
    </row>
    <row r="52" spans="1:5">
      <c r="A52" t="s">
        <v>119</v>
      </c>
      <c r="B52" t="s">
        <v>203</v>
      </c>
      <c r="C52" t="b">
        <f>TRUE()</f>
        <v>1</v>
      </c>
      <c r="E52" t="b">
        <f>TRUE()</f>
        <v>1</v>
      </c>
    </row>
    <row r="53" spans="1:5">
      <c r="A53" t="s">
        <v>121</v>
      </c>
      <c r="B53" t="s">
        <v>231</v>
      </c>
      <c r="C53" t="b">
        <f>TRUE()</f>
        <v>1</v>
      </c>
      <c r="E53" t="b">
        <f>TRUE()</f>
        <v>1</v>
      </c>
    </row>
    <row r="54" spans="1:5">
      <c r="A54" t="s">
        <v>122</v>
      </c>
      <c r="B54" t="s">
        <v>204</v>
      </c>
      <c r="C54" t="b">
        <f>TRUE()</f>
        <v>1</v>
      </c>
      <c r="E54" t="b">
        <f>TRUE()</f>
        <v>1</v>
      </c>
    </row>
    <row r="55" spans="1:5">
      <c r="A55" t="s">
        <v>124</v>
      </c>
      <c r="B55" t="s">
        <v>46</v>
      </c>
      <c r="C55" t="b">
        <f>TRUE()</f>
        <v>1</v>
      </c>
      <c r="E55" t="b">
        <f>TRUE()</f>
        <v>1</v>
      </c>
    </row>
    <row r="56" spans="1:5">
      <c r="A56" t="s">
        <v>126</v>
      </c>
      <c r="B56" t="s">
        <v>127</v>
      </c>
      <c r="C56" t="b">
        <f>TRUE()</f>
        <v>1</v>
      </c>
      <c r="E56" t="b">
        <f>TRUE()</f>
        <v>1</v>
      </c>
    </row>
    <row r="57" spans="1:5">
      <c r="A57" t="s">
        <v>128</v>
      </c>
      <c r="B57" t="s">
        <v>129</v>
      </c>
      <c r="C57" t="b">
        <f>TRUE()</f>
        <v>1</v>
      </c>
      <c r="E57" t="b">
        <f>TRUE()</f>
        <v>1</v>
      </c>
    </row>
    <row r="58" spans="1:5">
      <c r="A58" t="s">
        <v>130</v>
      </c>
      <c r="B58" t="s">
        <v>205</v>
      </c>
      <c r="C58" t="b">
        <f>TRUE()</f>
        <v>1</v>
      </c>
      <c r="E58" t="b">
        <f>TRUE()</f>
        <v>1</v>
      </c>
    </row>
    <row r="59" spans="1:5">
      <c r="A59" t="s">
        <v>132</v>
      </c>
      <c r="B59" t="s">
        <v>168</v>
      </c>
      <c r="C59" t="b">
        <f>TRUE()</f>
        <v>1</v>
      </c>
      <c r="E59" t="b">
        <f>TRUE()</f>
        <v>1</v>
      </c>
    </row>
    <row r="60" spans="1:5" ht="45.75">
      <c r="A60" t="s">
        <v>133</v>
      </c>
      <c r="B60" s="2" t="s">
        <v>269</v>
      </c>
      <c r="C60" t="s">
        <v>8</v>
      </c>
      <c r="E60" t="b">
        <v>0</v>
      </c>
    </row>
    <row r="61" spans="1:5">
      <c r="A61" t="s">
        <v>135</v>
      </c>
      <c r="B61" t="s">
        <v>201</v>
      </c>
      <c r="C61" t="b">
        <f>FALSE()</f>
        <v>0</v>
      </c>
      <c r="E61" t="b">
        <f>FALSE()</f>
        <v>0</v>
      </c>
    </row>
    <row r="62" spans="1:5">
      <c r="A62" t="s">
        <v>137</v>
      </c>
      <c r="B62" t="s">
        <v>138</v>
      </c>
      <c r="C62" t="b">
        <f>TRUE()</f>
        <v>1</v>
      </c>
      <c r="E62" t="b">
        <f>TRUE()</f>
        <v>1</v>
      </c>
    </row>
    <row r="63" spans="1:5">
      <c r="A63" t="s">
        <v>139</v>
      </c>
      <c r="B63" t="s">
        <v>270</v>
      </c>
      <c r="C63" t="b">
        <f>TRUE()</f>
        <v>1</v>
      </c>
      <c r="E63" t="b">
        <f>TRUE()</f>
        <v>1</v>
      </c>
    </row>
    <row r="64" spans="1:5">
      <c r="A64" t="s">
        <v>141</v>
      </c>
      <c r="B64" t="s">
        <v>142</v>
      </c>
      <c r="C64" t="b">
        <f>TRUE()</f>
        <v>1</v>
      </c>
      <c r="E64" t="b">
        <f>TRUE()</f>
        <v>1</v>
      </c>
    </row>
    <row r="65" spans="1:5">
      <c r="A65" t="s">
        <v>143</v>
      </c>
      <c r="B65" t="s">
        <v>231</v>
      </c>
      <c r="C65" t="b">
        <f>TRUE()</f>
        <v>1</v>
      </c>
      <c r="E65" t="b">
        <f>TRUE()</f>
        <v>1</v>
      </c>
    </row>
    <row r="66" spans="1:5" ht="30.75">
      <c r="A66" t="s">
        <v>144</v>
      </c>
      <c r="B66" s="2" t="s">
        <v>256</v>
      </c>
      <c r="C66" t="s">
        <v>8</v>
      </c>
      <c r="E66" t="b">
        <v>0</v>
      </c>
    </row>
    <row r="67" spans="1:5">
      <c r="A67" t="s">
        <v>147</v>
      </c>
      <c r="B67" t="s">
        <v>182</v>
      </c>
      <c r="C67" t="b">
        <f>FALSE()</f>
        <v>0</v>
      </c>
      <c r="E67" t="b">
        <f>FALSE()</f>
        <v>0</v>
      </c>
    </row>
    <row r="68" spans="1:5">
      <c r="A68" t="s">
        <v>149</v>
      </c>
      <c r="B68" t="s">
        <v>209</v>
      </c>
      <c r="C68" t="b">
        <f>TRUE()</f>
        <v>1</v>
      </c>
      <c r="E68" t="b">
        <f>TRUE()</f>
        <v>1</v>
      </c>
    </row>
    <row r="69" spans="1:5">
      <c r="A69" t="s">
        <v>151</v>
      </c>
      <c r="B69" t="s">
        <v>152</v>
      </c>
      <c r="C69" t="b">
        <f>TRUE()</f>
        <v>1</v>
      </c>
      <c r="E69" t="b">
        <f>TRUE()</f>
        <v>1</v>
      </c>
    </row>
    <row r="70" spans="1:5">
      <c r="A70" t="s">
        <v>153</v>
      </c>
      <c r="B70" t="s">
        <v>154</v>
      </c>
      <c r="C70" t="b">
        <f>TRUE()</f>
        <v>1</v>
      </c>
      <c r="E70" t="b">
        <f>TRUE()</f>
        <v>1</v>
      </c>
    </row>
    <row r="71" spans="1:5">
      <c r="A71" t="s">
        <v>155</v>
      </c>
      <c r="B71" t="s">
        <v>231</v>
      </c>
      <c r="C71" t="b">
        <f>TRUE()</f>
        <v>1</v>
      </c>
      <c r="E71" t="b">
        <f>TRUE()</f>
        <v>1</v>
      </c>
    </row>
    <row r="72" spans="1:5" ht="45.75">
      <c r="A72" t="s">
        <v>156</v>
      </c>
      <c r="B72" s="2" t="s">
        <v>271</v>
      </c>
      <c r="C72" t="b">
        <f>FALSE()</f>
        <v>0</v>
      </c>
      <c r="E72" t="b">
        <f>FALSE()</f>
        <v>0</v>
      </c>
    </row>
    <row r="73" spans="1:5">
      <c r="A73" t="s">
        <v>158</v>
      </c>
      <c r="B73" t="s">
        <v>102</v>
      </c>
      <c r="C73" t="b">
        <f>FALSE()</f>
        <v>0</v>
      </c>
      <c r="E73" t="b">
        <f>FALSE()</f>
        <v>0</v>
      </c>
    </row>
    <row r="74" spans="1:5">
      <c r="A74" t="s">
        <v>161</v>
      </c>
      <c r="B74" t="s">
        <v>162</v>
      </c>
      <c r="C74" t="b">
        <f>TRUE()</f>
        <v>1</v>
      </c>
      <c r="E74" t="b">
        <f>TRUE()</f>
        <v>1</v>
      </c>
    </row>
    <row r="75" spans="1:5">
      <c r="A75" t="s">
        <v>163</v>
      </c>
      <c r="B75" t="s">
        <v>212</v>
      </c>
      <c r="C75" t="b">
        <f>TRUE()</f>
        <v>1</v>
      </c>
      <c r="E75" t="b">
        <f>TRUE()</f>
        <v>1</v>
      </c>
    </row>
    <row r="76" spans="1:5">
      <c r="A76" t="s">
        <v>165</v>
      </c>
      <c r="B76" t="s">
        <v>166</v>
      </c>
      <c r="C76" t="b">
        <f>TRUE()</f>
        <v>1</v>
      </c>
      <c r="E76" t="b">
        <f>TRUE()</f>
        <v>1</v>
      </c>
    </row>
    <row r="77" spans="1:5">
      <c r="A77" t="s">
        <v>167</v>
      </c>
      <c r="B77" t="s">
        <v>231</v>
      </c>
      <c r="C77" t="b">
        <f>TRUE()</f>
        <v>1</v>
      </c>
      <c r="E77" t="b">
        <f>TRUE()</f>
        <v>1</v>
      </c>
    </row>
    <row r="78" spans="1:5">
      <c r="A78" t="s">
        <v>169</v>
      </c>
      <c r="B78" t="s">
        <v>272</v>
      </c>
      <c r="C78" t="s">
        <v>8</v>
      </c>
      <c r="E78" t="s">
        <v>8</v>
      </c>
    </row>
    <row r="79" spans="1:5">
      <c r="A79" t="s">
        <v>171</v>
      </c>
      <c r="B79" t="s">
        <v>186</v>
      </c>
      <c r="C79" t="b">
        <f>FALSE()</f>
        <v>0</v>
      </c>
      <c r="E79" t="b">
        <f>FALSE()</f>
        <v>0</v>
      </c>
    </row>
    <row r="80" spans="1:5">
      <c r="A80" t="s">
        <v>173</v>
      </c>
      <c r="B80" t="s">
        <v>174</v>
      </c>
      <c r="C80" t="b">
        <f>TRUE()</f>
        <v>1</v>
      </c>
      <c r="E80" t="b">
        <f>TRUE()</f>
        <v>1</v>
      </c>
    </row>
    <row r="81" spans="1:5">
      <c r="A81" t="s">
        <v>175</v>
      </c>
      <c r="B81" t="s">
        <v>260</v>
      </c>
      <c r="C81" t="b">
        <f>TRUE()</f>
        <v>1</v>
      </c>
      <c r="E81" t="b">
        <f>TRUE()</f>
        <v>1</v>
      </c>
    </row>
    <row r="82" spans="1:5">
      <c r="A82" t="s">
        <v>177</v>
      </c>
      <c r="B82" t="s">
        <v>178</v>
      </c>
      <c r="C82" t="b">
        <f>TRUE()</f>
        <v>1</v>
      </c>
      <c r="E82" t="b">
        <f>TRUE()</f>
        <v>1</v>
      </c>
    </row>
    <row r="83" spans="1:5">
      <c r="A83" t="s">
        <v>179</v>
      </c>
      <c r="B83" t="s">
        <v>231</v>
      </c>
      <c r="C83" t="b">
        <f>TRUE()</f>
        <v>1</v>
      </c>
      <c r="E83" t="b">
        <f>TRUE()</f>
        <v>1</v>
      </c>
    </row>
    <row r="84" spans="1:5">
      <c r="A84" t="s">
        <v>180</v>
      </c>
      <c r="B84" t="s">
        <v>112</v>
      </c>
      <c r="C84" t="s">
        <v>8</v>
      </c>
      <c r="E84" t="s">
        <v>8</v>
      </c>
    </row>
    <row r="85" spans="1:5">
      <c r="A85" t="s">
        <v>181</v>
      </c>
      <c r="B85" t="s">
        <v>192</v>
      </c>
      <c r="C85" t="b">
        <f>FALSE()</f>
        <v>0</v>
      </c>
      <c r="E85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5"/>
  <sheetViews>
    <sheetView zoomScale="75" zoomScaleNormal="75" workbookViewId="0">
      <selection activeCell="E1" sqref="E1"/>
    </sheetView>
  </sheetViews>
  <sheetFormatPr defaultColWidth="8.5703125" defaultRowHeight="15"/>
  <cols>
    <col min="1" max="1" width="31.42578125" customWidth="1"/>
    <col min="2" max="2" width="33.28515625" customWidth="1"/>
    <col min="3" max="3" width="13.5703125" customWidth="1"/>
    <col min="4" max="4" width="48.7109375" customWidth="1"/>
    <col min="5" max="5" width="16.855468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183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215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216</v>
      </c>
      <c r="C5" t="b">
        <f>TRUE()</f>
        <v>1</v>
      </c>
      <c r="E5" t="b">
        <f>TRUE()</f>
        <v>1</v>
      </c>
    </row>
    <row r="6" spans="1:5">
      <c r="A6" t="s">
        <v>31</v>
      </c>
      <c r="B6" t="s">
        <v>273</v>
      </c>
      <c r="C6" t="s">
        <v>8</v>
      </c>
      <c r="E6" t="s">
        <v>8</v>
      </c>
    </row>
    <row r="7" spans="1:5">
      <c r="A7" t="s">
        <v>33</v>
      </c>
      <c r="B7" t="s">
        <v>46</v>
      </c>
      <c r="C7" t="b">
        <f>TRUE()</f>
        <v>1</v>
      </c>
      <c r="E7" t="b">
        <f>TRUE()</f>
        <v>1</v>
      </c>
    </row>
    <row r="8" spans="1:5">
      <c r="A8" t="s">
        <v>35</v>
      </c>
      <c r="B8" t="s">
        <v>274</v>
      </c>
      <c r="C8" t="b">
        <f>TRUE()</f>
        <v>1</v>
      </c>
      <c r="E8" t="b">
        <f>TRUE()</f>
        <v>1</v>
      </c>
    </row>
    <row r="9" spans="1:5">
      <c r="A9" t="s">
        <v>37</v>
      </c>
      <c r="B9" t="s">
        <v>243</v>
      </c>
      <c r="C9" t="b">
        <f>TRUE()</f>
        <v>1</v>
      </c>
      <c r="E9" t="b">
        <f>TRUE()</f>
        <v>1</v>
      </c>
    </row>
    <row r="10" spans="1:5">
      <c r="A10" t="s">
        <v>39</v>
      </c>
      <c r="B10" t="s">
        <v>40</v>
      </c>
      <c r="C10" t="b">
        <f>TRUE()</f>
        <v>1</v>
      </c>
      <c r="E10" t="b">
        <f>TRUE()</f>
        <v>1</v>
      </c>
    </row>
    <row r="11" spans="1:5">
      <c r="A11" t="s">
        <v>41</v>
      </c>
      <c r="B11" t="s">
        <v>219</v>
      </c>
      <c r="C11" t="b">
        <f>TRUE()</f>
        <v>1</v>
      </c>
      <c r="E11" t="b">
        <f>TRUE()</f>
        <v>1</v>
      </c>
    </row>
    <row r="12" spans="1:5">
      <c r="A12" t="s">
        <v>43</v>
      </c>
      <c r="B12" t="s">
        <v>275</v>
      </c>
      <c r="C12" t="b">
        <f>FALSE()</f>
        <v>0</v>
      </c>
      <c r="E12" t="b">
        <f>FALSE()</f>
        <v>0</v>
      </c>
    </row>
    <row r="13" spans="1:5">
      <c r="A13" t="s">
        <v>45</v>
      </c>
      <c r="B13" t="s">
        <v>276</v>
      </c>
      <c r="C13" t="b">
        <f>FALSE()</f>
        <v>0</v>
      </c>
      <c r="E13" t="b">
        <f>FALSE()</f>
        <v>0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50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246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219</v>
      </c>
      <c r="C17" t="b">
        <f>TRUE()</f>
        <v>1</v>
      </c>
      <c r="E17" t="b">
        <f>TRUE()</f>
        <v>1</v>
      </c>
    </row>
    <row r="18" spans="1:5">
      <c r="A18" t="s">
        <v>54</v>
      </c>
      <c r="B18" t="s">
        <v>277</v>
      </c>
      <c r="C18" t="s">
        <v>8</v>
      </c>
      <c r="E18" t="s">
        <v>8</v>
      </c>
    </row>
    <row r="19" spans="1:5">
      <c r="A19" t="s">
        <v>56</v>
      </c>
      <c r="B19" t="s">
        <v>278</v>
      </c>
      <c r="C19" t="b">
        <f>FALSE()</f>
        <v>0</v>
      </c>
      <c r="E19" t="b">
        <f>FALSE()</f>
        <v>0</v>
      </c>
    </row>
    <row r="20" spans="1:5">
      <c r="A20" t="s">
        <v>58</v>
      </c>
      <c r="B20" t="s">
        <v>223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190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219</v>
      </c>
      <c r="C23" t="b">
        <f>TRUE()</f>
        <v>1</v>
      </c>
      <c r="E23" t="b">
        <f>TRUE()</f>
        <v>1</v>
      </c>
    </row>
    <row r="24" spans="1:5" ht="46.35">
      <c r="A24" t="s">
        <v>65</v>
      </c>
      <c r="B24" s="2" t="s">
        <v>279</v>
      </c>
      <c r="C24" t="b">
        <f>FALSE()</f>
        <v>0</v>
      </c>
      <c r="E24" t="b">
        <f>FALSE()</f>
        <v>0</v>
      </c>
    </row>
    <row r="25" spans="1:5">
      <c r="A25" t="s">
        <v>67</v>
      </c>
      <c r="B25" t="s">
        <v>188</v>
      </c>
      <c r="C25" t="b">
        <f>FALSE()</f>
        <v>0</v>
      </c>
      <c r="E25" t="b">
        <f>FALSE()</f>
        <v>0</v>
      </c>
    </row>
    <row r="26" spans="1:5">
      <c r="A26" t="s">
        <v>69</v>
      </c>
      <c r="B26" t="s">
        <v>70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194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195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219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280</v>
      </c>
      <c r="C30" t="b">
        <f>TRUE()</f>
        <v>1</v>
      </c>
      <c r="E30" t="b">
        <f>TRUE()</f>
        <v>1</v>
      </c>
    </row>
    <row r="31" spans="1:5">
      <c r="A31" t="s">
        <v>79</v>
      </c>
      <c r="B31" t="s">
        <v>265</v>
      </c>
      <c r="C31" t="b">
        <f>TRUE()</f>
        <v>1</v>
      </c>
      <c r="E31" t="b">
        <f>TRUE()</f>
        <v>1</v>
      </c>
    </row>
    <row r="32" spans="1:5">
      <c r="A32" t="s">
        <v>81</v>
      </c>
      <c r="B32" t="s">
        <v>281</v>
      </c>
      <c r="C32" t="b">
        <f>TRUE()</f>
        <v>1</v>
      </c>
      <c r="E32" t="b">
        <f>TRUE()</f>
        <v>1</v>
      </c>
    </row>
    <row r="33" spans="1:5">
      <c r="A33" t="s">
        <v>83</v>
      </c>
      <c r="B33" t="s">
        <v>84</v>
      </c>
      <c r="C33" t="b">
        <f>TRUE()</f>
        <v>1</v>
      </c>
      <c r="E33" t="b">
        <f>TRUE()</f>
        <v>1</v>
      </c>
    </row>
    <row r="34" spans="1:5">
      <c r="A34" t="s">
        <v>85</v>
      </c>
      <c r="B34" t="s">
        <v>86</v>
      </c>
      <c r="C34" t="b">
        <f>TRUE()</f>
        <v>1</v>
      </c>
      <c r="E34" t="b">
        <f>TRUE()</f>
        <v>1</v>
      </c>
    </row>
    <row r="35" spans="1:5">
      <c r="A35" t="s">
        <v>87</v>
      </c>
      <c r="B35" t="s">
        <v>219</v>
      </c>
      <c r="C35" t="b">
        <f>TRUE()</f>
        <v>1</v>
      </c>
      <c r="E35" t="b">
        <f>TRUE()</f>
        <v>1</v>
      </c>
    </row>
    <row r="36" spans="1:5" ht="46.35">
      <c r="A36" t="s">
        <v>88</v>
      </c>
      <c r="B36" s="2" t="s">
        <v>198</v>
      </c>
      <c r="C36" t="b">
        <f>FALSE()</f>
        <v>0</v>
      </c>
      <c r="E36" t="b">
        <f>FALSE()</f>
        <v>0</v>
      </c>
    </row>
    <row r="37" spans="1:5">
      <c r="A37" t="s">
        <v>91</v>
      </c>
      <c r="B37" t="s">
        <v>46</v>
      </c>
      <c r="C37" t="b">
        <f>FALSE()</f>
        <v>0</v>
      </c>
      <c r="E37" t="b">
        <f>FALSE()</f>
        <v>0</v>
      </c>
    </row>
    <row r="38" spans="1:5" ht="33.75" customHeight="1">
      <c r="A38" t="s">
        <v>93</v>
      </c>
      <c r="B38" t="s">
        <v>282</v>
      </c>
      <c r="C38" t="s">
        <v>8</v>
      </c>
      <c r="D38" t="s">
        <v>283</v>
      </c>
      <c r="E38" t="s">
        <v>8</v>
      </c>
    </row>
    <row r="39" spans="1:5">
      <c r="A39" t="s">
        <v>95</v>
      </c>
      <c r="B39" t="s">
        <v>96</v>
      </c>
      <c r="C39" t="b">
        <f>TRUE()</f>
        <v>1</v>
      </c>
      <c r="E39" t="b">
        <f>TRUE()</f>
        <v>1</v>
      </c>
    </row>
    <row r="40" spans="1:5">
      <c r="A40" t="s">
        <v>97</v>
      </c>
      <c r="B40" t="s">
        <v>40</v>
      </c>
      <c r="C40" t="b">
        <f>TRUE()</f>
        <v>1</v>
      </c>
      <c r="E40" t="b">
        <f>TRUE()</f>
        <v>1</v>
      </c>
    </row>
    <row r="41" spans="1:5">
      <c r="A41" t="s">
        <v>98</v>
      </c>
      <c r="B41" t="s">
        <v>30</v>
      </c>
      <c r="C41" t="b">
        <f>TRUE()</f>
        <v>1</v>
      </c>
      <c r="E41" t="b">
        <f>TRUE()</f>
        <v>1</v>
      </c>
    </row>
    <row r="42" spans="1:5">
      <c r="A42" t="s">
        <v>99</v>
      </c>
      <c r="B42" t="s">
        <v>284</v>
      </c>
      <c r="C42" t="b">
        <f>FALSE()</f>
        <v>0</v>
      </c>
      <c r="E42" t="b">
        <f>FALSE()</f>
        <v>0</v>
      </c>
    </row>
    <row r="43" spans="1:5">
      <c r="A43" t="s">
        <v>101</v>
      </c>
      <c r="B43" t="s">
        <v>214</v>
      </c>
      <c r="C43" t="b">
        <f>FALSE()</f>
        <v>0</v>
      </c>
      <c r="E43" t="b">
        <f>FALSE()</f>
        <v>0</v>
      </c>
    </row>
    <row r="44" spans="1:5">
      <c r="A44" t="s">
        <v>103</v>
      </c>
      <c r="B44" t="s">
        <v>268</v>
      </c>
      <c r="C44" t="b">
        <f>TRUE()</f>
        <v>1</v>
      </c>
      <c r="E44" t="b">
        <f>TRUE()</f>
        <v>1</v>
      </c>
    </row>
    <row r="45" spans="1:5">
      <c r="A45" t="s">
        <v>105</v>
      </c>
      <c r="B45" t="s">
        <v>106</v>
      </c>
      <c r="C45" t="b">
        <f>TRUE()</f>
        <v>1</v>
      </c>
      <c r="E45" t="b">
        <f>TRUE()</f>
        <v>1</v>
      </c>
    </row>
    <row r="46" spans="1:5">
      <c r="A46" t="s">
        <v>107</v>
      </c>
      <c r="B46" t="s">
        <v>108</v>
      </c>
      <c r="C46" t="b">
        <f>TRUE()</f>
        <v>1</v>
      </c>
      <c r="E46" t="b">
        <f>TRUE()</f>
        <v>1</v>
      </c>
    </row>
    <row r="47" spans="1:5">
      <c r="A47" t="s">
        <v>109</v>
      </c>
      <c r="B47" t="s">
        <v>231</v>
      </c>
      <c r="C47" t="b">
        <f>TRUE()</f>
        <v>1</v>
      </c>
      <c r="E47" t="b">
        <f>TRUE()</f>
        <v>1</v>
      </c>
    </row>
    <row r="48" spans="1:5">
      <c r="A48" t="s">
        <v>111</v>
      </c>
      <c r="B48" t="s">
        <v>200</v>
      </c>
      <c r="C48" t="s">
        <v>8</v>
      </c>
      <c r="E48" t="s">
        <v>8</v>
      </c>
    </row>
    <row r="49" spans="1:5">
      <c r="A49" t="s">
        <v>113</v>
      </c>
      <c r="B49" t="s">
        <v>214</v>
      </c>
      <c r="C49" t="b">
        <f>FALSE()</f>
        <v>0</v>
      </c>
      <c r="E49" t="b">
        <f>FALSE()</f>
        <v>0</v>
      </c>
    </row>
    <row r="50" spans="1:5">
      <c r="A50" t="s">
        <v>115</v>
      </c>
      <c r="B50" t="s">
        <v>234</v>
      </c>
      <c r="C50" t="b">
        <f>TRUE()</f>
        <v>1</v>
      </c>
      <c r="E50" t="b">
        <f>TRUE()</f>
        <v>1</v>
      </c>
    </row>
    <row r="51" spans="1:5">
      <c r="A51" t="s">
        <v>117</v>
      </c>
      <c r="B51" t="s">
        <v>202</v>
      </c>
      <c r="C51" t="b">
        <f>TRUE()</f>
        <v>1</v>
      </c>
      <c r="E51" t="b">
        <f>TRUE()</f>
        <v>1</v>
      </c>
    </row>
    <row r="52" spans="1:5">
      <c r="A52" t="s">
        <v>119</v>
      </c>
      <c r="B52" t="s">
        <v>203</v>
      </c>
      <c r="C52" t="b">
        <f>TRUE()</f>
        <v>1</v>
      </c>
      <c r="E52" t="b">
        <f>TRUE()</f>
        <v>1</v>
      </c>
    </row>
    <row r="53" spans="1:5">
      <c r="A53" t="s">
        <v>121</v>
      </c>
      <c r="B53" t="s">
        <v>231</v>
      </c>
      <c r="C53" t="b">
        <f>TRUE()</f>
        <v>1</v>
      </c>
      <c r="E53" t="b">
        <f>TRUE()</f>
        <v>1</v>
      </c>
    </row>
    <row r="54" spans="1:5">
      <c r="A54" t="s">
        <v>122</v>
      </c>
      <c r="B54" t="s">
        <v>285</v>
      </c>
      <c r="C54" t="b">
        <f>TRUE()</f>
        <v>1</v>
      </c>
      <c r="E54" t="b">
        <f>TRUE()</f>
        <v>1</v>
      </c>
    </row>
    <row r="55" spans="1:5">
      <c r="A55" t="s">
        <v>124</v>
      </c>
      <c r="B55" t="s">
        <v>286</v>
      </c>
      <c r="C55" t="b">
        <f>FALSE()</f>
        <v>0</v>
      </c>
      <c r="E55" t="b">
        <f>FALSE()</f>
        <v>0</v>
      </c>
    </row>
    <row r="56" spans="1:5">
      <c r="A56" t="s">
        <v>126</v>
      </c>
      <c r="B56" t="s">
        <v>287</v>
      </c>
      <c r="C56" t="b">
        <f>TRUE()</f>
        <v>1</v>
      </c>
      <c r="E56" t="b">
        <f>TRUE()</f>
        <v>1</v>
      </c>
    </row>
    <row r="57" spans="1:5">
      <c r="A57" t="s">
        <v>128</v>
      </c>
      <c r="B57" t="s">
        <v>129</v>
      </c>
      <c r="C57" t="b">
        <f>TRUE()</f>
        <v>1</v>
      </c>
      <c r="E57" t="b">
        <f>TRUE()</f>
        <v>1</v>
      </c>
    </row>
    <row r="58" spans="1:5">
      <c r="A58" t="s">
        <v>130</v>
      </c>
      <c r="B58" t="s">
        <v>205</v>
      </c>
      <c r="C58" t="b">
        <f>TRUE()</f>
        <v>1</v>
      </c>
      <c r="E58" t="b">
        <f>TRUE()</f>
        <v>1</v>
      </c>
    </row>
    <row r="59" spans="1:5">
      <c r="A59" t="s">
        <v>132</v>
      </c>
      <c r="B59" t="s">
        <v>231</v>
      </c>
      <c r="C59" t="b">
        <f>TRUE()</f>
        <v>1</v>
      </c>
      <c r="E59" t="b">
        <f>TRUE()</f>
        <v>1</v>
      </c>
    </row>
    <row r="60" spans="1:5">
      <c r="A60" t="s">
        <v>133</v>
      </c>
      <c r="B60" t="s">
        <v>288</v>
      </c>
      <c r="C60" t="b">
        <f>FALSE()</f>
        <v>0</v>
      </c>
      <c r="E60" t="b">
        <f>FALSE()</f>
        <v>0</v>
      </c>
    </row>
    <row r="61" spans="1:5">
      <c r="A61" t="s">
        <v>135</v>
      </c>
      <c r="B61" t="s">
        <v>188</v>
      </c>
      <c r="C61" t="b">
        <f>FALSE()</f>
        <v>0</v>
      </c>
      <c r="E61" t="b">
        <f>FALSE()</f>
        <v>0</v>
      </c>
    </row>
    <row r="62" spans="1:5">
      <c r="A62" t="s">
        <v>137</v>
      </c>
      <c r="B62" t="s">
        <v>207</v>
      </c>
      <c r="C62" t="b">
        <f>TRUE()</f>
        <v>1</v>
      </c>
      <c r="E62" t="b">
        <f>TRUE()</f>
        <v>1</v>
      </c>
    </row>
    <row r="63" spans="1:5">
      <c r="A63" t="s">
        <v>139</v>
      </c>
      <c r="B63" t="s">
        <v>270</v>
      </c>
      <c r="C63" t="b">
        <f>TRUE()</f>
        <v>1</v>
      </c>
      <c r="E63" t="b">
        <f>TRUE()</f>
        <v>1</v>
      </c>
    </row>
    <row r="64" spans="1:5">
      <c r="A64" t="s">
        <v>141</v>
      </c>
      <c r="B64" t="s">
        <v>142</v>
      </c>
      <c r="C64" t="b">
        <f>TRUE()</f>
        <v>1</v>
      </c>
      <c r="E64" t="b">
        <f>TRUE()</f>
        <v>1</v>
      </c>
    </row>
    <row r="65" spans="1:5">
      <c r="A65" t="s">
        <v>143</v>
      </c>
      <c r="B65" t="s">
        <v>231</v>
      </c>
      <c r="C65" t="b">
        <f>TRUE()</f>
        <v>1</v>
      </c>
      <c r="E65" t="b">
        <f>TRUE()</f>
        <v>1</v>
      </c>
    </row>
    <row r="66" spans="1:5" ht="31.35">
      <c r="A66" t="s">
        <v>144</v>
      </c>
      <c r="B66" s="2" t="s">
        <v>289</v>
      </c>
      <c r="C66" t="b">
        <f>FALSE()</f>
        <v>0</v>
      </c>
      <c r="E66" t="b">
        <f>FALSE()</f>
        <v>0</v>
      </c>
    </row>
    <row r="67" spans="1:5">
      <c r="A67" t="s">
        <v>147</v>
      </c>
      <c r="B67" t="s">
        <v>201</v>
      </c>
      <c r="C67" t="b">
        <f>FALSE()</f>
        <v>0</v>
      </c>
      <c r="E67" t="b">
        <f>FALSE()</f>
        <v>0</v>
      </c>
    </row>
    <row r="68" spans="1:5">
      <c r="A68" t="s">
        <v>149</v>
      </c>
      <c r="B68" t="s">
        <v>209</v>
      </c>
      <c r="C68" t="b">
        <f>TRUE()</f>
        <v>1</v>
      </c>
      <c r="E68" t="b">
        <f>TRUE()</f>
        <v>1</v>
      </c>
    </row>
    <row r="69" spans="1:5">
      <c r="A69" t="s">
        <v>151</v>
      </c>
      <c r="B69" t="s">
        <v>152</v>
      </c>
      <c r="C69" t="b">
        <f>TRUE()</f>
        <v>1</v>
      </c>
      <c r="E69" t="b">
        <f>TRUE()</f>
        <v>1</v>
      </c>
    </row>
    <row r="70" spans="1:5">
      <c r="A70" t="s">
        <v>153</v>
      </c>
      <c r="B70" t="s">
        <v>154</v>
      </c>
      <c r="C70" t="b">
        <f>TRUE()</f>
        <v>1</v>
      </c>
      <c r="E70" t="b">
        <f>TRUE()</f>
        <v>1</v>
      </c>
    </row>
    <row r="71" spans="1:5">
      <c r="A71" t="s">
        <v>155</v>
      </c>
      <c r="B71" t="s">
        <v>231</v>
      </c>
      <c r="C71" t="b">
        <f>TRUE()</f>
        <v>1</v>
      </c>
      <c r="E71" t="b">
        <f>TRUE()</f>
        <v>1</v>
      </c>
    </row>
    <row r="72" spans="1:5">
      <c r="A72" t="s">
        <v>156</v>
      </c>
      <c r="B72" t="s">
        <v>290</v>
      </c>
      <c r="C72" t="s">
        <v>8</v>
      </c>
      <c r="E72" t="s">
        <v>8</v>
      </c>
    </row>
    <row r="73" spans="1:5">
      <c r="A73" t="s">
        <v>158</v>
      </c>
      <c r="B73" t="s">
        <v>233</v>
      </c>
      <c r="C73" t="b">
        <f>FALSE()</f>
        <v>0</v>
      </c>
      <c r="E73" t="b">
        <f>FALSE()</f>
        <v>0</v>
      </c>
    </row>
    <row r="74" spans="1:5">
      <c r="A74" t="s">
        <v>161</v>
      </c>
      <c r="B74" t="s">
        <v>291</v>
      </c>
      <c r="C74" t="b">
        <f>TRUE()</f>
        <v>1</v>
      </c>
      <c r="E74" t="b">
        <f>TRUE()</f>
        <v>1</v>
      </c>
    </row>
    <row r="75" spans="1:5">
      <c r="A75" t="s">
        <v>163</v>
      </c>
      <c r="B75" t="s">
        <v>212</v>
      </c>
      <c r="C75" t="b">
        <f>TRUE()</f>
        <v>1</v>
      </c>
      <c r="E75" t="b">
        <f>TRUE()</f>
        <v>1</v>
      </c>
    </row>
    <row r="76" spans="1:5">
      <c r="A76" t="s">
        <v>165</v>
      </c>
      <c r="B76" t="s">
        <v>166</v>
      </c>
      <c r="C76" t="b">
        <f>TRUE()</f>
        <v>1</v>
      </c>
      <c r="E76" t="b">
        <f>TRUE()</f>
        <v>1</v>
      </c>
    </row>
    <row r="77" spans="1:5">
      <c r="A77" t="s">
        <v>167</v>
      </c>
      <c r="B77" t="s">
        <v>168</v>
      </c>
      <c r="C77" t="b">
        <f>TRUE()</f>
        <v>1</v>
      </c>
      <c r="E77" t="b">
        <f>TRUE()</f>
        <v>1</v>
      </c>
    </row>
    <row r="78" spans="1:5">
      <c r="A78" t="s">
        <v>169</v>
      </c>
      <c r="B78" t="s">
        <v>292</v>
      </c>
      <c r="C78" t="b">
        <f>FALSE()</f>
        <v>0</v>
      </c>
      <c r="E78" t="b">
        <f>FALSE()</f>
        <v>0</v>
      </c>
    </row>
    <row r="79" spans="1:5">
      <c r="A79" t="s">
        <v>171</v>
      </c>
      <c r="B79" t="s">
        <v>46</v>
      </c>
      <c r="C79" t="b">
        <f>FALSE()</f>
        <v>0</v>
      </c>
      <c r="E79" t="b">
        <f>FALSE()</f>
        <v>0</v>
      </c>
    </row>
    <row r="80" spans="1:5">
      <c r="A80" t="s">
        <v>173</v>
      </c>
      <c r="B80" t="s">
        <v>174</v>
      </c>
      <c r="C80" t="b">
        <f>TRUE()</f>
        <v>1</v>
      </c>
      <c r="E80" t="b">
        <f>TRUE()</f>
        <v>1</v>
      </c>
    </row>
    <row r="81" spans="1:5">
      <c r="A81" t="s">
        <v>175</v>
      </c>
      <c r="B81" t="s">
        <v>176</v>
      </c>
      <c r="C81" t="b">
        <f>TRUE()</f>
        <v>1</v>
      </c>
      <c r="E81" t="b">
        <f>TRUE()</f>
        <v>1</v>
      </c>
    </row>
    <row r="82" spans="1:5">
      <c r="A82" t="s">
        <v>177</v>
      </c>
      <c r="B82" t="s">
        <v>178</v>
      </c>
      <c r="C82" t="b">
        <f>TRUE()</f>
        <v>1</v>
      </c>
      <c r="E82" t="b">
        <f>TRUE()</f>
        <v>1</v>
      </c>
    </row>
    <row r="83" spans="1:5">
      <c r="A83" t="s">
        <v>179</v>
      </c>
      <c r="B83" t="s">
        <v>231</v>
      </c>
      <c r="C83" t="b">
        <f>TRUE()</f>
        <v>1</v>
      </c>
      <c r="E83" t="b">
        <f>TRUE()</f>
        <v>1</v>
      </c>
    </row>
    <row r="84" spans="1:5">
      <c r="A84" t="s">
        <v>180</v>
      </c>
      <c r="B84" t="s">
        <v>293</v>
      </c>
      <c r="C84" t="s">
        <v>8</v>
      </c>
      <c r="E84" t="s">
        <v>8</v>
      </c>
    </row>
    <row r="85" spans="1:5">
      <c r="A85" t="s">
        <v>181</v>
      </c>
      <c r="B85" t="s">
        <v>188</v>
      </c>
      <c r="C85" t="b">
        <f>FALSE()</f>
        <v>0</v>
      </c>
      <c r="E85" t="b">
        <f>FALSE()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5"/>
  <sheetViews>
    <sheetView zoomScale="75" zoomScaleNormal="75" workbookViewId="0">
      <selection activeCell="H24" sqref="H24"/>
    </sheetView>
  </sheetViews>
  <sheetFormatPr defaultColWidth="8.5703125" defaultRowHeight="15"/>
  <cols>
    <col min="1" max="1" width="39.7109375" customWidth="1"/>
    <col min="2" max="3" width="15.85546875" customWidth="1"/>
    <col min="5" max="5" width="14.71093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183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26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219</v>
      </c>
      <c r="C5" t="b">
        <f>TRUE()</f>
        <v>1</v>
      </c>
      <c r="E5" t="b">
        <f>TRUE()</f>
        <v>1</v>
      </c>
    </row>
    <row r="6" spans="1:5">
      <c r="A6" t="s">
        <v>31</v>
      </c>
      <c r="B6" t="s">
        <v>294</v>
      </c>
      <c r="C6" t="b">
        <f>FALSE()</f>
        <v>0</v>
      </c>
      <c r="E6" t="b">
        <f>FALSE()</f>
        <v>0</v>
      </c>
    </row>
    <row r="7" spans="1:5">
      <c r="A7" t="s">
        <v>33</v>
      </c>
      <c r="B7" t="s">
        <v>46</v>
      </c>
      <c r="C7" t="b">
        <f>TRUE()</f>
        <v>1</v>
      </c>
      <c r="E7" t="b">
        <f>TRUE()</f>
        <v>1</v>
      </c>
    </row>
    <row r="8" spans="1:5">
      <c r="A8" t="s">
        <v>35</v>
      </c>
      <c r="B8" t="s">
        <v>218</v>
      </c>
      <c r="C8" t="b">
        <f>TRUE()</f>
        <v>1</v>
      </c>
      <c r="E8" t="b">
        <f>TRUE()</f>
        <v>1</v>
      </c>
    </row>
    <row r="9" spans="1:5">
      <c r="A9" t="s">
        <v>37</v>
      </c>
      <c r="B9" t="s">
        <v>38</v>
      </c>
      <c r="C9" t="b">
        <f>TRUE()</f>
        <v>1</v>
      </c>
      <c r="E9" t="b">
        <f>TRUE()</f>
        <v>1</v>
      </c>
    </row>
    <row r="10" spans="1:5">
      <c r="A10" t="s">
        <v>39</v>
      </c>
      <c r="B10" t="s">
        <v>40</v>
      </c>
      <c r="C10" t="b">
        <f>TRUE()</f>
        <v>1</v>
      </c>
      <c r="E10" t="b">
        <f>TRUE()</f>
        <v>1</v>
      </c>
    </row>
    <row r="11" spans="1:5">
      <c r="A11" t="s">
        <v>41</v>
      </c>
      <c r="B11" t="s">
        <v>216</v>
      </c>
      <c r="C11" t="b">
        <f>TRUE()</f>
        <v>1</v>
      </c>
      <c r="E11" t="b">
        <f>TRUE()</f>
        <v>1</v>
      </c>
    </row>
    <row r="12" spans="1:5" ht="46.35">
      <c r="A12" t="s">
        <v>43</v>
      </c>
      <c r="B12" s="2" t="s">
        <v>295</v>
      </c>
      <c r="C12" t="b">
        <f>FALSE()</f>
        <v>0</v>
      </c>
      <c r="E12" t="b">
        <f>FALSE()</f>
        <v>0</v>
      </c>
    </row>
    <row r="13" spans="1:5">
      <c r="A13" t="s">
        <v>45</v>
      </c>
      <c r="B13" t="s">
        <v>245</v>
      </c>
      <c r="C13" t="b">
        <f>TRUE()</f>
        <v>1</v>
      </c>
      <c r="E13" t="b">
        <f>TRUE()</f>
        <v>1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50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246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219</v>
      </c>
      <c r="C17" t="b">
        <f>TRUE()</f>
        <v>1</v>
      </c>
      <c r="E17" t="b">
        <f>TRUE()</f>
        <v>1</v>
      </c>
    </row>
    <row r="18" spans="1:5" ht="31.35">
      <c r="A18" t="s">
        <v>54</v>
      </c>
      <c r="B18" s="2" t="s">
        <v>296</v>
      </c>
      <c r="C18" t="b">
        <f>FALSE()</f>
        <v>0</v>
      </c>
      <c r="E18" t="b">
        <f>FALSE()</f>
        <v>0</v>
      </c>
    </row>
    <row r="19" spans="1:5">
      <c r="A19" t="s">
        <v>56</v>
      </c>
      <c r="B19" t="s">
        <v>297</v>
      </c>
      <c r="C19" t="b">
        <f>TRUE()</f>
        <v>1</v>
      </c>
      <c r="E19" t="b">
        <f>TRUE()</f>
        <v>1</v>
      </c>
    </row>
    <row r="20" spans="1:5">
      <c r="A20" t="s">
        <v>58</v>
      </c>
      <c r="B20" t="s">
        <v>59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298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190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219</v>
      </c>
      <c r="C23" t="b">
        <f>TRUE()</f>
        <v>1</v>
      </c>
      <c r="E23" t="b">
        <f>TRUE()</f>
        <v>1</v>
      </c>
    </row>
    <row r="24" spans="1:5" ht="61.15">
      <c r="A24" t="s">
        <v>65</v>
      </c>
      <c r="B24" s="2" t="s">
        <v>299</v>
      </c>
      <c r="C24" t="b">
        <f>FALSE()</f>
        <v>0</v>
      </c>
      <c r="E24" t="b">
        <f>FALSE()</f>
        <v>0</v>
      </c>
    </row>
    <row r="25" spans="1:5">
      <c r="A25" t="s">
        <v>67</v>
      </c>
      <c r="B25" t="s">
        <v>214</v>
      </c>
      <c r="C25" t="b">
        <f>FALSE()</f>
        <v>0</v>
      </c>
      <c r="E25" t="b">
        <f>FALSE()</f>
        <v>0</v>
      </c>
    </row>
    <row r="26" spans="1:5">
      <c r="A26" t="s">
        <v>69</v>
      </c>
      <c r="B26" t="s">
        <v>193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194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195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219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265</v>
      </c>
      <c r="C30" t="b">
        <f>TRUE()</f>
        <v>1</v>
      </c>
      <c r="E30" t="b">
        <f>TRUE()</f>
        <v>1</v>
      </c>
    </row>
    <row r="31" spans="1:5">
      <c r="A31" t="s">
        <v>79</v>
      </c>
      <c r="B31" t="s">
        <v>248</v>
      </c>
      <c r="C31" t="b">
        <f>TRUE()</f>
        <v>1</v>
      </c>
      <c r="E31" t="b">
        <f>TRUE()</f>
        <v>1</v>
      </c>
    </row>
    <row r="32" spans="1:5">
      <c r="A32" t="s">
        <v>81</v>
      </c>
      <c r="B32" t="s">
        <v>281</v>
      </c>
      <c r="C32" t="b">
        <f>TRUE()</f>
        <v>1</v>
      </c>
      <c r="E32" t="b">
        <f>TRUE()</f>
        <v>1</v>
      </c>
    </row>
    <row r="33" spans="1:5">
      <c r="A33" t="s">
        <v>83</v>
      </c>
      <c r="B33" t="s">
        <v>300</v>
      </c>
      <c r="C33" t="b">
        <f>TRUE()</f>
        <v>1</v>
      </c>
      <c r="E33" t="b">
        <f>TRUE()</f>
        <v>1</v>
      </c>
    </row>
    <row r="34" spans="1:5">
      <c r="A34" t="s">
        <v>85</v>
      </c>
      <c r="B34" t="s">
        <v>86</v>
      </c>
      <c r="C34" t="b">
        <f>TRUE()</f>
        <v>1</v>
      </c>
      <c r="E34" t="b">
        <f>TRUE()</f>
        <v>1</v>
      </c>
    </row>
    <row r="35" spans="1:5">
      <c r="A35" t="s">
        <v>87</v>
      </c>
      <c r="B35" t="s">
        <v>219</v>
      </c>
      <c r="C35" t="b">
        <f>TRUE()</f>
        <v>1</v>
      </c>
      <c r="E35" t="b">
        <f>TRUE()</f>
        <v>1</v>
      </c>
    </row>
    <row r="36" spans="1:5" ht="61.15">
      <c r="A36" t="s">
        <v>88</v>
      </c>
      <c r="B36" s="2" t="s">
        <v>301</v>
      </c>
      <c r="C36" t="s">
        <v>8</v>
      </c>
      <c r="D36" t="s">
        <v>302</v>
      </c>
      <c r="E36" t="s">
        <v>8</v>
      </c>
    </row>
    <row r="37" spans="1:5">
      <c r="A37" t="s">
        <v>91</v>
      </c>
      <c r="B37" t="s">
        <v>92</v>
      </c>
      <c r="C37" t="b">
        <f>TRUE()</f>
        <v>1</v>
      </c>
      <c r="E37" t="b">
        <f>TRUE()</f>
        <v>1</v>
      </c>
    </row>
    <row r="38" spans="1:5">
      <c r="A38" t="s">
        <v>93</v>
      </c>
      <c r="B38" t="s">
        <v>229</v>
      </c>
      <c r="C38" t="b">
        <f>TRUE()</f>
        <v>1</v>
      </c>
      <c r="E38" t="b">
        <f>TRUE()</f>
        <v>1</v>
      </c>
    </row>
    <row r="39" spans="1:5">
      <c r="A39" t="s">
        <v>95</v>
      </c>
      <c r="B39" t="s">
        <v>96</v>
      </c>
      <c r="C39" t="b">
        <f>TRUE()</f>
        <v>1</v>
      </c>
      <c r="E39" t="b">
        <f>TRUE()</f>
        <v>1</v>
      </c>
    </row>
    <row r="40" spans="1:5">
      <c r="A40" t="s">
        <v>97</v>
      </c>
      <c r="B40" t="s">
        <v>40</v>
      </c>
      <c r="C40" t="b">
        <f>TRUE()</f>
        <v>1</v>
      </c>
      <c r="E40" t="b">
        <f>TRUE()</f>
        <v>1</v>
      </c>
    </row>
    <row r="41" spans="1:5">
      <c r="A41" t="s">
        <v>98</v>
      </c>
      <c r="B41" t="s">
        <v>216</v>
      </c>
      <c r="C41" t="b">
        <f>TRUE()</f>
        <v>1</v>
      </c>
      <c r="E41" t="b">
        <f>TRUE()</f>
        <v>1</v>
      </c>
    </row>
    <row r="42" spans="1:5">
      <c r="A42" t="s">
        <v>99</v>
      </c>
      <c r="B42" t="s">
        <v>208</v>
      </c>
      <c r="C42" t="s">
        <v>8</v>
      </c>
      <c r="E42" t="s">
        <v>8</v>
      </c>
    </row>
    <row r="43" spans="1:5">
      <c r="A43" t="s">
        <v>101</v>
      </c>
      <c r="B43" t="s">
        <v>303</v>
      </c>
      <c r="C43" t="b">
        <f>FALSE()</f>
        <v>0</v>
      </c>
      <c r="E43" t="b">
        <f>FALSE()</f>
        <v>0</v>
      </c>
    </row>
    <row r="44" spans="1:5">
      <c r="A44" t="s">
        <v>103</v>
      </c>
      <c r="B44" t="s">
        <v>104</v>
      </c>
      <c r="C44" t="b">
        <f>TRUE()</f>
        <v>1</v>
      </c>
      <c r="E44" t="b">
        <f>TRUE()</f>
        <v>1</v>
      </c>
    </row>
    <row r="45" spans="1:5">
      <c r="A45" t="s">
        <v>105</v>
      </c>
      <c r="B45" t="s">
        <v>106</v>
      </c>
      <c r="C45" t="b">
        <f>TRUE()</f>
        <v>1</v>
      </c>
      <c r="E45" t="b">
        <f>TRUE()</f>
        <v>1</v>
      </c>
    </row>
    <row r="46" spans="1:5">
      <c r="A46" t="s">
        <v>107</v>
      </c>
      <c r="B46" t="s">
        <v>108</v>
      </c>
      <c r="C46" t="b">
        <f>TRUE()</f>
        <v>1</v>
      </c>
      <c r="E46" t="b">
        <f>TRUE()</f>
        <v>1</v>
      </c>
    </row>
    <row r="47" spans="1:5">
      <c r="A47" t="s">
        <v>109</v>
      </c>
      <c r="B47" t="s">
        <v>231</v>
      </c>
      <c r="C47" t="b">
        <f>TRUE()</f>
        <v>1</v>
      </c>
      <c r="E47" t="b">
        <f>TRUE()</f>
        <v>1</v>
      </c>
    </row>
    <row r="48" spans="1:5" ht="76.150000000000006">
      <c r="A48" t="s">
        <v>111</v>
      </c>
      <c r="B48" s="2" t="s">
        <v>232</v>
      </c>
      <c r="C48" t="b">
        <f>FALSE()</f>
        <v>0</v>
      </c>
      <c r="E48" t="b">
        <f>FALSE()</f>
        <v>0</v>
      </c>
    </row>
    <row r="49" spans="1:5">
      <c r="A49" t="s">
        <v>113</v>
      </c>
      <c r="B49" t="s">
        <v>304</v>
      </c>
      <c r="C49" t="b">
        <f>TRUE()</f>
        <v>1</v>
      </c>
      <c r="E49" t="b">
        <f>TRUE()</f>
        <v>1</v>
      </c>
    </row>
    <row r="50" spans="1:5">
      <c r="A50" t="s">
        <v>115</v>
      </c>
      <c r="B50" t="s">
        <v>116</v>
      </c>
      <c r="C50" t="b">
        <f>TRUE()</f>
        <v>1</v>
      </c>
      <c r="E50" t="b">
        <f>TRUE()</f>
        <v>1</v>
      </c>
    </row>
    <row r="51" spans="1:5">
      <c r="A51" t="s">
        <v>117</v>
      </c>
      <c r="B51" t="s">
        <v>118</v>
      </c>
      <c r="C51" t="b">
        <f>TRUE()</f>
        <v>1</v>
      </c>
      <c r="E51" t="b">
        <f>TRUE()</f>
        <v>1</v>
      </c>
    </row>
    <row r="52" spans="1:5">
      <c r="A52" t="s">
        <v>119</v>
      </c>
      <c r="B52" t="s">
        <v>203</v>
      </c>
      <c r="C52" t="b">
        <f>TRUE()</f>
        <v>1</v>
      </c>
      <c r="E52" t="b">
        <f>TRUE()</f>
        <v>1</v>
      </c>
    </row>
    <row r="53" spans="1:5">
      <c r="A53" t="s">
        <v>121</v>
      </c>
      <c r="B53" t="s">
        <v>231</v>
      </c>
      <c r="C53" t="b">
        <f>TRUE()</f>
        <v>1</v>
      </c>
      <c r="E53" t="b">
        <f>TRUE()</f>
        <v>1</v>
      </c>
    </row>
    <row r="54" spans="1:5" ht="31.35">
      <c r="A54" t="s">
        <v>122</v>
      </c>
      <c r="B54" s="2" t="s">
        <v>305</v>
      </c>
      <c r="C54" t="b">
        <f>FALSE()</f>
        <v>0</v>
      </c>
      <c r="E54" t="b">
        <f>FALSE()</f>
        <v>0</v>
      </c>
    </row>
    <row r="55" spans="1:5">
      <c r="A55" t="s">
        <v>124</v>
      </c>
      <c r="B55" t="s">
        <v>46</v>
      </c>
      <c r="C55" t="b">
        <f>TRUE()</f>
        <v>1</v>
      </c>
      <c r="E55" t="b">
        <f>TRUE()</f>
        <v>1</v>
      </c>
    </row>
    <row r="56" spans="1:5">
      <c r="A56" t="s">
        <v>126</v>
      </c>
      <c r="B56" t="s">
        <v>127</v>
      </c>
      <c r="C56" t="b">
        <f>TRUE()</f>
        <v>1</v>
      </c>
      <c r="E56" t="b">
        <f>TRUE()</f>
        <v>1</v>
      </c>
    </row>
    <row r="57" spans="1:5">
      <c r="A57" t="s">
        <v>128</v>
      </c>
      <c r="B57" t="s">
        <v>129</v>
      </c>
      <c r="C57" t="b">
        <f>TRUE()</f>
        <v>1</v>
      </c>
      <c r="E57" t="b">
        <f>TRUE()</f>
        <v>1</v>
      </c>
    </row>
    <row r="58" spans="1:5">
      <c r="A58" t="s">
        <v>130</v>
      </c>
      <c r="B58" t="s">
        <v>205</v>
      </c>
      <c r="C58" t="b">
        <f>TRUE()</f>
        <v>1</v>
      </c>
      <c r="E58" t="b">
        <f>TRUE()</f>
        <v>1</v>
      </c>
    </row>
    <row r="59" spans="1:5">
      <c r="A59" t="s">
        <v>132</v>
      </c>
      <c r="B59" t="s">
        <v>168</v>
      </c>
      <c r="C59" t="b">
        <f>TRUE()</f>
        <v>1</v>
      </c>
      <c r="E59" t="b">
        <f>TRUE()</f>
        <v>1</v>
      </c>
    </row>
    <row r="60" spans="1:5" ht="31.35">
      <c r="A60" t="s">
        <v>133</v>
      </c>
      <c r="B60" s="2" t="s">
        <v>305</v>
      </c>
      <c r="C60" t="b">
        <f>FALSE()</f>
        <v>0</v>
      </c>
      <c r="E60" t="b">
        <f>FALSE()</f>
        <v>0</v>
      </c>
    </row>
    <row r="61" spans="1:5">
      <c r="A61" t="s">
        <v>135</v>
      </c>
      <c r="B61" t="s">
        <v>306</v>
      </c>
      <c r="C61" t="b">
        <f>TRUE()</f>
        <v>1</v>
      </c>
      <c r="E61" t="b">
        <f>TRUE()</f>
        <v>1</v>
      </c>
    </row>
    <row r="62" spans="1:5">
      <c r="A62" t="s">
        <v>137</v>
      </c>
      <c r="B62" t="s">
        <v>207</v>
      </c>
      <c r="C62" t="b">
        <f>TRUE()</f>
        <v>1</v>
      </c>
      <c r="E62" t="b">
        <f>TRUE()</f>
        <v>1</v>
      </c>
    </row>
    <row r="63" spans="1:5">
      <c r="A63" t="s">
        <v>139</v>
      </c>
      <c r="B63" t="s">
        <v>270</v>
      </c>
      <c r="C63" t="b">
        <f>TRUE()</f>
        <v>1</v>
      </c>
      <c r="E63" t="b">
        <f>TRUE()</f>
        <v>1</v>
      </c>
    </row>
    <row r="64" spans="1:5">
      <c r="A64" t="s">
        <v>141</v>
      </c>
      <c r="B64" t="s">
        <v>142</v>
      </c>
      <c r="C64" t="b">
        <f>TRUE()</f>
        <v>1</v>
      </c>
      <c r="E64" t="b">
        <f>TRUE()</f>
        <v>1</v>
      </c>
    </row>
    <row r="65" spans="1:5">
      <c r="A65" t="s">
        <v>143</v>
      </c>
      <c r="B65" t="s">
        <v>168</v>
      </c>
      <c r="C65" t="b">
        <f>TRUE()</f>
        <v>1</v>
      </c>
      <c r="E65" t="b">
        <f>TRUE()</f>
        <v>1</v>
      </c>
    </row>
    <row r="66" spans="1:5">
      <c r="A66" t="s">
        <v>144</v>
      </c>
      <c r="B66" t="s">
        <v>307</v>
      </c>
      <c r="C66" t="b">
        <f>FALSE()</f>
        <v>0</v>
      </c>
      <c r="E66" t="b">
        <f>FALSE()</f>
        <v>0</v>
      </c>
    </row>
    <row r="67" spans="1:5">
      <c r="A67" t="s">
        <v>147</v>
      </c>
      <c r="B67" t="s">
        <v>190</v>
      </c>
      <c r="C67" t="b">
        <f>FALSE()</f>
        <v>0</v>
      </c>
      <c r="E67" t="b">
        <f>FALSE()</f>
        <v>0</v>
      </c>
    </row>
    <row r="68" spans="1:5">
      <c r="A68" t="s">
        <v>149</v>
      </c>
      <c r="B68" t="s">
        <v>209</v>
      </c>
      <c r="C68" t="b">
        <f>TRUE()</f>
        <v>1</v>
      </c>
      <c r="E68" t="b">
        <f>TRUE()</f>
        <v>1</v>
      </c>
    </row>
    <row r="69" spans="1:5">
      <c r="A69" t="s">
        <v>151</v>
      </c>
      <c r="B69" t="s">
        <v>152</v>
      </c>
      <c r="C69" t="b">
        <f>TRUE()</f>
        <v>1</v>
      </c>
      <c r="E69" t="b">
        <f>TRUE()</f>
        <v>1</v>
      </c>
    </row>
    <row r="70" spans="1:5">
      <c r="A70" t="s">
        <v>153</v>
      </c>
      <c r="B70" t="s">
        <v>154</v>
      </c>
      <c r="C70" t="b">
        <f>TRUE()</f>
        <v>1</v>
      </c>
      <c r="E70" t="b">
        <f>TRUE()</f>
        <v>1</v>
      </c>
    </row>
    <row r="71" spans="1:5">
      <c r="A71" t="s">
        <v>155</v>
      </c>
      <c r="B71" t="s">
        <v>231</v>
      </c>
      <c r="C71" t="b">
        <f>TRUE()</f>
        <v>1</v>
      </c>
      <c r="E71" t="b">
        <f>TRUE()</f>
        <v>1</v>
      </c>
    </row>
    <row r="72" spans="1:5">
      <c r="A72" t="s">
        <v>156</v>
      </c>
      <c r="B72" t="s">
        <v>308</v>
      </c>
      <c r="C72" t="b">
        <f>FALSE()</f>
        <v>0</v>
      </c>
      <c r="E72" t="b">
        <f>FALSE()</f>
        <v>0</v>
      </c>
    </row>
    <row r="73" spans="1:5">
      <c r="A73" t="s">
        <v>158</v>
      </c>
      <c r="B73" t="s">
        <v>258</v>
      </c>
      <c r="C73" t="b">
        <f>TRUE()</f>
        <v>1</v>
      </c>
      <c r="E73" t="b">
        <f>TRUE()</f>
        <v>1</v>
      </c>
    </row>
    <row r="74" spans="1:5">
      <c r="A74" t="s">
        <v>161</v>
      </c>
      <c r="B74" t="s">
        <v>291</v>
      </c>
      <c r="C74" t="b">
        <f>TRUE()</f>
        <v>1</v>
      </c>
      <c r="E74" t="b">
        <f>TRUE()</f>
        <v>1</v>
      </c>
    </row>
    <row r="75" spans="1:5">
      <c r="A75" t="s">
        <v>163</v>
      </c>
      <c r="B75" t="s">
        <v>164</v>
      </c>
      <c r="C75" t="b">
        <f>TRUE()</f>
        <v>1</v>
      </c>
      <c r="E75" t="b">
        <f>TRUE()</f>
        <v>1</v>
      </c>
    </row>
    <row r="76" spans="1:5">
      <c r="A76" t="s">
        <v>165</v>
      </c>
      <c r="B76" t="s">
        <v>166</v>
      </c>
      <c r="C76" t="b">
        <f>TRUE()</f>
        <v>1</v>
      </c>
      <c r="E76" t="b">
        <f>TRUE()</f>
        <v>1</v>
      </c>
    </row>
    <row r="77" spans="1:5">
      <c r="A77" t="s">
        <v>167</v>
      </c>
      <c r="B77" t="s">
        <v>110</v>
      </c>
      <c r="C77" t="b">
        <f>TRUE()</f>
        <v>1</v>
      </c>
      <c r="E77" t="b">
        <f>TRUE()</f>
        <v>1</v>
      </c>
    </row>
    <row r="78" spans="1:5">
      <c r="A78" t="s">
        <v>169</v>
      </c>
      <c r="B78" t="s">
        <v>309</v>
      </c>
      <c r="C78" t="s">
        <v>8</v>
      </c>
      <c r="E78" t="s">
        <v>8</v>
      </c>
    </row>
    <row r="79" spans="1:5">
      <c r="A79" t="s">
        <v>171</v>
      </c>
      <c r="B79" t="s">
        <v>172</v>
      </c>
      <c r="C79" t="b">
        <f>TRUE()</f>
        <v>1</v>
      </c>
      <c r="E79" t="b">
        <f>TRUE()</f>
        <v>1</v>
      </c>
    </row>
    <row r="80" spans="1:5">
      <c r="A80" t="s">
        <v>173</v>
      </c>
      <c r="B80" t="s">
        <v>174</v>
      </c>
      <c r="C80" t="b">
        <f>TRUE()</f>
        <v>1</v>
      </c>
      <c r="E80" t="b">
        <f>TRUE()</f>
        <v>1</v>
      </c>
    </row>
    <row r="81" spans="1:5">
      <c r="A81" t="s">
        <v>175</v>
      </c>
      <c r="B81" t="s">
        <v>176</v>
      </c>
      <c r="C81" t="b">
        <f>TRUE()</f>
        <v>1</v>
      </c>
      <c r="E81" t="b">
        <f>TRUE()</f>
        <v>1</v>
      </c>
    </row>
    <row r="82" spans="1:5">
      <c r="A82" t="s">
        <v>177</v>
      </c>
      <c r="B82" t="s">
        <v>178</v>
      </c>
      <c r="C82" t="b">
        <f>TRUE()</f>
        <v>1</v>
      </c>
      <c r="E82" t="b">
        <f>TRUE()</f>
        <v>1</v>
      </c>
    </row>
    <row r="83" spans="1:5">
      <c r="A83" t="s">
        <v>179</v>
      </c>
      <c r="B83" t="s">
        <v>231</v>
      </c>
      <c r="C83" t="b">
        <f>TRUE()</f>
        <v>1</v>
      </c>
      <c r="E83" t="b">
        <f>TRUE()</f>
        <v>1</v>
      </c>
    </row>
    <row r="84" spans="1:5" ht="46.35">
      <c r="A84" t="s">
        <v>180</v>
      </c>
      <c r="B84" s="2" t="s">
        <v>310</v>
      </c>
      <c r="C84" t="b">
        <f>FALSE()</f>
        <v>0</v>
      </c>
      <c r="E84" t="b">
        <f>FALSE()</f>
        <v>0</v>
      </c>
    </row>
    <row r="85" spans="1:5">
      <c r="A85" t="s">
        <v>181</v>
      </c>
      <c r="B85" t="s">
        <v>148</v>
      </c>
      <c r="C85" t="b">
        <f>FALSE()</f>
        <v>0</v>
      </c>
      <c r="E85" t="b">
        <f>FALSE()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5"/>
  <sheetViews>
    <sheetView tabSelected="1" zoomScale="75" zoomScaleNormal="75" workbookViewId="0">
      <selection activeCell="E2" sqref="E2"/>
    </sheetView>
  </sheetViews>
  <sheetFormatPr defaultColWidth="8.5703125" defaultRowHeight="15"/>
  <cols>
    <col min="1" max="1" width="41.140625" customWidth="1"/>
    <col min="2" max="3" width="12.7109375" customWidth="1"/>
    <col min="5" max="5" width="12.71093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183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26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219</v>
      </c>
      <c r="C5" t="b">
        <f>TRUE()</f>
        <v>1</v>
      </c>
      <c r="E5" t="b">
        <f>TRUE()</f>
        <v>1</v>
      </c>
    </row>
    <row r="6" spans="1:5">
      <c r="A6" t="s">
        <v>31</v>
      </c>
      <c r="B6" t="s">
        <v>311</v>
      </c>
      <c r="C6" t="s">
        <v>8</v>
      </c>
      <c r="E6" t="s">
        <v>8</v>
      </c>
    </row>
    <row r="7" spans="1:5">
      <c r="A7" t="s">
        <v>33</v>
      </c>
      <c r="B7" t="s">
        <v>46</v>
      </c>
      <c r="C7" t="b">
        <f>TRUE()</f>
        <v>1</v>
      </c>
      <c r="E7" t="b">
        <f>TRUE()</f>
        <v>1</v>
      </c>
    </row>
    <row r="8" spans="1:5">
      <c r="A8" t="s">
        <v>35</v>
      </c>
      <c r="B8" t="s">
        <v>274</v>
      </c>
      <c r="C8" t="b">
        <f>TRUE()</f>
        <v>1</v>
      </c>
      <c r="E8" t="b">
        <f>TRUE()</f>
        <v>1</v>
      </c>
    </row>
    <row r="9" spans="1:5">
      <c r="A9" t="s">
        <v>37</v>
      </c>
      <c r="B9" t="s">
        <v>38</v>
      </c>
      <c r="C9" t="b">
        <f>TRUE()</f>
        <v>1</v>
      </c>
      <c r="E9" t="b">
        <f>TRUE()</f>
        <v>1</v>
      </c>
    </row>
    <row r="10" spans="1:5">
      <c r="A10" t="s">
        <v>39</v>
      </c>
      <c r="B10" t="s">
        <v>40</v>
      </c>
      <c r="C10" t="b">
        <f>TRUE()</f>
        <v>1</v>
      </c>
      <c r="E10" t="b">
        <f>TRUE()</f>
        <v>1</v>
      </c>
    </row>
    <row r="11" spans="1:5">
      <c r="A11" t="s">
        <v>41</v>
      </c>
      <c r="B11" t="s">
        <v>219</v>
      </c>
      <c r="C11" t="b">
        <f>TRUE()</f>
        <v>1</v>
      </c>
      <c r="E11" t="b">
        <f>TRUE()</f>
        <v>1</v>
      </c>
    </row>
    <row r="12" spans="1:5">
      <c r="A12" t="s">
        <v>43</v>
      </c>
      <c r="B12" t="s">
        <v>148</v>
      </c>
      <c r="C12" t="s">
        <v>8</v>
      </c>
      <c r="E12" t="b">
        <f>FALSE()</f>
        <v>0</v>
      </c>
    </row>
    <row r="13" spans="1:5">
      <c r="A13" t="s">
        <v>45</v>
      </c>
      <c r="B13" t="s">
        <v>245</v>
      </c>
      <c r="C13" t="b">
        <f>TRUE()</f>
        <v>1</v>
      </c>
      <c r="E13" t="b">
        <f>TRUE()</f>
        <v>1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50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246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219</v>
      </c>
      <c r="C17" t="b">
        <f>TRUE()</f>
        <v>1</v>
      </c>
      <c r="E17" t="b">
        <f>TRUE()</f>
        <v>1</v>
      </c>
    </row>
    <row r="18" spans="1:5">
      <c r="A18" t="s">
        <v>54</v>
      </c>
      <c r="B18" t="s">
        <v>312</v>
      </c>
      <c r="C18" t="s">
        <v>8</v>
      </c>
      <c r="E18" t="s">
        <v>8</v>
      </c>
    </row>
    <row r="19" spans="1:5">
      <c r="A19" t="s">
        <v>56</v>
      </c>
      <c r="B19" t="s">
        <v>313</v>
      </c>
      <c r="C19" t="b">
        <f>FALSE()</f>
        <v>0</v>
      </c>
      <c r="E19" t="b">
        <f>FALSE()</f>
        <v>0</v>
      </c>
    </row>
    <row r="20" spans="1:5">
      <c r="A20" t="s">
        <v>58</v>
      </c>
      <c r="B20" t="s">
        <v>59</v>
      </c>
      <c r="C20" t="b">
        <f>TRUE()</f>
        <v>1</v>
      </c>
      <c r="E20" t="b">
        <f>TRUE()</f>
        <v>1</v>
      </c>
    </row>
    <row r="21" spans="1:5">
      <c r="A21" t="s">
        <v>60</v>
      </c>
      <c r="B21" t="s">
        <v>61</v>
      </c>
      <c r="C21" t="b">
        <f>TRUE()</f>
        <v>1</v>
      </c>
      <c r="E21" t="b">
        <f>TRUE()</f>
        <v>1</v>
      </c>
    </row>
    <row r="22" spans="1:5">
      <c r="A22" t="s">
        <v>62</v>
      </c>
      <c r="B22" t="s">
        <v>190</v>
      </c>
      <c r="C22" t="b">
        <f>TRUE()</f>
        <v>1</v>
      </c>
      <c r="E22" t="b">
        <f>TRUE()</f>
        <v>1</v>
      </c>
    </row>
    <row r="23" spans="1:5">
      <c r="A23" t="s">
        <v>64</v>
      </c>
      <c r="B23" t="s">
        <v>219</v>
      </c>
      <c r="C23" t="b">
        <f>TRUE()</f>
        <v>1</v>
      </c>
      <c r="E23" t="b">
        <f>TRUE()</f>
        <v>1</v>
      </c>
    </row>
    <row r="24" spans="1:5" ht="61.15">
      <c r="A24" t="s">
        <v>65</v>
      </c>
      <c r="B24" s="2" t="s">
        <v>314</v>
      </c>
      <c r="C24" t="b">
        <f>FALSE()</f>
        <v>0</v>
      </c>
      <c r="E24" t="b">
        <f>FALSE()</f>
        <v>0</v>
      </c>
    </row>
    <row r="25" spans="1:5">
      <c r="A25" t="s">
        <v>67</v>
      </c>
      <c r="B25" t="s">
        <v>68</v>
      </c>
      <c r="C25" t="b">
        <f>TRUE()</f>
        <v>1</v>
      </c>
      <c r="E25" t="b">
        <f>TRUE()</f>
        <v>1</v>
      </c>
    </row>
    <row r="26" spans="1:5">
      <c r="A26" t="s">
        <v>69</v>
      </c>
      <c r="B26" t="s">
        <v>70</v>
      </c>
      <c r="C26" t="b">
        <f>TRUE()</f>
        <v>1</v>
      </c>
      <c r="E26" t="b">
        <f>TRUE()</f>
        <v>1</v>
      </c>
    </row>
    <row r="27" spans="1:5">
      <c r="A27" t="s">
        <v>71</v>
      </c>
      <c r="B27" t="s">
        <v>194</v>
      </c>
      <c r="C27" t="b">
        <f>TRUE()</f>
        <v>1</v>
      </c>
      <c r="E27" t="b">
        <f>TRUE()</f>
        <v>1</v>
      </c>
    </row>
    <row r="28" spans="1:5">
      <c r="A28" t="s">
        <v>73</v>
      </c>
      <c r="B28" t="s">
        <v>195</v>
      </c>
      <c r="C28" t="b">
        <f>TRUE()</f>
        <v>1</v>
      </c>
      <c r="E28" t="b">
        <f>TRUE()</f>
        <v>1</v>
      </c>
    </row>
    <row r="29" spans="1:5">
      <c r="A29" t="s">
        <v>75</v>
      </c>
      <c r="B29" t="s">
        <v>219</v>
      </c>
      <c r="C29" t="b">
        <f>TRUE()</f>
        <v>1</v>
      </c>
      <c r="E29" t="b">
        <f>TRUE()</f>
        <v>1</v>
      </c>
    </row>
    <row r="30" spans="1:5">
      <c r="A30" t="s">
        <v>76</v>
      </c>
      <c r="B30" t="s">
        <v>77</v>
      </c>
      <c r="C30" t="b">
        <f>FALSE()</f>
        <v>0</v>
      </c>
      <c r="E30" t="b">
        <f>FALSE()</f>
        <v>0</v>
      </c>
    </row>
    <row r="31" spans="1:5">
      <c r="A31" t="s">
        <v>79</v>
      </c>
      <c r="B31" t="s">
        <v>248</v>
      </c>
      <c r="C31" t="b">
        <f>TRUE()</f>
        <v>1</v>
      </c>
      <c r="E31" t="b">
        <f>TRUE()</f>
        <v>1</v>
      </c>
    </row>
    <row r="32" spans="1:5">
      <c r="A32" t="s">
        <v>81</v>
      </c>
      <c r="B32" t="s">
        <v>82</v>
      </c>
      <c r="C32" t="b">
        <f>TRUE()</f>
        <v>1</v>
      </c>
      <c r="E32" t="b">
        <f>TRUE()</f>
        <v>1</v>
      </c>
    </row>
    <row r="33" spans="1:5">
      <c r="A33" t="s">
        <v>83</v>
      </c>
      <c r="B33" t="s">
        <v>300</v>
      </c>
      <c r="C33" t="b">
        <f>TRUE()</f>
        <v>1</v>
      </c>
      <c r="E33" t="b">
        <f>TRUE()</f>
        <v>1</v>
      </c>
    </row>
    <row r="34" spans="1:5">
      <c r="A34" t="s">
        <v>85</v>
      </c>
      <c r="B34" t="s">
        <v>86</v>
      </c>
      <c r="C34" t="b">
        <f>TRUE()</f>
        <v>1</v>
      </c>
      <c r="E34" t="b">
        <f>TRUE()</f>
        <v>1</v>
      </c>
    </row>
    <row r="35" spans="1:5">
      <c r="A35" t="s">
        <v>87</v>
      </c>
      <c r="B35" t="s">
        <v>219</v>
      </c>
      <c r="C35" t="b">
        <f>TRUE()</f>
        <v>1</v>
      </c>
      <c r="E35" t="b">
        <f>TRUE()</f>
        <v>1</v>
      </c>
    </row>
    <row r="36" spans="1:5" ht="76.150000000000006">
      <c r="A36" t="s">
        <v>88</v>
      </c>
      <c r="B36" s="2" t="s">
        <v>315</v>
      </c>
      <c r="C36" t="b">
        <f>FALSE()</f>
        <v>0</v>
      </c>
      <c r="E36" t="b">
        <f>FALSE()</f>
        <v>0</v>
      </c>
    </row>
    <row r="37" spans="1:5">
      <c r="A37" t="s">
        <v>91</v>
      </c>
      <c r="B37" t="s">
        <v>241</v>
      </c>
      <c r="C37" t="b">
        <f>TRUE()</f>
        <v>1</v>
      </c>
      <c r="E37" t="b">
        <f>TRUE()</f>
        <v>1</v>
      </c>
    </row>
    <row r="38" spans="1:5">
      <c r="A38" t="s">
        <v>93</v>
      </c>
      <c r="B38" t="s">
        <v>229</v>
      </c>
      <c r="C38" t="b">
        <f>TRUE()</f>
        <v>1</v>
      </c>
      <c r="E38" t="b">
        <f>TRUE()</f>
        <v>1</v>
      </c>
    </row>
    <row r="39" spans="1:5">
      <c r="A39" t="s">
        <v>95</v>
      </c>
      <c r="B39" t="s">
        <v>96</v>
      </c>
      <c r="C39" t="b">
        <f>TRUE()</f>
        <v>1</v>
      </c>
      <c r="E39" t="b">
        <f>TRUE()</f>
        <v>1</v>
      </c>
    </row>
    <row r="40" spans="1:5">
      <c r="A40" t="s">
        <v>97</v>
      </c>
      <c r="B40" t="s">
        <v>40</v>
      </c>
      <c r="C40" t="b">
        <f>TRUE()</f>
        <v>1</v>
      </c>
      <c r="E40" t="b">
        <f>TRUE()</f>
        <v>1</v>
      </c>
    </row>
    <row r="41" spans="1:5">
      <c r="A41" t="s">
        <v>98</v>
      </c>
      <c r="B41" t="s">
        <v>219</v>
      </c>
      <c r="C41" t="b">
        <f>TRUE()</f>
        <v>1</v>
      </c>
      <c r="E41" t="b">
        <f>TRUE()</f>
        <v>1</v>
      </c>
    </row>
    <row r="42" spans="1:5">
      <c r="A42" t="s">
        <v>99</v>
      </c>
      <c r="B42" t="s">
        <v>316</v>
      </c>
      <c r="C42" t="s">
        <v>8</v>
      </c>
      <c r="E42" t="s">
        <v>8</v>
      </c>
    </row>
    <row r="43" spans="1:5">
      <c r="A43" t="s">
        <v>101</v>
      </c>
      <c r="B43" t="s">
        <v>317</v>
      </c>
      <c r="C43" t="b">
        <f>FALSE()</f>
        <v>0</v>
      </c>
      <c r="E43" t="b">
        <f>FALSE()</f>
        <v>0</v>
      </c>
    </row>
    <row r="44" spans="1:5">
      <c r="A44" t="s">
        <v>103</v>
      </c>
      <c r="B44" t="s">
        <v>104</v>
      </c>
      <c r="C44" t="b">
        <f>TRUE()</f>
        <v>1</v>
      </c>
      <c r="E44" t="b">
        <f>TRUE()</f>
        <v>1</v>
      </c>
    </row>
    <row r="45" spans="1:5">
      <c r="A45" t="s">
        <v>105</v>
      </c>
      <c r="B45" t="s">
        <v>106</v>
      </c>
      <c r="C45" t="b">
        <f>TRUE()</f>
        <v>1</v>
      </c>
      <c r="E45" t="b">
        <f>TRUE()</f>
        <v>1</v>
      </c>
    </row>
    <row r="46" spans="1:5">
      <c r="A46" t="s">
        <v>107</v>
      </c>
      <c r="B46" t="s">
        <v>108</v>
      </c>
      <c r="C46" t="b">
        <f>TRUE()</f>
        <v>1</v>
      </c>
      <c r="E46" t="b">
        <f>TRUE()</f>
        <v>1</v>
      </c>
    </row>
    <row r="47" spans="1:5">
      <c r="A47" t="s">
        <v>109</v>
      </c>
      <c r="B47" t="s">
        <v>231</v>
      </c>
      <c r="C47" t="b">
        <f>TRUE()</f>
        <v>1</v>
      </c>
      <c r="E47" t="b">
        <f>TRUE()</f>
        <v>1</v>
      </c>
    </row>
    <row r="48" spans="1:5">
      <c r="A48" t="s">
        <v>111</v>
      </c>
      <c r="B48" t="s">
        <v>318</v>
      </c>
      <c r="C48" t="b">
        <f>FALSE()</f>
        <v>0</v>
      </c>
      <c r="E48" t="b">
        <f>FALSE()</f>
        <v>0</v>
      </c>
    </row>
    <row r="49" spans="1:5">
      <c r="A49" t="s">
        <v>113</v>
      </c>
      <c r="B49" t="s">
        <v>304</v>
      </c>
      <c r="C49" t="b">
        <f>TRUE()</f>
        <v>1</v>
      </c>
      <c r="E49" t="b">
        <f>TRUE()</f>
        <v>1</v>
      </c>
    </row>
    <row r="50" spans="1:5">
      <c r="A50" t="s">
        <v>115</v>
      </c>
      <c r="B50" t="s">
        <v>234</v>
      </c>
      <c r="C50" t="b">
        <f>TRUE()</f>
        <v>1</v>
      </c>
      <c r="E50" t="b">
        <f>TRUE()</f>
        <v>1</v>
      </c>
    </row>
    <row r="51" spans="1:5">
      <c r="A51" t="s">
        <v>117</v>
      </c>
      <c r="B51" t="s">
        <v>118</v>
      </c>
      <c r="C51" t="b">
        <f>TRUE()</f>
        <v>1</v>
      </c>
      <c r="E51" t="b">
        <f>TRUE()</f>
        <v>1</v>
      </c>
    </row>
    <row r="52" spans="1:5">
      <c r="A52" t="s">
        <v>119</v>
      </c>
      <c r="B52" t="s">
        <v>203</v>
      </c>
      <c r="C52" t="b">
        <f>TRUE()</f>
        <v>1</v>
      </c>
      <c r="E52" t="b">
        <f>TRUE()</f>
        <v>1</v>
      </c>
    </row>
    <row r="53" spans="1:5">
      <c r="A53" t="s">
        <v>121</v>
      </c>
      <c r="B53" t="s">
        <v>252</v>
      </c>
      <c r="C53" t="b">
        <f>TRUE()</f>
        <v>1</v>
      </c>
      <c r="E53" t="b">
        <f>TRUE()</f>
        <v>1</v>
      </c>
    </row>
    <row r="54" spans="1:5">
      <c r="A54" t="s">
        <v>122</v>
      </c>
      <c r="B54" t="s">
        <v>319</v>
      </c>
      <c r="C54" t="b">
        <f>FALSE()</f>
        <v>0</v>
      </c>
      <c r="E54" t="b">
        <f>FALSE()</f>
        <v>0</v>
      </c>
    </row>
    <row r="55" spans="1:5">
      <c r="A55" t="s">
        <v>124</v>
      </c>
      <c r="B55" t="s">
        <v>46</v>
      </c>
      <c r="C55" t="b">
        <f>TRUE()</f>
        <v>1</v>
      </c>
      <c r="E55" t="b">
        <f>TRUE()</f>
        <v>1</v>
      </c>
    </row>
    <row r="56" spans="1:5">
      <c r="A56" t="s">
        <v>126</v>
      </c>
      <c r="B56" t="s">
        <v>127</v>
      </c>
      <c r="C56" t="b">
        <f>TRUE()</f>
        <v>1</v>
      </c>
      <c r="E56" t="b">
        <f>TRUE()</f>
        <v>1</v>
      </c>
    </row>
    <row r="57" spans="1:5">
      <c r="A57" t="s">
        <v>128</v>
      </c>
      <c r="B57" t="s">
        <v>129</v>
      </c>
      <c r="C57" t="b">
        <f>TRUE()</f>
        <v>1</v>
      </c>
      <c r="E57" t="b">
        <f>TRUE()</f>
        <v>1</v>
      </c>
    </row>
    <row r="58" spans="1:5">
      <c r="A58" t="s">
        <v>130</v>
      </c>
      <c r="B58" t="s">
        <v>205</v>
      </c>
      <c r="C58" t="b">
        <f>TRUE()</f>
        <v>1</v>
      </c>
      <c r="E58" t="b">
        <f>TRUE()</f>
        <v>1</v>
      </c>
    </row>
    <row r="59" spans="1:5">
      <c r="A59" t="s">
        <v>132</v>
      </c>
      <c r="B59" t="s">
        <v>168</v>
      </c>
      <c r="C59" t="b">
        <f>TRUE()</f>
        <v>1</v>
      </c>
      <c r="E59" t="b">
        <f>TRUE()</f>
        <v>1</v>
      </c>
    </row>
    <row r="60" spans="1:5">
      <c r="A60" t="s">
        <v>133</v>
      </c>
      <c r="B60" t="s">
        <v>320</v>
      </c>
      <c r="C60" t="s">
        <v>8</v>
      </c>
      <c r="E60" t="s">
        <v>8</v>
      </c>
    </row>
    <row r="61" spans="1:5">
      <c r="A61" t="s">
        <v>135</v>
      </c>
      <c r="B61" t="s">
        <v>321</v>
      </c>
      <c r="C61" t="b">
        <f>FALSE()</f>
        <v>0</v>
      </c>
      <c r="E61" t="b">
        <f>FALSE()</f>
        <v>0</v>
      </c>
    </row>
    <row r="62" spans="1:5">
      <c r="A62" t="s">
        <v>137</v>
      </c>
      <c r="B62" t="s">
        <v>138</v>
      </c>
      <c r="C62" t="b">
        <f>TRUE()</f>
        <v>1</v>
      </c>
      <c r="E62" t="b">
        <f>TRUE()</f>
        <v>1</v>
      </c>
    </row>
    <row r="63" spans="1:5">
      <c r="A63" t="s">
        <v>139</v>
      </c>
      <c r="B63" t="s">
        <v>270</v>
      </c>
      <c r="C63" t="b">
        <f>TRUE()</f>
        <v>1</v>
      </c>
      <c r="E63" t="b">
        <f>TRUE()</f>
        <v>1</v>
      </c>
    </row>
    <row r="64" spans="1:5">
      <c r="A64" t="s">
        <v>141</v>
      </c>
      <c r="B64" t="s">
        <v>142</v>
      </c>
      <c r="C64" t="b">
        <f>TRUE()</f>
        <v>1</v>
      </c>
      <c r="E64" t="b">
        <f>TRUE()</f>
        <v>1</v>
      </c>
    </row>
    <row r="65" spans="1:5">
      <c r="A65" t="s">
        <v>143</v>
      </c>
      <c r="B65" t="s">
        <v>231</v>
      </c>
      <c r="C65" t="b">
        <f>TRUE()</f>
        <v>1</v>
      </c>
      <c r="E65" t="b">
        <f>TRUE()</f>
        <v>1</v>
      </c>
    </row>
    <row r="66" spans="1:5">
      <c r="A66" t="s">
        <v>144</v>
      </c>
      <c r="B66" t="s">
        <v>322</v>
      </c>
      <c r="C66" t="b">
        <f>FALSE()</f>
        <v>0</v>
      </c>
      <c r="E66" t="b">
        <f>FALSE()</f>
        <v>0</v>
      </c>
    </row>
    <row r="67" spans="1:5">
      <c r="A67" t="s">
        <v>147</v>
      </c>
      <c r="B67" t="s">
        <v>323</v>
      </c>
      <c r="C67" t="b">
        <f>FALSE()</f>
        <v>0</v>
      </c>
      <c r="E67" t="b">
        <f>FALSE()</f>
        <v>0</v>
      </c>
    </row>
    <row r="68" spans="1:5">
      <c r="A68" t="s">
        <v>149</v>
      </c>
      <c r="B68" t="s">
        <v>162</v>
      </c>
      <c r="C68" t="b">
        <f>FALSE()</f>
        <v>0</v>
      </c>
      <c r="E68" t="b">
        <f>FALSE()</f>
        <v>0</v>
      </c>
    </row>
    <row r="69" spans="1:5">
      <c r="A69" t="s">
        <v>151</v>
      </c>
      <c r="B69" t="s">
        <v>152</v>
      </c>
      <c r="C69" t="b">
        <f>TRUE()</f>
        <v>1</v>
      </c>
      <c r="E69" t="b">
        <f>TRUE()</f>
        <v>1</v>
      </c>
    </row>
    <row r="70" spans="1:5">
      <c r="A70" t="s">
        <v>153</v>
      </c>
      <c r="B70" t="s">
        <v>154</v>
      </c>
      <c r="C70" t="b">
        <f>TRUE()</f>
        <v>1</v>
      </c>
      <c r="E70" t="b">
        <f>TRUE()</f>
        <v>1</v>
      </c>
    </row>
    <row r="71" spans="1:5">
      <c r="A71" t="s">
        <v>155</v>
      </c>
      <c r="B71" t="s">
        <v>231</v>
      </c>
      <c r="C71" t="b">
        <f>TRUE()</f>
        <v>1</v>
      </c>
      <c r="E71" t="b">
        <f>TRUE()</f>
        <v>1</v>
      </c>
    </row>
    <row r="72" spans="1:5">
      <c r="A72" t="s">
        <v>156</v>
      </c>
      <c r="B72" t="s">
        <v>324</v>
      </c>
      <c r="C72" t="b">
        <f>FALSE()</f>
        <v>0</v>
      </c>
      <c r="E72" t="b">
        <f>FALSE()</f>
        <v>0</v>
      </c>
    </row>
    <row r="73" spans="1:5">
      <c r="A73" t="s">
        <v>158</v>
      </c>
      <c r="B73" t="s">
        <v>46</v>
      </c>
      <c r="C73" t="b">
        <f>FALSE()</f>
        <v>0</v>
      </c>
      <c r="E73" t="b">
        <f>FALSE()</f>
        <v>0</v>
      </c>
    </row>
    <row r="74" spans="1:5">
      <c r="A74" t="s">
        <v>161</v>
      </c>
      <c r="B74" t="s">
        <v>162</v>
      </c>
      <c r="C74" t="b">
        <f>TRUE()</f>
        <v>1</v>
      </c>
      <c r="E74" t="b">
        <f>TRUE()</f>
        <v>1</v>
      </c>
    </row>
    <row r="75" spans="1:5">
      <c r="A75" t="s">
        <v>163</v>
      </c>
      <c r="B75" t="s">
        <v>212</v>
      </c>
      <c r="C75" t="b">
        <f>TRUE()</f>
        <v>1</v>
      </c>
      <c r="E75" t="b">
        <f>TRUE()</f>
        <v>1</v>
      </c>
    </row>
    <row r="76" spans="1:5">
      <c r="A76" t="s">
        <v>165</v>
      </c>
      <c r="B76" t="s">
        <v>166</v>
      </c>
      <c r="C76" t="b">
        <f>TRUE()</f>
        <v>1</v>
      </c>
      <c r="E76" t="b">
        <f>TRUE()</f>
        <v>1</v>
      </c>
    </row>
    <row r="77" spans="1:5">
      <c r="A77" t="s">
        <v>167</v>
      </c>
      <c r="B77" t="s">
        <v>110</v>
      </c>
      <c r="C77" t="b">
        <f>TRUE()</f>
        <v>1</v>
      </c>
      <c r="E77" t="b">
        <f>TRUE()</f>
        <v>1</v>
      </c>
    </row>
    <row r="78" spans="1:5">
      <c r="A78" t="s">
        <v>169</v>
      </c>
      <c r="B78" t="s">
        <v>325</v>
      </c>
      <c r="C78" t="s">
        <v>8</v>
      </c>
      <c r="E78" t="s">
        <v>8</v>
      </c>
    </row>
    <row r="79" spans="1:5">
      <c r="A79" t="s">
        <v>171</v>
      </c>
      <c r="B79" t="s">
        <v>46</v>
      </c>
      <c r="C79" t="b">
        <f>FALSE()</f>
        <v>0</v>
      </c>
      <c r="E79" t="b">
        <f>FALSE()</f>
        <v>0</v>
      </c>
    </row>
    <row r="80" spans="1:5">
      <c r="A80" t="s">
        <v>173</v>
      </c>
      <c r="B80" t="s">
        <v>174</v>
      </c>
      <c r="C80" t="b">
        <f>TRUE()</f>
        <v>1</v>
      </c>
      <c r="E80" t="b">
        <f>TRUE()</f>
        <v>1</v>
      </c>
    </row>
    <row r="81" spans="1:5">
      <c r="A81" t="s">
        <v>175</v>
      </c>
      <c r="B81" t="s">
        <v>260</v>
      </c>
      <c r="C81" t="b">
        <f>TRUE()</f>
        <v>1</v>
      </c>
      <c r="E81" t="b">
        <f>TRUE()</f>
        <v>1</v>
      </c>
    </row>
    <row r="82" spans="1:5">
      <c r="A82" t="s">
        <v>177</v>
      </c>
      <c r="B82" t="s">
        <v>178</v>
      </c>
      <c r="C82" t="b">
        <f>TRUE()</f>
        <v>1</v>
      </c>
      <c r="E82" t="b">
        <f>TRUE()</f>
        <v>1</v>
      </c>
    </row>
    <row r="83" spans="1:5">
      <c r="A83" t="s">
        <v>179</v>
      </c>
      <c r="B83" t="s">
        <v>231</v>
      </c>
      <c r="C83" t="b">
        <f>TRUE()</f>
        <v>1</v>
      </c>
      <c r="E83" t="b">
        <f>TRUE()</f>
        <v>1</v>
      </c>
    </row>
    <row r="84" spans="1:5">
      <c r="A84" t="s">
        <v>180</v>
      </c>
      <c r="B84" t="s">
        <v>318</v>
      </c>
      <c r="C84" t="b">
        <f>FALSE()</f>
        <v>0</v>
      </c>
      <c r="E84" t="b">
        <f>FALSE()</f>
        <v>0</v>
      </c>
    </row>
    <row r="85" spans="1:5">
      <c r="A85" t="s">
        <v>181</v>
      </c>
      <c r="B85" t="s">
        <v>326</v>
      </c>
      <c r="C85" t="b">
        <f>FALSE()</f>
        <v>0</v>
      </c>
      <c r="E85" t="b">
        <f>FALSE()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14</cp:revision>
  <dcterms:created xsi:type="dcterms:W3CDTF">2026-03-06T09:52:42Z</dcterms:created>
  <dcterms:modified xsi:type="dcterms:W3CDTF">2026-09-16T12:50:11Z</dcterms:modified>
  <cp:category/>
  <cp:contentStatus/>
</cp:coreProperties>
</file>