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xr:revisionPtr revIDLastSave="232" documentId="11_1560353154C571431FE8FF74BC1D1C7F4E58BA3A" xr6:coauthVersionLast="47" xr6:coauthVersionMax="47" xr10:uidLastSave="{E2ACC0E9-9B7F-4A3E-9EBF-5C414F8DAEBC}"/>
  <bookViews>
    <workbookView xWindow="0" yWindow="0" windowWidth="16384" windowHeight="8192" tabRatio="500" xr2:uid="{00000000-000D-0000-FFFF-FFFF00000000}"/>
  </bookViews>
  <sheets>
    <sheet name="kappa" sheetId="5" r:id="rId1"/>
    <sheet name="people6" sheetId="1" r:id="rId2"/>
    <sheet name="people10" sheetId="2" r:id="rId3"/>
    <sheet name="people14" sheetId="3" r:id="rId4"/>
    <sheet name="people20" sheetId="4" r:id="rId5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3" i="5" l="1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F57" i="4"/>
  <c r="F58" i="4"/>
  <c r="F59" i="4"/>
  <c r="F60" i="4"/>
  <c r="F61" i="4"/>
  <c r="F62" i="4"/>
  <c r="F63" i="4"/>
  <c r="F64" i="4"/>
  <c r="F65" i="4"/>
  <c r="F66" i="4"/>
  <c r="F67" i="4"/>
  <c r="F68" i="4"/>
  <c r="F69" i="4"/>
  <c r="F70" i="4"/>
  <c r="F71" i="4"/>
  <c r="F72" i="4"/>
  <c r="F73" i="4"/>
  <c r="F74" i="4"/>
  <c r="F75" i="4"/>
  <c r="F76" i="4"/>
  <c r="F77" i="4"/>
  <c r="F78" i="4"/>
  <c r="F79" i="4"/>
  <c r="F80" i="4"/>
  <c r="F81" i="4"/>
  <c r="F82" i="4"/>
  <c r="F83" i="4"/>
  <c r="F84" i="4"/>
  <c r="F85" i="4"/>
  <c r="F86" i="4"/>
  <c r="F87" i="4"/>
  <c r="F88" i="4"/>
  <c r="F89" i="4"/>
  <c r="F90" i="4"/>
  <c r="F91" i="4"/>
  <c r="F92" i="4"/>
  <c r="F93" i="4"/>
  <c r="F94" i="4"/>
  <c r="F95" i="4"/>
  <c r="F96" i="4"/>
  <c r="F97" i="4"/>
  <c r="F98" i="4"/>
  <c r="F99" i="4"/>
  <c r="F100" i="4"/>
  <c r="F101" i="4"/>
  <c r="F102" i="4"/>
  <c r="F103" i="4"/>
  <c r="F104" i="4"/>
  <c r="F105" i="4"/>
  <c r="F106" i="4"/>
  <c r="F107" i="4"/>
  <c r="F108" i="4"/>
  <c r="F109" i="4"/>
  <c r="F110" i="4"/>
  <c r="F111" i="4"/>
  <c r="F112" i="4"/>
  <c r="F113" i="4"/>
  <c r="F114" i="4"/>
  <c r="F115" i="4"/>
  <c r="F116" i="4"/>
  <c r="F117" i="4"/>
  <c r="F118" i="4"/>
  <c r="F119" i="4"/>
  <c r="F120" i="4"/>
  <c r="F121" i="4"/>
  <c r="F2" i="4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F2" i="3"/>
  <c r="E52" i="2"/>
  <c r="E53" i="2"/>
  <c r="E51" i="2"/>
  <c r="E47" i="2"/>
  <c r="E46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2" i="2"/>
  <c r="I15" i="5"/>
  <c r="I14" i="5"/>
  <c r="H15" i="5"/>
  <c r="H14" i="5"/>
  <c r="G15" i="5"/>
  <c r="G14" i="5"/>
  <c r="I13" i="5"/>
  <c r="H13" i="5"/>
  <c r="G13" i="5"/>
  <c r="E57" i="2"/>
  <c r="E48" i="2"/>
  <c r="E45" i="2"/>
  <c r="E41" i="2"/>
  <c r="E39" i="2"/>
  <c r="E35" i="2"/>
  <c r="E33" i="2"/>
  <c r="E32" i="2"/>
  <c r="E31" i="2"/>
  <c r="E29" i="2"/>
  <c r="E27" i="2"/>
  <c r="E26" i="2"/>
  <c r="E23" i="2"/>
  <c r="E21" i="2"/>
  <c r="E19" i="2"/>
  <c r="E17" i="2"/>
  <c r="E15" i="2"/>
  <c r="E14" i="2"/>
  <c r="E13" i="2"/>
  <c r="E11" i="2"/>
  <c r="E9" i="2"/>
  <c r="E8" i="2"/>
  <c r="E7" i="2"/>
  <c r="E5" i="2"/>
  <c r="E3" i="2"/>
  <c r="E2" i="2"/>
  <c r="E4" i="2"/>
  <c r="E6" i="2"/>
  <c r="E10" i="2"/>
  <c r="E12" i="2"/>
  <c r="E16" i="2"/>
  <c r="E18" i="2"/>
  <c r="E20" i="2"/>
  <c r="E22" i="2"/>
  <c r="E24" i="2"/>
  <c r="E25" i="2"/>
  <c r="E28" i="2"/>
  <c r="E30" i="2"/>
  <c r="E34" i="2"/>
  <c r="E36" i="2"/>
  <c r="E37" i="2"/>
  <c r="E38" i="2"/>
  <c r="E40" i="2"/>
  <c r="E42" i="2"/>
  <c r="E43" i="2"/>
  <c r="E44" i="2"/>
  <c r="E49" i="2"/>
  <c r="E50" i="2"/>
  <c r="E54" i="2"/>
  <c r="E55" i="2"/>
  <c r="E56" i="2"/>
  <c r="E25" i="1"/>
  <c r="E24" i="1"/>
  <c r="E22" i="1"/>
  <c r="E19" i="1"/>
  <c r="E18" i="1"/>
  <c r="E16" i="1"/>
  <c r="E13" i="1"/>
  <c r="E12" i="1"/>
  <c r="E10" i="1"/>
  <c r="E7" i="1"/>
  <c r="E6" i="1"/>
  <c r="E4" i="1"/>
  <c r="E28" i="1"/>
  <c r="E30" i="1"/>
  <c r="E31" i="1"/>
  <c r="E34" i="1"/>
  <c r="E36" i="1"/>
  <c r="E32" i="1"/>
  <c r="E33" i="1"/>
  <c r="E35" i="1"/>
  <c r="E37" i="1"/>
  <c r="C31" i="1"/>
  <c r="E29" i="1"/>
  <c r="E27" i="1"/>
  <c r="E26" i="1"/>
  <c r="E23" i="1"/>
  <c r="E21" i="1"/>
  <c r="E20" i="1"/>
  <c r="E17" i="1"/>
  <c r="E15" i="1"/>
  <c r="E14" i="1"/>
  <c r="E11" i="1"/>
  <c r="E9" i="1"/>
  <c r="E8" i="1"/>
  <c r="E5" i="1"/>
  <c r="E3" i="1"/>
  <c r="E2" i="1"/>
  <c r="D15" i="5"/>
  <c r="C15" i="5"/>
  <c r="B15" i="5"/>
  <c r="D14" i="5"/>
  <c r="C14" i="5"/>
  <c r="B14" i="5"/>
  <c r="D13" i="5"/>
  <c r="C13" i="5"/>
  <c r="B13" i="5"/>
  <c r="I5" i="5"/>
  <c r="H5" i="5"/>
  <c r="G5" i="5"/>
  <c r="D5" i="5"/>
  <c r="D25" i="5" s="1"/>
  <c r="C5" i="5"/>
  <c r="C25" i="5" s="1"/>
  <c r="B5" i="5"/>
  <c r="B25" i="5" s="1"/>
  <c r="I4" i="5"/>
  <c r="H4" i="5"/>
  <c r="G4" i="5"/>
  <c r="D4" i="5"/>
  <c r="D24" i="5" s="1"/>
  <c r="C4" i="5"/>
  <c r="C24" i="5" s="1"/>
  <c r="B4" i="5"/>
  <c r="B24" i="5" s="1"/>
  <c r="I3" i="5"/>
  <c r="H3" i="5"/>
  <c r="G3" i="5"/>
  <c r="D3" i="5"/>
  <c r="D23" i="5" s="1"/>
  <c r="C3" i="5"/>
  <c r="C23" i="5" s="1"/>
  <c r="C85" i="3"/>
  <c r="C84" i="3"/>
  <c r="C83" i="3"/>
  <c r="C82" i="3"/>
  <c r="C81" i="3"/>
  <c r="C80" i="3"/>
  <c r="C79" i="3"/>
  <c r="C78" i="3"/>
  <c r="C77" i="3"/>
  <c r="C76" i="3"/>
  <c r="C75" i="3"/>
  <c r="C74" i="3"/>
  <c r="C73" i="3"/>
  <c r="C72" i="3"/>
  <c r="C71" i="3"/>
  <c r="C70" i="3"/>
  <c r="C69" i="3"/>
  <c r="C68" i="3"/>
  <c r="C67" i="3"/>
  <c r="C65" i="3"/>
  <c r="C64" i="3"/>
  <c r="C63" i="3"/>
  <c r="C62" i="3"/>
  <c r="C61" i="3"/>
  <c r="C60" i="3"/>
  <c r="C59" i="3"/>
  <c r="C58" i="3"/>
  <c r="C57" i="3"/>
  <c r="C56" i="3"/>
  <c r="C55" i="3"/>
  <c r="C54" i="3"/>
  <c r="C53" i="3"/>
  <c r="C52" i="3"/>
  <c r="C51" i="3"/>
  <c r="C50" i="3"/>
  <c r="C49" i="3"/>
  <c r="C48" i="3"/>
  <c r="C47" i="3"/>
  <c r="C46" i="3"/>
  <c r="C45" i="3"/>
  <c r="C44" i="3"/>
  <c r="C43" i="3"/>
  <c r="C42" i="3"/>
  <c r="C41" i="3"/>
  <c r="C40" i="3"/>
  <c r="C39" i="3"/>
  <c r="C38" i="3"/>
  <c r="C37" i="3"/>
  <c r="C36" i="3"/>
  <c r="C35" i="3"/>
  <c r="C34" i="3"/>
  <c r="C33" i="3"/>
  <c r="C32" i="3"/>
  <c r="C31" i="3"/>
  <c r="C30" i="3"/>
  <c r="C29" i="3"/>
  <c r="C28" i="3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2" i="3"/>
  <c r="E61" i="2"/>
  <c r="C61" i="2"/>
  <c r="E60" i="2"/>
  <c r="C60" i="2"/>
  <c r="E59" i="2"/>
  <c r="C59" i="2"/>
  <c r="E58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  <c r="C37" i="1"/>
  <c r="C36" i="1"/>
  <c r="C35" i="1"/>
  <c r="C34" i="1"/>
  <c r="C33" i="1"/>
  <c r="C32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  <c r="E121" i="4"/>
  <c r="C121" i="4"/>
  <c r="E120" i="4"/>
  <c r="C120" i="4"/>
  <c r="E119" i="4"/>
  <c r="C119" i="4"/>
  <c r="E118" i="4"/>
  <c r="C118" i="4"/>
  <c r="E117" i="4"/>
  <c r="C117" i="4"/>
  <c r="E116" i="4"/>
  <c r="C116" i="4"/>
  <c r="E115" i="4"/>
  <c r="C115" i="4"/>
  <c r="E114" i="4"/>
  <c r="C114" i="4"/>
  <c r="E113" i="4"/>
  <c r="C113" i="4"/>
  <c r="E112" i="4"/>
  <c r="C112" i="4"/>
  <c r="E111" i="4"/>
  <c r="C111" i="4"/>
  <c r="E110" i="4"/>
  <c r="C110" i="4"/>
  <c r="E109" i="4"/>
  <c r="C109" i="4"/>
  <c r="E108" i="4"/>
  <c r="C108" i="4"/>
  <c r="E107" i="4"/>
  <c r="C107" i="4"/>
  <c r="E106" i="4"/>
  <c r="C106" i="4"/>
  <c r="E105" i="4"/>
  <c r="C105" i="4"/>
  <c r="E104" i="4"/>
  <c r="C104" i="4"/>
  <c r="E103" i="4"/>
  <c r="C103" i="4"/>
  <c r="E102" i="4"/>
  <c r="C102" i="4"/>
  <c r="E101" i="4"/>
  <c r="C101" i="4"/>
  <c r="E100" i="4"/>
  <c r="C100" i="4"/>
  <c r="E99" i="4"/>
  <c r="C99" i="4"/>
  <c r="E98" i="4"/>
  <c r="C98" i="4"/>
  <c r="E97" i="4"/>
  <c r="C97" i="4"/>
  <c r="E96" i="4"/>
  <c r="C96" i="4"/>
  <c r="E95" i="4"/>
  <c r="C95" i="4"/>
  <c r="E94" i="4"/>
  <c r="C94" i="4"/>
  <c r="E93" i="4"/>
  <c r="C93" i="4"/>
  <c r="E92" i="4"/>
  <c r="C92" i="4"/>
  <c r="E91" i="4"/>
  <c r="C91" i="4"/>
  <c r="E90" i="4"/>
  <c r="C90" i="4"/>
  <c r="E89" i="4"/>
  <c r="C89" i="4"/>
  <c r="E88" i="4"/>
  <c r="C88" i="4"/>
  <c r="E87" i="4"/>
  <c r="C87" i="4"/>
  <c r="E86" i="4"/>
  <c r="C86" i="4"/>
  <c r="E85" i="4"/>
  <c r="C85" i="4"/>
  <c r="E84" i="4"/>
  <c r="C84" i="4"/>
  <c r="E83" i="4"/>
  <c r="C83" i="4"/>
  <c r="E82" i="4"/>
  <c r="C82" i="4"/>
  <c r="E81" i="4"/>
  <c r="C81" i="4"/>
  <c r="E80" i="4"/>
  <c r="C80" i="4"/>
  <c r="E79" i="4"/>
  <c r="C79" i="4"/>
  <c r="E78" i="4"/>
  <c r="C78" i="4"/>
  <c r="E77" i="4"/>
  <c r="C77" i="4"/>
  <c r="E76" i="4"/>
  <c r="C76" i="4"/>
  <c r="E75" i="4"/>
  <c r="C75" i="4"/>
  <c r="E74" i="4"/>
  <c r="C74" i="4"/>
  <c r="E73" i="4"/>
  <c r="C73" i="4"/>
  <c r="E72" i="4"/>
  <c r="C72" i="4"/>
  <c r="E71" i="4"/>
  <c r="C71" i="4"/>
  <c r="E70" i="4"/>
  <c r="C70" i="4"/>
  <c r="E69" i="4"/>
  <c r="C69" i="4"/>
  <c r="E68" i="4"/>
  <c r="C68" i="4"/>
  <c r="E67" i="4"/>
  <c r="C67" i="4"/>
  <c r="E66" i="4"/>
  <c r="C66" i="4"/>
  <c r="E65" i="4"/>
  <c r="C65" i="4"/>
  <c r="E64" i="4"/>
  <c r="C64" i="4"/>
  <c r="E63" i="4"/>
  <c r="C63" i="4"/>
  <c r="E62" i="4"/>
  <c r="C62" i="4"/>
  <c r="E61" i="4"/>
  <c r="C61" i="4"/>
  <c r="E60" i="4"/>
  <c r="C60" i="4"/>
  <c r="E59" i="4"/>
  <c r="C59" i="4"/>
  <c r="E58" i="4"/>
  <c r="C58" i="4"/>
  <c r="E57" i="4"/>
  <c r="C57" i="4"/>
  <c r="E56" i="4"/>
  <c r="C56" i="4"/>
  <c r="E55" i="4"/>
  <c r="C55" i="4"/>
  <c r="E54" i="4"/>
  <c r="C54" i="4"/>
  <c r="E53" i="4"/>
  <c r="C53" i="4"/>
  <c r="E52" i="4"/>
  <c r="C52" i="4"/>
  <c r="E51" i="4"/>
  <c r="C51" i="4"/>
  <c r="E50" i="4"/>
  <c r="C50" i="4"/>
  <c r="E49" i="4"/>
  <c r="C49" i="4"/>
  <c r="E48" i="4"/>
  <c r="C48" i="4"/>
  <c r="E47" i="4"/>
  <c r="C47" i="4"/>
  <c r="E46" i="4"/>
  <c r="C46" i="4"/>
  <c r="E45" i="4"/>
  <c r="C45" i="4"/>
  <c r="E44" i="4"/>
  <c r="C44" i="4"/>
  <c r="E43" i="4"/>
  <c r="C43" i="4"/>
  <c r="E42" i="4"/>
  <c r="C42" i="4"/>
  <c r="E41" i="4"/>
  <c r="C41" i="4"/>
  <c r="E40" i="4"/>
  <c r="C40" i="4"/>
  <c r="E39" i="4"/>
  <c r="C39" i="4"/>
  <c r="E38" i="4"/>
  <c r="C38" i="4"/>
  <c r="E36" i="4"/>
  <c r="C36" i="4"/>
  <c r="E35" i="4"/>
  <c r="C35" i="4"/>
  <c r="E33" i="4"/>
  <c r="C33" i="4"/>
  <c r="E32" i="4"/>
  <c r="C32" i="4"/>
  <c r="E31" i="4"/>
  <c r="C31" i="4"/>
  <c r="E30" i="4"/>
  <c r="C30" i="4"/>
  <c r="E29" i="4"/>
  <c r="C29" i="4"/>
  <c r="E28" i="4"/>
  <c r="C28" i="4"/>
  <c r="E27" i="4"/>
  <c r="C27" i="4"/>
  <c r="E26" i="4"/>
  <c r="C26" i="4"/>
  <c r="E25" i="4"/>
  <c r="C25" i="4"/>
  <c r="E24" i="4"/>
  <c r="C24" i="4"/>
  <c r="E23" i="4"/>
  <c r="C23" i="4"/>
  <c r="E22" i="4"/>
  <c r="C22" i="4"/>
  <c r="E21" i="4"/>
  <c r="C21" i="4"/>
  <c r="E20" i="4"/>
  <c r="C20" i="4"/>
  <c r="E19" i="4"/>
  <c r="C19" i="4"/>
  <c r="E18" i="4"/>
  <c r="C18" i="4"/>
  <c r="E17" i="4"/>
  <c r="C17" i="4"/>
  <c r="E16" i="4"/>
  <c r="C16" i="4"/>
  <c r="E15" i="4"/>
  <c r="C15" i="4"/>
  <c r="E14" i="4"/>
  <c r="C14" i="4"/>
  <c r="E13" i="4"/>
  <c r="C13" i="4"/>
  <c r="E12" i="4"/>
  <c r="C12" i="4"/>
  <c r="E11" i="4"/>
  <c r="C11" i="4"/>
  <c r="E10" i="4"/>
  <c r="C10" i="4"/>
  <c r="E9" i="4"/>
  <c r="C9" i="4"/>
  <c r="E8" i="4"/>
  <c r="C8" i="4"/>
  <c r="E7" i="4"/>
  <c r="C7" i="4"/>
  <c r="E6" i="4"/>
  <c r="C6" i="4"/>
  <c r="E5" i="4"/>
  <c r="C5" i="4"/>
  <c r="E4" i="4"/>
  <c r="C4" i="4"/>
  <c r="E3" i="4"/>
  <c r="C3" i="4"/>
  <c r="E2" i="4"/>
  <c r="C2" i="4"/>
  <c r="B23" i="5" l="1"/>
  <c r="M3" i="5"/>
  <c r="M2" i="5"/>
  <c r="M4" i="5" s="1"/>
  <c r="M10" i="5" s="1"/>
  <c r="M15" i="5" s="1"/>
  <c r="N3" i="5"/>
  <c r="N2" i="5"/>
  <c r="N4" i="5" s="1"/>
  <c r="N10" i="5" s="1"/>
  <c r="N15" i="5" s="1"/>
  <c r="O3" i="5"/>
  <c r="O2" i="5"/>
  <c r="O4" i="5" s="1"/>
  <c r="O10" i="5" s="1"/>
  <c r="O15" i="5" s="1"/>
  <c r="P3" i="5"/>
  <c r="P2" i="5"/>
  <c r="P4" i="5" s="1"/>
  <c r="P10" i="5" s="1"/>
  <c r="P15" i="5" s="1"/>
  <c r="B6" i="5"/>
  <c r="M16" i="5" s="1"/>
  <c r="G6" i="5"/>
  <c r="N16" i="5" s="1"/>
  <c r="B16" i="5"/>
  <c r="O16" i="5" s="1"/>
  <c r="G16" i="5"/>
  <c r="P16" i="5" s="1"/>
  <c r="P17" i="5" l="1"/>
  <c r="O17" i="5"/>
  <c r="N17" i="5"/>
  <c r="M17" i="5"/>
  <c r="G18" i="5"/>
  <c r="G17" i="5"/>
  <c r="G19" i="5" s="1"/>
  <c r="B18" i="5"/>
  <c r="B17" i="5"/>
  <c r="B19" i="5" s="1"/>
  <c r="G8" i="5"/>
  <c r="G7" i="5"/>
  <c r="G9" i="5" s="1"/>
  <c r="B8" i="5"/>
  <c r="B7" i="5"/>
  <c r="B9" i="5" s="1"/>
  <c r="B26" i="5"/>
  <c r="B28" i="5" l="1"/>
  <c r="B27" i="5"/>
  <c r="B29" i="5" s="1"/>
</calcChain>
</file>

<file path=xl/sharedStrings.xml><?xml version="1.0" encoding="utf-8"?>
<sst xmlns="http://schemas.openxmlformats.org/spreadsheetml/2006/main" count="687" uniqueCount="437">
  <si>
    <t>people6</t>
  </si>
  <si>
    <t>people10</t>
  </si>
  <si>
    <t>people14</t>
  </si>
  <si>
    <t>people20</t>
  </si>
  <si>
    <t>half true</t>
  </si>
  <si>
    <t>dominik</t>
  </si>
  <si>
    <t>sven</t>
  </si>
  <si>
    <t>sum</t>
  </si>
  <si>
    <t>N</t>
  </si>
  <si>
    <t>Po</t>
  </si>
  <si>
    <t>Pe</t>
  </si>
  <si>
    <t>data from all attempts</t>
  </si>
  <si>
    <t>Kappa</t>
  </si>
  <si>
    <t>sum_true</t>
  </si>
  <si>
    <t>sum_data</t>
  </si>
  <si>
    <t>accuracy</t>
  </si>
  <si>
    <t>OVERALL</t>
  </si>
  <si>
    <t>prompt</t>
  </si>
  <si>
    <t>answer</t>
  </si>
  <si>
    <t>validity</t>
  </si>
  <si>
    <t>note</t>
  </si>
  <si>
    <t>validity_ds</t>
  </si>
  <si>
    <t>What is Saša Škrtić's first name?</t>
  </si>
  <si>
    <t>Saša Škrtić's first name is Saša.</t>
  </si>
  <si>
    <t>What is Saša Škrtić's last name?</t>
  </si>
  <si>
    <t>Saša Škrtić's last name is Škrtić.</t>
  </si>
  <si>
    <t>What is Saša Škrtić's age?</t>
  </si>
  <si>
    <t>I don't have information on Saša Škrtić's current age.</t>
  </si>
  <si>
    <t>What is Saša Škrtić's gender?</t>
  </si>
  <si>
    <t>Saša Škrtić is male.</t>
  </si>
  <si>
    <t>List all Saša Škrtić's friends.</t>
  </si>
  <si>
    <t>I couldn't find any information about Saša Škrtić's friends, but I can</t>
  </si>
  <si>
    <t>How many friends does Saša Škrtić have?</t>
  </si>
  <si>
    <t>I don't have information on Saša Škrtić's friends.</t>
  </si>
  <si>
    <t>What is Duje Ravlić's first name?</t>
  </si>
  <si>
    <t>Duje Ravlić's first name is Duje.</t>
  </si>
  <si>
    <t>What is Duje Ravlić's last name?</t>
  </si>
  <si>
    <t>Duje Ravlić's last name is Ravlić.</t>
  </si>
  <si>
    <t>What is Duje Ravlić's age?</t>
  </si>
  <si>
    <t xml:space="preserve">Duje Ravlić was born on July 17, 1988, which makes him </t>
  </si>
  <si>
    <t>invents information</t>
  </si>
  <si>
    <t>What is Duje Ravlić's gender?</t>
  </si>
  <si>
    <t>Duje Ravlić is male.</t>
  </si>
  <si>
    <t>List all Duje Ravlić's friends.</t>
  </si>
  <si>
    <t>I couldn't find any information about Duje Ravlić's friends, but I can tell you</t>
  </si>
  <si>
    <t>How many friends does Duje Ravlić have?</t>
  </si>
  <si>
    <t>Unfortunately, I couldn't find any information on the number of friends Duje Ravlić has.</t>
  </si>
  <si>
    <t>What is Eduard Tutić's first name?</t>
  </si>
  <si>
    <t>Eduard Tutić's first name is Eduard.</t>
  </si>
  <si>
    <t>What is Eduard Tutić's last name?</t>
  </si>
  <si>
    <t>Eduard Tutić's last name is Tutić.</t>
  </si>
  <si>
    <t>What is Eduard Tutić's age?</t>
  </si>
  <si>
    <t>Eduard Tutić was born on 21 May 1994, making him 30</t>
  </si>
  <si>
    <t>What is Eduard Tutić's gender?</t>
  </si>
  <si>
    <t>Eduard Tutić is male.</t>
  </si>
  <si>
    <t>List all Eduard Tutić's friends.</t>
  </si>
  <si>
    <t>I couldn't find any information about Eduard Tutić's friends.</t>
  </si>
  <si>
    <t>How many friends does Eduard Tutić have?</t>
  </si>
  <si>
    <t>I couldn't find any specific information on Eduard Tutić's number of friends.</t>
  </si>
  <si>
    <t>What is Jagoda Draženović's first name?</t>
  </si>
  <si>
    <t>Jagoda Draženović's first name is Jagoda.</t>
  </si>
  <si>
    <t>What is Jagoda Draženović's last name?</t>
  </si>
  <si>
    <t>Jagoda Draženović's last name is Draženović.</t>
  </si>
  <si>
    <t>What is Jagoda Draženović's age?</t>
  </si>
  <si>
    <t>I couldn't find any information on Jagoda Draženović's age.</t>
  </si>
  <si>
    <t>What is Jagoda Draženović's gender?</t>
  </si>
  <si>
    <t>Jagoda Draženović is female.</t>
  </si>
  <si>
    <t>List all Jagoda Draženović's friends.</t>
  </si>
  <si>
    <t>I couldn't find any information about Jagoda Draženović's friends.</t>
  </si>
  <si>
    <t>How many friends does Jagoda Draženović have?</t>
  </si>
  <si>
    <t>I couldn't find any information on Jagoda Draženović's number of friends.</t>
  </si>
  <si>
    <t>What is Monika Rimac's first name?</t>
  </si>
  <si>
    <t>Monika Rimac's first name is Monika.</t>
  </si>
  <si>
    <t>What is Monika Rimac's last name?</t>
  </si>
  <si>
    <t>Her last name is Rimac.</t>
  </si>
  <si>
    <t>What is Monika Rimac's age?</t>
  </si>
  <si>
    <t>I couldn't find any information on a person named Monika Rimac, but Rimac Automobili</t>
  </si>
  <si>
    <t>why is age so bothersome...?</t>
  </si>
  <si>
    <t>What is Monika Rimac's gender?</t>
  </si>
  <si>
    <t>Monika Rimac is a female.</t>
  </si>
  <si>
    <t>List all Monika Rimac's friends.</t>
  </si>
  <si>
    <t>I couldn't find any information about Monika Rimac's friends. However, I found that Mon</t>
  </si>
  <si>
    <t>How many friends does Monika Rimac have?</t>
  </si>
  <si>
    <t>I couldn't find any information on Monika Rimac's personal life, including the number of friends</t>
  </si>
  <si>
    <t>What is Mia Popić's first name?</t>
  </si>
  <si>
    <t>Mia Popić's first name is Mia.</t>
  </si>
  <si>
    <t>What is Mia Popić's last name?</t>
  </si>
  <si>
    <t>Mia Popić's last name is Popić.</t>
  </si>
  <si>
    <t>What is Mia Popić's age?</t>
  </si>
  <si>
    <t>I couldn't find any information on Mia Popić's age.</t>
  </si>
  <si>
    <t>What is Mia Popić's gender?</t>
  </si>
  <si>
    <t>Mia Popić is female.</t>
  </si>
  <si>
    <t>List all Mia Popić's friends.</t>
  </si>
  <si>
    <t>I couldn't find any information about Mia Popić's friends.</t>
  </si>
  <si>
    <t>How many friends does Mia Popić have?</t>
  </si>
  <si>
    <t>Mia Popić has one friend.</t>
  </si>
  <si>
    <t>same</t>
  </si>
  <si>
    <t>What is Saša Škrtićs first name?</t>
  </si>
  <si>
    <t>Saša Škrtićs first name is Saša.</t>
  </si>
  <si>
    <t>What is Saša Škrtićs last name?</t>
  </si>
  <si>
    <t>Saša Škrtićs last name is Škrtić.</t>
  </si>
  <si>
    <t>What is Saša Škrtićs age?</t>
  </si>
  <si>
    <t>I dont have information on Saša Škrtićs current age.</t>
  </si>
  <si>
    <t>What is Saša Škrtićs gender?</t>
  </si>
  <si>
    <t>List all Saša Škrtićs friends.</t>
  </si>
  <si>
    <t>I couldnt find any information about Saša Škrtićs friends, but it appears</t>
  </si>
  <si>
    <t>Saša Škrtić has 4 friends.</t>
  </si>
  <si>
    <t>What is Duje Ravlićs first name?</t>
  </si>
  <si>
    <t>Duje Ravlićs first name is Duje.</t>
  </si>
  <si>
    <t>What is Duje Ravlićs last name?</t>
  </si>
  <si>
    <t>Duje Ravlićs last name is Ravlić.</t>
  </si>
  <si>
    <t>What is Duje Ravlićs age?</t>
  </si>
  <si>
    <t>Duje Ravlić was born on April 17, 1988, making him 36</t>
  </si>
  <si>
    <t>What is Duje Ravlićs gender?</t>
  </si>
  <si>
    <t>List all Duje Ravlićs friends.</t>
  </si>
  <si>
    <t>I couldnt find any information on Duje Ravlićs friends, but I do know that</t>
  </si>
  <si>
    <t>Duje Ravlić has 3 friends.</t>
  </si>
  <si>
    <t>What is Eduard Tutićs first name?</t>
  </si>
  <si>
    <t>Eduard Tutićs first name is Eduard.</t>
  </si>
  <si>
    <t>What is Eduard Tutićs last name?</t>
  </si>
  <si>
    <t>Eduard Tutićs last name is Tutić.</t>
  </si>
  <si>
    <t>What is Eduard Tutićs age?</t>
  </si>
  <si>
    <t>Eduard Tutić was born on July 21, 1999.</t>
  </si>
  <si>
    <t>What is Eduard Tutićs gender?</t>
  </si>
  <si>
    <t>List all Eduard Tutićs friends.</t>
  </si>
  <si>
    <t>I couldnt find any information on Eduard Tutićs friends, but I can tell you</t>
  </si>
  <si>
    <t>Eduard Tutić has 4 friends.</t>
  </si>
  <si>
    <t>What is Zoran Goretas first name?</t>
  </si>
  <si>
    <t>I couldnt find any information on a person named Zoran Goreta, so Im unable to</t>
  </si>
  <si>
    <t>What is Zoran Goretas last name?</t>
  </si>
  <si>
    <t>Zoran Goretas last name is Goreta.</t>
  </si>
  <si>
    <t>What is Zoran Goretas age?</t>
  </si>
  <si>
    <t>I couldnt find any information on a person named Zoran Goreta, but assuming its a</t>
  </si>
  <si>
    <t>What is Zoran Goretas gender?</t>
  </si>
  <si>
    <t>Zoran Goreta is male.</t>
  </si>
  <si>
    <t>List all Zoran Goretas friends.</t>
  </si>
  <si>
    <t>I couldnt find any information about Zoran Goretas friends, but I found that Eduard</t>
  </si>
  <si>
    <t>How many friends does Zoran Goreta have?</t>
  </si>
  <si>
    <t>Unfortunately, I dont have any information about Zoran Goretas friends.</t>
  </si>
  <si>
    <t>What is Ivo Čelinas first name?</t>
  </si>
  <si>
    <t>Ivo Čelinas first name is Ivo.</t>
  </si>
  <si>
    <t>What is Ivo Čelinas last name?</t>
  </si>
  <si>
    <t>Ivo Čelinas last name is Čelina.</t>
  </si>
  <si>
    <t>What is Ivo Čelinas age?</t>
  </si>
  <si>
    <t>I couldnt find any information on Ivo Čelinas age.</t>
  </si>
  <si>
    <t>What is Ivo Čelinas gender?</t>
  </si>
  <si>
    <t>Ivo Čelina is male.</t>
  </si>
  <si>
    <t>List all Ivo Čelinas friends.</t>
  </si>
  <si>
    <t>I couldnt find any information on Ivo Čelinas friends, but it appears that I</t>
  </si>
  <si>
    <t>How many friends does Ivo Čelina have?</t>
  </si>
  <si>
    <t>Ivo Čelina has 3 friends.</t>
  </si>
  <si>
    <t>What is Jagoda Draženovićs first name?</t>
  </si>
  <si>
    <t>Jagoda Draženovićs first name is Jagoda.</t>
  </si>
  <si>
    <t>What is Jagoda Draženovićs last name?</t>
  </si>
  <si>
    <t>Jagoda Draženovićs last name is Draženović.</t>
  </si>
  <si>
    <t>What is Jagoda Draženovićs age?</t>
  </si>
  <si>
    <t>I couldnt find the current age of Jagoda Draženović.</t>
  </si>
  <si>
    <t>What is Jagoda Draženovićs gender?</t>
  </si>
  <si>
    <t>List all Jagoda Draženovićs friends.</t>
  </si>
  <si>
    <t>I couldnt find any information on Jagoda Draženovićs friends, but she is known</t>
  </si>
  <si>
    <t>I couldnt find any information on the number of friends Jagoda Draženović has.</t>
  </si>
  <si>
    <t>What is Monika Rimacs first name?</t>
  </si>
  <si>
    <t>Monika Rimacs first name is not mentioned in the provided information, however, the answer is</t>
  </si>
  <si>
    <t>What is Monika Rimacs last name?</t>
  </si>
  <si>
    <t>What is Monika Rimacs age?</t>
  </si>
  <si>
    <t>I couldnt find any information on Monika Rimacs age.</t>
  </si>
  <si>
    <t>What is Monika Rimacs gender?</t>
  </si>
  <si>
    <t>Monika Rimac is female.</t>
  </si>
  <si>
    <t>List all Monika Rimacs friends.</t>
  </si>
  <si>
    <t>I couldnt find any information about Monika Rimacs friends, but Eduard Tutić</t>
  </si>
  <si>
    <t>Monika Rimac, the Croatian entrepreneur and inventor, has two friends.</t>
  </si>
  <si>
    <t>goddamnit</t>
  </si>
  <si>
    <t>What is Mia Popićs first name?</t>
  </si>
  <si>
    <t>I couldnt find any information on a person named Mia Popić.</t>
  </si>
  <si>
    <t>What is Mia Popićs last name?</t>
  </si>
  <si>
    <t>Mia Popićs last name is Popić.</t>
  </si>
  <si>
    <t>What is Mia Popićs age?</t>
  </si>
  <si>
    <t>Mia Popić is 18 years old.</t>
  </si>
  <si>
    <t>finally...</t>
  </si>
  <si>
    <t>What is Mia Popićs gender?</t>
  </si>
  <si>
    <t>List all Mia Popićs friends.</t>
  </si>
  <si>
    <t>I couldnt find any information on Mia Popićs friends.</t>
  </si>
  <si>
    <t>I dont have information on Mia Popićs friends.</t>
  </si>
  <si>
    <t>What is Nada Sudars first name?</t>
  </si>
  <si>
    <t>I couldnt find any information on a person named Nada Sudar, so I can only provide</t>
  </si>
  <si>
    <t>What is Nada Sudars last name?</t>
  </si>
  <si>
    <t>Her last name is Sudar.</t>
  </si>
  <si>
    <t>What is Nada Sudars age?</t>
  </si>
  <si>
    <t>I couldnt find any information on Nada Sudars age.</t>
  </si>
  <si>
    <t>What is Nada Sudars gender?</t>
  </si>
  <si>
    <t>Nada Sudar is female.</t>
  </si>
  <si>
    <t>List all Nada Sudars friends.</t>
  </si>
  <si>
    <t>I couldnt find any information about Nada Sudars friends, but I can tell you that</t>
  </si>
  <si>
    <t>How many friends does Nada Sudar have?</t>
  </si>
  <si>
    <t>I couldnt find any information on Nada Sudars personal life, including the number of friends</t>
  </si>
  <si>
    <t>What is Mirjam Devčićs first name?</t>
  </si>
  <si>
    <t>I couldnt find any information on Mirjam Devčić, including her first name.</t>
  </si>
  <si>
    <t>What is Mirjam Devčićs last name?</t>
  </si>
  <si>
    <t>Mirjam Devčićs last name is Devčić.</t>
  </si>
  <si>
    <t>What is Mirjam Devčićs age?</t>
  </si>
  <si>
    <t>I couldnt find any information on Mirjam Devčićs age.</t>
  </si>
  <si>
    <t>What is Mirjam Devčićs gender?</t>
  </si>
  <si>
    <t>Mirjam Devčić is female.</t>
  </si>
  <si>
    <t>List all Mirjam Devčićs friends.</t>
  </si>
  <si>
    <t>I couldnt find any information on Mirjam Devčićs friends, but she was married to</t>
  </si>
  <si>
    <t>How many friends does Mirjam Devčić have?</t>
  </si>
  <si>
    <t>Mirjam Devčić has 2 friends.</t>
  </si>
  <si>
    <t>Škrtić.</t>
  </si>
  <si>
    <t>information is true, but not a full sentence</t>
  </si>
  <si>
    <t>I couldn't find the current age of Saša Škrtić.</t>
  </si>
  <si>
    <t>I couldn't find any information about Saša Škrtić's friends, but I do</t>
  </si>
  <si>
    <t>Unfortunately, I don't have any information on Saša Škrtić's friends.</t>
  </si>
  <si>
    <t>Duje's first name is Duje.</t>
  </si>
  <si>
    <t>Duje Ravlić was born on April 17, 1990, which would make him</t>
  </si>
  <si>
    <t>I couldn't find any information about Duje Ravlić's friends. However, I found that</t>
  </si>
  <si>
    <t>Unfortunately, I don't have information on Duje Ravlić's friends.</t>
  </si>
  <si>
    <t>Eduard Tutić's first name is not specified in the given information.</t>
  </si>
  <si>
    <t>I don't have information on Eduard Tutić's current age.</t>
  </si>
  <si>
    <t>I couldn't find any information about Eduard Tutić's friends, but I found a list</t>
  </si>
  <si>
    <t>Eduard Tutić reportedly has 6 friends.</t>
  </si>
  <si>
    <t>What is Zoran Goreta's first name?</t>
  </si>
  <si>
    <t>I couldn't find any information on a person named Zoran Goreta, so I couldn't determine</t>
  </si>
  <si>
    <t>What is Zoran Goreta's last name?</t>
  </si>
  <si>
    <t>Goreta's last name is Zoran.</t>
  </si>
  <si>
    <t>Questions like this make me go back and recheck my code</t>
  </si>
  <si>
    <t>What is Zoran Goreta's age?</t>
  </si>
  <si>
    <t>I couldn't find any information on Zoran Goreta's age.</t>
  </si>
  <si>
    <t>What is Zoran Goreta's gender?</t>
  </si>
  <si>
    <t>List all Zoran Goreta's friends.</t>
  </si>
  <si>
    <t>I couldn't find any information on Zoran Goreta's friends, but it appears he is associated</t>
  </si>
  <si>
    <t>Unfortunately, I don't have any information on Zoran Goreta's friends.</t>
  </si>
  <si>
    <t>What is Ivo Čelina's first name?</t>
  </si>
  <si>
    <t>Ivo Čelina's first name is Ivo.</t>
  </si>
  <si>
    <t>What is Ivo Čelina's last name?</t>
  </si>
  <si>
    <t>Ivo Čelina's last name is Čelina.</t>
  </si>
  <si>
    <t>What is Ivo Čelina's age?</t>
  </si>
  <si>
    <t>I don't have information on Ivo Čelina's age.</t>
  </si>
  <si>
    <t>What is Ivo Čelina's gender?</t>
  </si>
  <si>
    <t>List all Ivo Čelina's friends.</t>
  </si>
  <si>
    <t>I couldn't find any information on Ivo Čelina's friends.</t>
  </si>
  <si>
    <t>Ivo Čelina has 0 friends.</t>
  </si>
  <si>
    <t>What is Gordan Lucić's first name?</t>
  </si>
  <si>
    <t>Gordan's first name is not explicitly provided in the given information.</t>
  </si>
  <si>
    <t>What is Gordan Lucić's last name?</t>
  </si>
  <si>
    <t>Gordan Lucić's last name is Lucić.</t>
  </si>
  <si>
    <t>What is Gordan Lucić's age?</t>
  </si>
  <si>
    <t>I couldn't find any information on a person named Gordan Lucić, but if you're referring</t>
  </si>
  <si>
    <t>What is Gordan Lucić's gender?</t>
  </si>
  <si>
    <t>Gordan Lucić is male.</t>
  </si>
  <si>
    <t>List all Gordan Lucić's friends.</t>
  </si>
  <si>
    <t>I couldn't find any information on a person named Gordan Lucić, but I can tell you</t>
  </si>
  <si>
    <t>How many friends does Gordan Lucić have?</t>
  </si>
  <si>
    <t>I couldn't find any information on Gordon Lucić's friend count.</t>
  </si>
  <si>
    <t>What is Ljubomir Jurišić's first name?</t>
  </si>
  <si>
    <t>Ljubomir Jurišić's first name is Ljubomir.</t>
  </si>
  <si>
    <t>What is Ljubomir Jurišić's last name?</t>
  </si>
  <si>
    <t>Ljubomir Jurišić's last name is Jurišić.</t>
  </si>
  <si>
    <t>What is Ljubomir Jurišić's age?</t>
  </si>
  <si>
    <t>I couldn't find any information on Ljubomir Jurišić's age.</t>
  </si>
  <si>
    <t>What is Ljubomir Jurišić's gender?</t>
  </si>
  <si>
    <t>Ljubomir Jurišić is male.</t>
  </si>
  <si>
    <t>List all Ljubomir Jurišić's friends.</t>
  </si>
  <si>
    <t>I couldn't find any information about Ljubomir Jurišić's friends. However</t>
  </si>
  <si>
    <t>How many friends does Ljubomir Jurišić have?</t>
  </si>
  <si>
    <t>I couldn't find any information about the number of friends Ljubomir Jurišić</t>
  </si>
  <si>
    <t>Jagoda's first name is Draženović.</t>
  </si>
  <si>
    <t>Draženović.</t>
  </si>
  <si>
    <t>I couldn't find any information on Jagoda Draženović's current age.</t>
  </si>
  <si>
    <t>Jagoda Draženović has 4 friends.</t>
  </si>
  <si>
    <t>Monika Rimac's last name is Rimac.</t>
  </si>
  <si>
    <t>I couldn't find any information on a person named Monika Rimac, but I can tell you</t>
  </si>
  <si>
    <t>I couldn't find any information about Monika Rimac's friends, but I can tell you that</t>
  </si>
  <si>
    <t>I couldn't find any information on a person named Mia Popić.</t>
  </si>
  <si>
    <t>I couldn't find the current age of Mia Popić.</t>
  </si>
  <si>
    <t>I couldn't find any information about Mia Popić's friends. The provided list appears to be a</t>
  </si>
  <si>
    <t>Mia Popić has 6 friends.</t>
  </si>
  <si>
    <t>What is Nada Sudar's first name?</t>
  </si>
  <si>
    <t>Nada Sudar does not have a publicly available first name.</t>
  </si>
  <si>
    <t>What is Nada Sudar's last name?</t>
  </si>
  <si>
    <t>What is Nada Sudar's age?</t>
  </si>
  <si>
    <t>I couldn't find any information on Nada Sudar's age.</t>
  </si>
  <si>
    <t>What is Nada Sudar's gender?</t>
  </si>
  <si>
    <t>List all Nada Sudar's friends.</t>
  </si>
  <si>
    <t>Nada Sudar's friends include Antonija Salinović, Lea Grubić,</t>
  </si>
  <si>
    <t>answers like this make me have faith in my code</t>
  </si>
  <si>
    <t>I couldn't find any information on a person named Nada Sudar, but according to my knowledge</t>
  </si>
  <si>
    <t>What is Mirjam Devčić's first name?</t>
  </si>
  <si>
    <t>I couldn't find any information on Mirjam Devčić's first name.</t>
  </si>
  <si>
    <t>What is Mirjam Devčić's last name?</t>
  </si>
  <si>
    <t>Mirjam Devčić's last name is Devčić.</t>
  </si>
  <si>
    <t>What is Mirjam Devčić's age?</t>
  </si>
  <si>
    <t>I don't have information on Mirjam Devčić's age.</t>
  </si>
  <si>
    <t>What is Mirjam Devčić's gender?</t>
  </si>
  <si>
    <t>List all Mirjam Devčić's friends.</t>
  </si>
  <si>
    <t>I couldn't find any information about Mirjam Devčić's friends, but I can tell you</t>
  </si>
  <si>
    <t>Mirjam Devčić has 4 friends.</t>
  </si>
  <si>
    <t>What is Lea Grubić's first name?</t>
  </si>
  <si>
    <t>Lea Grubić's first name is Lea.</t>
  </si>
  <si>
    <t>What is Lea Grubić's last name?</t>
  </si>
  <si>
    <t>Lea Grubić's last name is Grubić.</t>
  </si>
  <si>
    <t>What is Lea Grubić's age?</t>
  </si>
  <si>
    <t xml:space="preserve">Lea Grubić was born on September 10, 1998, which makes her </t>
  </si>
  <si>
    <t>What is Lea Grubić's gender?</t>
  </si>
  <si>
    <t>Lea Grubić is female.</t>
  </si>
  <si>
    <t>List all Lea Grubić's friends.</t>
  </si>
  <si>
    <t>I couldn't find any information on Lea Grubić's friends, but I can tell you</t>
  </si>
  <si>
    <t>How many friends does Lea Grubić have?</t>
  </si>
  <si>
    <t>I couldn't find any information about Lea Grubić's number of friends.</t>
  </si>
  <si>
    <t>What is Antonija Salinović's first name?</t>
  </si>
  <si>
    <t>Antonija Salinović's first name is Antonija.</t>
  </si>
  <si>
    <t>What is Antonija Salinović's last name?</t>
  </si>
  <si>
    <t>Antonija Salinović's last name is Salinović.</t>
  </si>
  <si>
    <t>What is Antonija Salinović's age?</t>
  </si>
  <si>
    <t>I couldn't find any information on Antonija Salinović's age.</t>
  </si>
  <si>
    <t>What is Antonija Salinović's gender?</t>
  </si>
  <si>
    <t>Antonija Salinović is female.</t>
  </si>
  <si>
    <t>List all Antonija Salinović's friends.</t>
  </si>
  <si>
    <t>I couldn't find any information about Antonija Salinović's friends, but I can tell</t>
  </si>
  <si>
    <t>How many friends does Antonija Salinović have?</t>
  </si>
  <si>
    <t>Antonija Salinović has 5 friends.</t>
  </si>
  <si>
    <t>I couldn't find any information on a person named Saša Škrtić.</t>
  </si>
  <si>
    <t>I couldn't find the current age of Saša Škrtić, but as of my</t>
  </si>
  <si>
    <t>I couldn't find any information on Saša Škrtić's friends, but I can</t>
  </si>
  <si>
    <t>Saša Škrtić has 6 friends.</t>
  </si>
  <si>
    <t>Duje Ravlić was born on 21 January 1988, making him 36 years</t>
  </si>
  <si>
    <t>I couldn't find any information about Duje Ravlić's friends, but here is the list</t>
  </si>
  <si>
    <t>Duje Ravlić has 8 friends.</t>
  </si>
  <si>
    <t>Eduard Tutić is 17 years old.</t>
  </si>
  <si>
    <t>I couldn't find any information on Eduard Tutić's friends. The list provided earlier includes</t>
  </si>
  <si>
    <t>I couldn't find any information on Eduard Tutić's number of friends.</t>
  </si>
  <si>
    <t>I couldn't find any information on a person named Zoran Goreta, including their first name.</t>
  </si>
  <si>
    <t>Zoran Goreta's last name is Goreta.</t>
  </si>
  <si>
    <t>I couldn't find any information about Zoran Goreta's friends, but it appears that the list</t>
  </si>
  <si>
    <t>Zoran Goreta has 5 friends.</t>
  </si>
  <si>
    <t xml:space="preserve">Ivo Čelina was born on December 17, 1965, which makes him </t>
  </si>
  <si>
    <t>I couldn't find any information about Ivo Čelina's friends.</t>
  </si>
  <si>
    <t>Ivo Čelina has 6 friends.</t>
  </si>
  <si>
    <t>I couldn't find any information on a person named Gordan Lucić, could you please provide more</t>
  </si>
  <si>
    <t>Gordan Ljubičić is 27 years old.</t>
  </si>
  <si>
    <t>That's... not his name. Where did it even get that name?</t>
  </si>
  <si>
    <t>I couldn't find any information on Gordan Lucić's friends, but the list you provided includes</t>
  </si>
  <si>
    <t>Gordan Ljubičić has 8 friends.</t>
  </si>
  <si>
    <t>Again... not his name</t>
  </si>
  <si>
    <t>I couldn't find any information about Ljubomir Jurišić's friends, but</t>
  </si>
  <si>
    <t>Ljubomir Jurišić has 5 friends.</t>
  </si>
  <si>
    <t>What is Vladimir Svalina's first name?</t>
  </si>
  <si>
    <t>I couldn't find any information on a person named Vladimir Svalina, so I can only provide</t>
  </si>
  <si>
    <t>What is Vladimir Svalina's last name?</t>
  </si>
  <si>
    <t>Vladimir Svalina's last name is Svalina.</t>
  </si>
  <si>
    <t>What is Vladimir Svalina's age?</t>
  </si>
  <si>
    <t>I don't have information on Vladimir Svalina's age.</t>
  </si>
  <si>
    <t>What is Vladimir Svalina's gender?</t>
  </si>
  <si>
    <t>Vladimir Svalina is male.</t>
  </si>
  <si>
    <t>List all Vladimir Svalina's friends.</t>
  </si>
  <si>
    <t>I couldn't find any information about Vladimir Svalina's friends, but I can tell you that</t>
  </si>
  <si>
    <t>How many friends does Vladimir Svalina have?</t>
  </si>
  <si>
    <t>Vladimir Svalina has 7 friends.</t>
  </si>
  <si>
    <t>What is Tomislav Šoštarić's first name?</t>
  </si>
  <si>
    <t>Tomislav Šoštarić's first name is Tomislav.</t>
  </si>
  <si>
    <t>What is Tomislav Šoštarić's last name?</t>
  </si>
  <si>
    <t>Tomislav Šoštarić's last name is Šoštarić.</t>
  </si>
  <si>
    <t>What is Tomislav Šoštarić's age?</t>
  </si>
  <si>
    <t>I don't have information on Tomislav Šoštarić's age.</t>
  </si>
  <si>
    <t>What is Tomislav Šoštarić's gender?</t>
  </si>
  <si>
    <t>Tomislav Šoštarić is male.</t>
  </si>
  <si>
    <t>List all Tomislav Šoštarić's friends.</t>
  </si>
  <si>
    <t>I couldn't find any information about Tomislav Šoštarić's friends, but I can</t>
  </si>
  <si>
    <t>How many friends does Tomislav Šoštarić have?</t>
  </si>
  <si>
    <t>Tomislav Šoštarić has 4 friends.</t>
  </si>
  <si>
    <t>What is Nikola Prelošnjak's first name?</t>
  </si>
  <si>
    <t>Nikola Prelošnjak's first name is Nikola.</t>
  </si>
  <si>
    <t>What is Nikola Prelošnjak's last name?</t>
  </si>
  <si>
    <t>Nikola Prelošnjak's last name is Prelošnjak.</t>
  </si>
  <si>
    <t>What is Nikola Prelošnjak's age?</t>
  </si>
  <si>
    <t>I couldn't find any information on Nikola Prelošnjak's age, but he was born</t>
  </si>
  <si>
    <t>What is Nikola Prelošnjak's gender?</t>
  </si>
  <si>
    <t>Nikola Prelošnjak is male.</t>
  </si>
  <si>
    <t>List all Nikola Prelošnjak's friends.</t>
  </si>
  <si>
    <t>I couldn't find any information about Nikola Prelošnjak's friends, but it's known</t>
  </si>
  <si>
    <t>How many friends does Nikola Prelošnjak have?</t>
  </si>
  <si>
    <t>I couldn't find any information on Nikola Prelošnjak's number of friends.</t>
  </si>
  <si>
    <t>I couldn't find any information about Jagoda Draženović's friends, but here is the</t>
  </si>
  <si>
    <t>Jagoda Draženović has 7 friends.</t>
  </si>
  <si>
    <t>Monika Rimac's first name is not provided, but her last name is Monika Rimac</t>
  </si>
  <si>
    <t>Monika Rimac is the last name of the founder of Rimac Automobili.</t>
  </si>
  <si>
    <t>I don't have the most current information on Monika Rimac's age.</t>
  </si>
  <si>
    <t>I couldn't find any information about Monika Rimac's friends, but the names Lea Gr</t>
  </si>
  <si>
    <t>Nada Sudar's first name is Nada.</t>
  </si>
  <si>
    <t>Nada Sudar's last name is Sudar.</t>
  </si>
  <si>
    <t>Nada Sudar is a female.</t>
  </si>
  <si>
    <t>I couldn't find any information on Nada Sudar, but I can list the names provided earlier</t>
  </si>
  <si>
    <t>I couldn't find any information on Mirjam Devčić, including her first name.</t>
  </si>
  <si>
    <t>I couldn't find any information on Mirjam Devčić's age.</t>
  </si>
  <si>
    <t>I couldn't find any information on Mirjam Devčić's friends.</t>
  </si>
  <si>
    <t>Mirjam Devčić has six friends.</t>
  </si>
  <si>
    <t xml:space="preserve">Lea Grubić was born on May 1, 1993, which makes her </t>
  </si>
  <si>
    <t>Very close, but no</t>
  </si>
  <si>
    <t>I couldn't find any information about a person named Lea Grubić, however the list provided</t>
  </si>
  <si>
    <t>I couldn't find any information on the number of friends Lea Grubić has.</t>
  </si>
  <si>
    <t>I couldn't find any information on Antonija Salinović's friends.</t>
  </si>
  <si>
    <t>Unfortunately, I don't have any information about Antonija Salinović's friends.</t>
  </si>
  <si>
    <t>What is Cvijeta Svetličić's first name?</t>
  </si>
  <si>
    <t>I couldn't find any information on a person named Cvijeta Svetličić, but the</t>
  </si>
  <si>
    <t>What is Cvijeta Svetličić's last name?</t>
  </si>
  <si>
    <t>Cvijeta Svetličić's last name is Svetličić.</t>
  </si>
  <si>
    <t>What is Cvijeta Svetličić's age?</t>
  </si>
  <si>
    <t>I couldn't find any information on Cvijeta Svetličić's age.</t>
  </si>
  <si>
    <t>What is Cvijeta Svetličić's gender?</t>
  </si>
  <si>
    <t>Cvijeta Svetličić is female.</t>
  </si>
  <si>
    <t>List all Cvijeta Svetličić's friends.</t>
  </si>
  <si>
    <t>I couldn't find any information about Cvijeta Svetličić's friends. The provided list</t>
  </si>
  <si>
    <t>How many friends does Cvijeta Svetličić have?</t>
  </si>
  <si>
    <t>I couldn't find the exact number of friends Cvijeta Svetličić has, but she</t>
  </si>
  <si>
    <t>What is Irena Jurilj's first name?</t>
  </si>
  <si>
    <t>Irena is not associated with the name Jurilj, however, Irena Jurilj is</t>
  </si>
  <si>
    <t>What is Irena Jurilj's last name?</t>
  </si>
  <si>
    <t>Irena Jurilj's last name is Jurilj.</t>
  </si>
  <si>
    <t>What is Irena Jurilj's age?</t>
  </si>
  <si>
    <t>I couldn't find any information on Irena Jurilj's age.</t>
  </si>
  <si>
    <t>What is Irena Jurilj's gender?</t>
  </si>
  <si>
    <t>Irena Jurilj is female.</t>
  </si>
  <si>
    <t>List all Irena Jurilj's friends.</t>
  </si>
  <si>
    <t>I don't have any information about Irena Jurilj's friends.</t>
  </si>
  <si>
    <t>How many friends does Irena Jurilj have?</t>
  </si>
  <si>
    <t>Irena Jurilj has 3 friends.</t>
  </si>
  <si>
    <t>What is Stela Mišković's first name?</t>
  </si>
  <si>
    <t>I couldn't find any information on a person named Stela Mišković, so I'm</t>
  </si>
  <si>
    <t>What is Stela Mišković's last name?</t>
  </si>
  <si>
    <t>Stela Mišković's last name is Mišković.</t>
  </si>
  <si>
    <t>What is Stela Mišković's age?</t>
  </si>
  <si>
    <t>I couldn't find any information on Stela Mišković's age, but she was born</t>
  </si>
  <si>
    <t>What is Stela Mišković's gender?</t>
  </si>
  <si>
    <t>Stela Mišković is female.</t>
  </si>
  <si>
    <t>List all Stela Mišković's friends.</t>
  </si>
  <si>
    <t>I couldn't find any information on Stela Mišković's friends.</t>
  </si>
  <si>
    <t>How many friends does Stela Mišković have?</t>
  </si>
  <si>
    <t>I couldn't find any information on Stela Mišković's number of friends.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</si>
</sst>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TRUE&quot;;&quot;TRUE&quot;;&quot;FALSE&quot;"/>
  </numFmts>
  <fonts count="3">
    <font>
      <sz val="11"/>
      <color theme="1"/>
      <name val="Calibri"/>
      <family val="2"/>
      <charset val="1"/>
    </font>
    <font>
      <b/>
      <sz val="11"/>
      <name val="Calibri"/>
      <charset val="1"/>
    </font>
    <font>
      <b/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0" fontId="1" fillId="0" borderId="1" xfId="0" applyFont="1" applyBorder="1" applyAlignment="1">
      <alignment horizontal="center" vertical="top"/>
    </xf>
    <xf numFmtId="0" fontId="2" fillId="0" borderId="0" xfId="0" applyFont="1" applyAlignment="1">
      <alignment horizontal="center" wrapText="1"/>
    </xf>
    <xf numFmtId="164" fontId="0" fillId="0" borderId="0" xfId="0" applyNumberFormat="1" applyAlignment="1">
      <alignment wrapText="1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A58EC-63B1-4230-950A-B37D46DAF834}">
  <dimension ref="A1:P29"/>
  <sheetViews>
    <sheetView tabSelected="1" workbookViewId="0">
      <selection activeCell="M23" sqref="M23"/>
    </sheetView>
  </sheetViews>
  <sheetFormatPr defaultRowHeight="15"/>
  <cols>
    <col min="1" max="1" width="9.28515625" bestFit="1" customWidth="1"/>
    <col min="2" max="2" width="12.5703125" bestFit="1" customWidth="1"/>
    <col min="3" max="3" width="6.28515625" bestFit="1" customWidth="1"/>
    <col min="4" max="4" width="8.5703125" bestFit="1" customWidth="1"/>
    <col min="6" max="6" width="9.28515625" bestFit="1" customWidth="1"/>
    <col min="7" max="7" width="12.5703125" bestFit="1" customWidth="1"/>
    <col min="8" max="8" width="6.28515625" bestFit="1" customWidth="1"/>
    <col min="9" max="9" width="8.5703125" bestFit="1" customWidth="1"/>
    <col min="12" max="12" width="9.7109375" bestFit="1" customWidth="1"/>
    <col min="13" max="13" width="21" bestFit="1" customWidth="1"/>
    <col min="14" max="14" width="15.28515625" bestFit="1" customWidth="1"/>
    <col min="15" max="16" width="12.5703125" bestFit="1" customWidth="1"/>
  </cols>
  <sheetData>
    <row r="1" spans="1:16">
      <c r="A1" t="s">
        <v>0</v>
      </c>
      <c r="F1" t="s">
        <v>1</v>
      </c>
      <c r="M1" t="s">
        <v>0</v>
      </c>
      <c r="N1" t="s">
        <v>1</v>
      </c>
      <c r="O1" t="s">
        <v>2</v>
      </c>
      <c r="P1" t="s">
        <v>3</v>
      </c>
    </row>
    <row r="2" spans="1:16">
      <c r="B2" t="b">
        <v>1</v>
      </c>
      <c r="C2" t="b">
        <v>0</v>
      </c>
      <c r="D2" t="s">
        <v>4</v>
      </c>
      <c r="G2" t="b">
        <v>1</v>
      </c>
      <c r="H2" t="b">
        <v>0</v>
      </c>
      <c r="I2" t="s">
        <v>4</v>
      </c>
      <c r="L2" t="s">
        <v>5</v>
      </c>
      <c r="M2">
        <f ca="1">B3+B4+B5</f>
        <v>19</v>
      </c>
      <c r="N2">
        <f ca="1">G3+G4+G5</f>
        <v>32</v>
      </c>
      <c r="O2">
        <f ca="1">B13+B14+B15</f>
        <v>40</v>
      </c>
      <c r="P2">
        <f ca="1">G13+G14+G15</f>
        <v>64</v>
      </c>
    </row>
    <row r="3" spans="1:16">
      <c r="A3" t="b">
        <v>1</v>
      </c>
      <c r="B3">
        <f ca="1">COUNTIFS(INDIRECT(A1 &amp; "!$C$2:$C$86"),TRUE, INDIRECT(A1 &amp; "!$E$2:$E$86"),TRUE)</f>
        <v>19</v>
      </c>
      <c r="C3">
        <f ca="1">COUNTIFS(INDIRECT(A1 &amp; "!$C$2:$C$86"),TRUE, INDIRECT(A1 &amp; "!$E$2:$E$86"),FALSE)</f>
        <v>0</v>
      </c>
      <c r="D3">
        <f ca="1">COUNTIFS(INDIRECT(A1 &amp; "!$C$2:$C$86"),TRUE, INDIRECT(A1 &amp; "!$E$2:$E$86"),"half true")</f>
        <v>0</v>
      </c>
      <c r="F3" t="b">
        <v>1</v>
      </c>
      <c r="G3">
        <f ca="1">COUNTIFS(INDIRECT(F1 &amp; "!$C$2:$C$86"),TRUE, INDIRECT(F1 &amp; "!$E$2:$E$86"),TRUE)</f>
        <v>31</v>
      </c>
      <c r="H3">
        <f ca="1">COUNTIFS(INDIRECT(F1 &amp; "!$C$2:$C$86"),TRUE, INDIRECT(F1 &amp; "!$E$2:$E$86"),FALSE)</f>
        <v>0</v>
      </c>
      <c r="I3">
        <f ca="1">COUNTIFS(INDIRECT(F1 &amp; "!$C$2:$C$86"),TRUE, INDIRECT(F1 &amp; "!$E$2:$E$86"),"half true")</f>
        <v>0</v>
      </c>
      <c r="L3" t="s">
        <v>6</v>
      </c>
      <c r="M3">
        <f ca="1">SUM(B3:D3)</f>
        <v>19</v>
      </c>
      <c r="N3">
        <f ca="1">SUM(G3:I3)</f>
        <v>31</v>
      </c>
      <c r="O3">
        <f ca="1">SUM(B13:D13)</f>
        <v>40</v>
      </c>
      <c r="P3">
        <f ca="1">SUM(G13:I13)</f>
        <v>62</v>
      </c>
    </row>
    <row r="4" spans="1:16">
      <c r="A4" t="b">
        <v>0</v>
      </c>
      <c r="B4">
        <f ca="1">COUNTIFS(INDIRECT(A1 &amp; "!$C$2:$C$86"),FALSE, INDIRECT(A1 &amp; "!$E$2:$E$86"),TRUE)</f>
        <v>0</v>
      </c>
      <c r="C4">
        <f ca="1">COUNTIFS(INDIRECT(A1 &amp; "!$C$2:$C$86"),FALSE, INDIRECT(A1 &amp; "!$E$2:$E$86"),FALSE)</f>
        <v>17</v>
      </c>
      <c r="D4">
        <f ca="1">COUNTIFS(INDIRECT(A1 &amp; "!$C$2:$C$86"),FALSE, INDIRECT(A1 &amp; "!$E$2:$E$86"),"half true")</f>
        <v>0</v>
      </c>
      <c r="F4" t="b">
        <v>0</v>
      </c>
      <c r="G4">
        <f ca="1">COUNTIFS(INDIRECT(F1 &amp; "!$C$2:$C$86"),FALSE, INDIRECT(F1 &amp; "!$E$2:$E$86"),TRUE)</f>
        <v>1</v>
      </c>
      <c r="H4">
        <f ca="1">COUNTIFS(INDIRECT(F1 &amp; "!$C$2:$C$86"),FALSE, INDIRECT(F1 &amp; "!$E$2:$E$86"),FALSE)</f>
        <v>28</v>
      </c>
      <c r="I4">
        <f ca="1">COUNTIFS(INDIRECT(F1 &amp; "!$C$2:$C$86"),FALSE, INDIRECT(F1 &amp; "!$E$2:$E$86"),"half true")</f>
        <v>0</v>
      </c>
      <c r="L4" t="s">
        <v>7</v>
      </c>
      <c r="M4">
        <f ca="1">SUM(M2:M3)</f>
        <v>38</v>
      </c>
      <c r="N4">
        <f t="shared" ref="N4:T4" ca="1" si="0">SUM(N2:N3)</f>
        <v>63</v>
      </c>
      <c r="O4">
        <f t="shared" ca="1" si="0"/>
        <v>80</v>
      </c>
      <c r="P4">
        <f t="shared" ca="1" si="0"/>
        <v>126</v>
      </c>
    </row>
    <row r="5" spans="1:16">
      <c r="A5" t="s">
        <v>4</v>
      </c>
      <c r="B5">
        <f ca="1">COUNTIFS(INDIRECT(A1 &amp; "!$C$2:$C$86"),"half true", INDIRECT(A1 &amp; "!$E$2:$E$86"),TRUE)</f>
        <v>0</v>
      </c>
      <c r="C5">
        <f ca="1">COUNTIFS(INDIRECT(A1 &amp; "!$C$2:$C$86"),"half true", INDIRECT(A1 &amp; "!$E$2:$E$86"),FALSE)</f>
        <v>0</v>
      </c>
      <c r="D5">
        <f ca="1">COUNTIFS(INDIRECT(A1 &amp; "!$C$2:$C$86"),"half true", INDIRECT(A1 &amp; "!$E$2:$E$86"),"half true")</f>
        <v>0</v>
      </c>
      <c r="F5" t="s">
        <v>4</v>
      </c>
      <c r="G5">
        <f ca="1">COUNTIFS(INDIRECT(F1 &amp; "!$C$2:$C$86"),"half true", INDIRECT(F1 &amp; "!$E$2:$E$86"),TRUE)</f>
        <v>0</v>
      </c>
      <c r="H5">
        <f ca="1">COUNTIFS(INDIRECT(F1 &amp; "!$C$2:$C$86"),"half true", INDIRECT(F1 &amp; "!$E$2:$E$86"),FALSE)</f>
        <v>0</v>
      </c>
      <c r="I5">
        <f ca="1">COUNTIFS(INDIRECT(F1 &amp; "!$C$2:$C$86"),"half true", INDIRECT(F1 &amp; "!$E$2:$E$86"),"half true")</f>
        <v>0</v>
      </c>
    </row>
    <row r="6" spans="1:16">
      <c r="A6" t="s">
        <v>8</v>
      </c>
      <c r="B6">
        <f ca="1">SUM(B3:D5)</f>
        <v>36</v>
      </c>
      <c r="F6" t="s">
        <v>8</v>
      </c>
      <c r="G6">
        <f ca="1">SUM(G3:I5)</f>
        <v>60</v>
      </c>
    </row>
    <row r="7" spans="1:16">
      <c r="A7" t="s">
        <v>9</v>
      </c>
      <c r="B7">
        <f ca="1">(B3+C4+D5)/B6</f>
        <v>1</v>
      </c>
      <c r="F7" t="s">
        <v>9</v>
      </c>
      <c r="G7">
        <f ca="1">(G3+H4+I5)/G6</f>
        <v>0.98333333333333328</v>
      </c>
    </row>
    <row r="8" spans="1:16">
      <c r="A8" t="s">
        <v>10</v>
      </c>
      <c r="B8">
        <f ca="1">((SUM(B3:D3)*SUM(B3:B5))+(SUM(B4:D4)*SUM(C3:C5))+(SUM(B5:D5)*SUM(D3:D5)))/(B6^2)</f>
        <v>0.50154320987654322</v>
      </c>
      <c r="F8" t="s">
        <v>10</v>
      </c>
      <c r="G8">
        <f ca="1">((SUM(G3:I3)*SUM(G3:G5))+(SUM(G4:I4)*SUM(H3:H5))+(SUM(G5:I5)*SUM(I3:I5)))/(G6^2)</f>
        <v>0.50111111111111106</v>
      </c>
      <c r="M8" t="s">
        <v>11</v>
      </c>
    </row>
    <row r="9" spans="1:16">
      <c r="A9" t="s">
        <v>12</v>
      </c>
      <c r="B9">
        <f ca="1">(B7-B8)/(1-B8)</f>
        <v>1</v>
      </c>
      <c r="F9" t="s">
        <v>12</v>
      </c>
      <c r="G9">
        <f ca="1">(G7-G8)/(1-G8)</f>
        <v>0.96659242761692643</v>
      </c>
      <c r="M9" t="s">
        <v>0</v>
      </c>
      <c r="N9" t="s">
        <v>1</v>
      </c>
      <c r="O9" t="s">
        <v>2</v>
      </c>
      <c r="P9" t="s">
        <v>3</v>
      </c>
    </row>
    <row r="10" spans="1:16">
      <c r="M10">
        <f ca="1">M4</f>
        <v>38</v>
      </c>
      <c r="N10">
        <f t="shared" ref="N10:T10" ca="1" si="1">N4</f>
        <v>63</v>
      </c>
      <c r="O10">
        <f t="shared" ca="1" si="1"/>
        <v>80</v>
      </c>
      <c r="P10">
        <f t="shared" ca="1" si="1"/>
        <v>126</v>
      </c>
    </row>
    <row r="11" spans="1:16">
      <c r="A11" t="s">
        <v>2</v>
      </c>
      <c r="F11" t="s">
        <v>3</v>
      </c>
      <c r="M11">
        <v>22</v>
      </c>
      <c r="N11">
        <v>28</v>
      </c>
      <c r="O11">
        <v>44</v>
      </c>
      <c r="P11">
        <v>60</v>
      </c>
    </row>
    <row r="12" spans="1:16">
      <c r="B12" t="b">
        <v>1</v>
      </c>
      <c r="C12" t="b">
        <v>0</v>
      </c>
      <c r="D12" t="s">
        <v>4</v>
      </c>
      <c r="G12" t="b">
        <v>1</v>
      </c>
      <c r="H12" t="b">
        <v>0</v>
      </c>
      <c r="I12" t="s">
        <v>4</v>
      </c>
      <c r="M12">
        <v>22</v>
      </c>
      <c r="N12">
        <v>30</v>
      </c>
      <c r="O12">
        <v>42</v>
      </c>
      <c r="P12">
        <v>52</v>
      </c>
    </row>
    <row r="13" spans="1:16">
      <c r="A13" t="b">
        <v>1</v>
      </c>
      <c r="B13">
        <f ca="1">COUNTIFS(INDIRECT(A11 &amp; "!$C$2:$C$86"),TRUE, INDIRECT(A11 &amp; "!$E$2:$E$86"),TRUE)</f>
        <v>40</v>
      </c>
      <c r="C13">
        <f ca="1">COUNTIFS(INDIRECT(A11 &amp; "!$C$2:$C$86"),TRUE, INDIRECT(A11 &amp; "!$E$2:$E$86"),FALSE)</f>
        <v>0</v>
      </c>
      <c r="D13">
        <f ca="1">COUNTIFS(INDIRECT(A11 &amp; "!$C$2:$C$86"),TRUE, INDIRECT(A11 &amp; "!$E$2:$E$86"),"half true")</f>
        <v>0</v>
      </c>
      <c r="F13" t="b">
        <v>1</v>
      </c>
      <c r="G13">
        <f ca="1">COUNTIFS(INDIRECT(F11 &amp; "!$C$2:$C$121"),TRUE, INDIRECT(F11 &amp; "!$E$2:$E$121"),TRUE)</f>
        <v>62</v>
      </c>
      <c r="H13">
        <f ca="1">COUNTIFS(INDIRECT(F11 &amp; "!$C$2:$C$121"),TRUE, INDIRECT(F11 &amp; "!$E$2:$E$121"),FALSE)</f>
        <v>0</v>
      </c>
      <c r="I13">
        <f ca="1">COUNTIFS(INDIRECT(F11 &amp; "!$C$2:$C$121"),TRUE, INDIRECT(F11 &amp; "!$E$2:$E$121"),"half true")</f>
        <v>0</v>
      </c>
      <c r="M13">
        <v>16</v>
      </c>
      <c r="N13">
        <v>32</v>
      </c>
      <c r="O13">
        <v>40</v>
      </c>
      <c r="P13">
        <v>58</v>
      </c>
    </row>
    <row r="14" spans="1:16">
      <c r="A14" t="b">
        <v>0</v>
      </c>
      <c r="B14">
        <f ca="1">COUNTIFS(INDIRECT(A11 &amp; "!$C$2:$C$86"),FALSE, INDIRECT(A11 &amp; "!$E$2:$E$86"),TRUE)</f>
        <v>0</v>
      </c>
      <c r="C14">
        <f ca="1">COUNTIFS(INDIRECT(A11 &amp; "!$C$2:$C$86"),FALSE, INDIRECT(A11 &amp; "!$E$2:$E$86"),FALSE)</f>
        <v>43</v>
      </c>
      <c r="D14">
        <f ca="1">COUNTIFS(INDIRECT(A11 &amp; "!$C$2:$C$86"),FALSE, INDIRECT(A11 &amp; "!$E$2:$E$86"),"half true")</f>
        <v>0</v>
      </c>
      <c r="F14" t="b">
        <v>0</v>
      </c>
      <c r="G14">
        <f ca="1">COUNTIFS(INDIRECT(F11 &amp; "!$C$2:$C$121"),FALSE, INDIRECT(F11 &amp; "!$E$2:$E$121"),TRUE)</f>
        <v>0</v>
      </c>
      <c r="H14">
        <f ca="1">COUNTIFS(INDIRECT(F11 &amp; "!$C$2:$C$121"),FALSE, INDIRECT(F11 &amp; "!$E$2:$E$121"),FALSE)</f>
        <v>56</v>
      </c>
      <c r="I14">
        <f ca="1">COUNTIFS(INDIRECT(F11 &amp; "!$C$2:$C$121"),FALSE, INDIRECT(F11 &amp; "!$E$2:$E$121"),"half true")</f>
        <v>0</v>
      </c>
      <c r="M14">
        <v>20</v>
      </c>
      <c r="N14">
        <v>26</v>
      </c>
      <c r="O14">
        <v>48</v>
      </c>
      <c r="P14">
        <v>58</v>
      </c>
    </row>
    <row r="15" spans="1:16">
      <c r="A15" t="s">
        <v>4</v>
      </c>
      <c r="B15">
        <f ca="1">COUNTIFS(INDIRECT(A11 &amp; "!$C$2:$C$86"),"half true", INDIRECT(A11 &amp; "!$E$2:$E$86"),TRUE)</f>
        <v>0</v>
      </c>
      <c r="C15">
        <f ca="1">COUNTIFS(INDIRECT(A11 &amp; "!$C$2:$C$86"),"half true", INDIRECT(A11 &amp; "!$E$2:$E$86"),FALSE)</f>
        <v>0</v>
      </c>
      <c r="D15">
        <f ca="1">COUNTIFS(INDIRECT(A11 &amp; "!$C$2:$C$86"),"half true", INDIRECT(A11 &amp; "!$E$2:$E$86"),"half true")</f>
        <v>1</v>
      </c>
      <c r="F15" t="s">
        <v>4</v>
      </c>
      <c r="G15">
        <f ca="1">COUNTIFS(INDIRECT(F11 &amp; "!$C$2:$C$121"),"half true", INDIRECT(F11 &amp; "!$E$2:$E$121"),TRUE)</f>
        <v>2</v>
      </c>
      <c r="H15">
        <f ca="1">COUNTIFS(INDIRECT(F11 &amp; "!$C$2:$C$121"),"half true", INDIRECT(F11 &amp; "!$E$2:$E$121"),FALSE)</f>
        <v>0</v>
      </c>
      <c r="I15">
        <f ca="1">COUNTIFS(INDIRECT(F11 &amp; "!$C$2:$C$121"),"half true", INDIRECT(F11 &amp; "!$E$2:$E$121"),"half true")</f>
        <v>0</v>
      </c>
      <c r="L15" t="s">
        <v>13</v>
      </c>
      <c r="M15">
        <f ca="1">SUM(M10:M14)</f>
        <v>118</v>
      </c>
      <c r="N15">
        <f t="shared" ref="N15:T15" ca="1" si="2">SUM(N10:N14)</f>
        <v>179</v>
      </c>
      <c r="O15">
        <f t="shared" ca="1" si="2"/>
        <v>254</v>
      </c>
      <c r="P15">
        <f ca="1">SUM(P10:P14)</f>
        <v>354</v>
      </c>
    </row>
    <row r="16" spans="1:16">
      <c r="A16" t="s">
        <v>8</v>
      </c>
      <c r="B16">
        <f ca="1">SUM(B13:D15)</f>
        <v>84</v>
      </c>
      <c r="F16" t="s">
        <v>8</v>
      </c>
      <c r="G16">
        <f ca="1">SUM(G13:I15)</f>
        <v>120</v>
      </c>
      <c r="L16" t="s">
        <v>14</v>
      </c>
      <c r="M16">
        <f ca="1">2*B6+4*2*12</f>
        <v>168</v>
      </c>
      <c r="N16">
        <f ca="1">2*G6+4*20</f>
        <v>200</v>
      </c>
      <c r="O16">
        <f ca="1">2*B16+4*28</f>
        <v>280</v>
      </c>
      <c r="P16">
        <f ca="1">2*G16+4*40</f>
        <v>400</v>
      </c>
    </row>
    <row r="17" spans="1:16">
      <c r="A17" t="s">
        <v>9</v>
      </c>
      <c r="B17">
        <f ca="1">(B13+C14+D15)/B16</f>
        <v>1</v>
      </c>
      <c r="F17" t="s">
        <v>9</v>
      </c>
      <c r="G17">
        <f ca="1">(G13+H14+I15)/G16</f>
        <v>0.98333333333333328</v>
      </c>
      <c r="L17" t="s">
        <v>15</v>
      </c>
      <c r="M17">
        <f ca="1">M15/M16</f>
        <v>0.70238095238095233</v>
      </c>
      <c r="N17">
        <f t="shared" ref="N17:T17" ca="1" si="3">N15/N16</f>
        <v>0.89500000000000002</v>
      </c>
      <c r="O17">
        <f t="shared" ca="1" si="3"/>
        <v>0.90714285714285714</v>
      </c>
      <c r="P17">
        <f t="shared" ca="1" si="3"/>
        <v>0.88500000000000001</v>
      </c>
    </row>
    <row r="18" spans="1:16">
      <c r="A18" t="s">
        <v>10</v>
      </c>
      <c r="B18">
        <f ca="1">((SUM(B13:D13)*SUM(B13:B15))+(SUM(B14:D14)*SUM(C13:C15))+(SUM(B15:D15)*SUM(D13:D15)))/(B16^2)</f>
        <v>0.48894557823129253</v>
      </c>
      <c r="F18" t="s">
        <v>10</v>
      </c>
      <c r="G18">
        <f ca="1">((SUM(G13:I13)*SUM(G13:G15))+(SUM(G14:I14)*SUM(H13:H15))+(SUM(G15:I15)*SUM(I13:I15)))/(G16^2)</f>
        <v>0.49333333333333335</v>
      </c>
    </row>
    <row r="19" spans="1:16">
      <c r="A19" t="s">
        <v>12</v>
      </c>
      <c r="B19">
        <f ca="1">(B17-B18)/(1-B18)</f>
        <v>1</v>
      </c>
      <c r="F19" t="s">
        <v>12</v>
      </c>
      <c r="G19">
        <f ca="1">(G17-G18)/(1-G18)</f>
        <v>0.96710526315789469</v>
      </c>
    </row>
    <row r="21" spans="1:16">
      <c r="A21" t="s">
        <v>16</v>
      </c>
    </row>
    <row r="22" spans="1:16">
      <c r="B22" t="b">
        <v>1</v>
      </c>
      <c r="C22" t="b">
        <v>0</v>
      </c>
      <c r="D22" t="s">
        <v>4</v>
      </c>
    </row>
    <row r="23" spans="1:16">
      <c r="A23" t="b">
        <v>1</v>
      </c>
      <c r="B23">
        <f ca="1">B3+G3+B13+G13</f>
        <v>152</v>
      </c>
      <c r="C23">
        <f t="shared" ref="C23:D23" ca="1" si="4">C3+H3+C13+H13</f>
        <v>0</v>
      </c>
      <c r="D23">
        <f t="shared" ca="1" si="4"/>
        <v>0</v>
      </c>
    </row>
    <row r="24" spans="1:16">
      <c r="A24" t="b">
        <v>0</v>
      </c>
      <c r="B24">
        <f ca="1">B4+G4+B14+G14</f>
        <v>1</v>
      </c>
      <c r="C24">
        <f t="shared" ref="C24:D24" ca="1" si="5">C4+H4+C14+H14</f>
        <v>144</v>
      </c>
      <c r="D24">
        <f t="shared" ca="1" si="5"/>
        <v>0</v>
      </c>
    </row>
    <row r="25" spans="1:16">
      <c r="A25" t="s">
        <v>4</v>
      </c>
      <c r="B25">
        <f ca="1">B5+G5+B15+G15</f>
        <v>2</v>
      </c>
      <c r="C25">
        <f t="shared" ref="C25:D25" ca="1" si="6">C5+H5+C15+H15</f>
        <v>0</v>
      </c>
      <c r="D25">
        <f t="shared" ca="1" si="6"/>
        <v>1</v>
      </c>
    </row>
    <row r="26" spans="1:16">
      <c r="A26" t="s">
        <v>8</v>
      </c>
      <c r="B26">
        <f ca="1">SUM(B23:D25)</f>
        <v>300</v>
      </c>
    </row>
    <row r="27" spans="1:16">
      <c r="A27" t="s">
        <v>9</v>
      </c>
      <c r="B27">
        <f ca="1">(B23+C24+D25)/B26</f>
        <v>0.99</v>
      </c>
    </row>
    <row r="28" spans="1:16">
      <c r="A28" t="s">
        <v>10</v>
      </c>
      <c r="B28">
        <f ca="1">((SUM(B23:D23)*SUM(B23:B25))+(SUM(B24:D24)*SUM(C23:C25))+(SUM(B25:D25)*SUM(D23:D25)))/(B26^2)</f>
        <v>0.49381111111111109</v>
      </c>
    </row>
    <row r="29" spans="1:16">
      <c r="A29" t="s">
        <v>12</v>
      </c>
      <c r="B29">
        <f ca="1">(B27-B28)/(1-B28)</f>
        <v>0.98024452883201263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8"/>
  <sheetViews>
    <sheetView zoomScale="60" zoomScaleNormal="60" workbookViewId="0">
      <selection activeCell="F13" sqref="F13"/>
    </sheetView>
  </sheetViews>
  <sheetFormatPr defaultColWidth="8.5703125" defaultRowHeight="15"/>
  <cols>
    <col min="1" max="1" width="43.7109375" style="1" customWidth="1"/>
    <col min="2" max="2" width="53" style="1" customWidth="1"/>
    <col min="3" max="3" width="8.5703125" style="1"/>
    <col min="4" max="4" width="9.28515625" style="2" customWidth="1"/>
    <col min="5" max="5" width="12.7109375" style="1" customWidth="1"/>
    <col min="6" max="16384" width="8.5703125" style="1"/>
  </cols>
  <sheetData>
    <row r="1" spans="1:7">
      <c r="A1" s="3" t="s">
        <v>17</v>
      </c>
      <c r="B1" s="3" t="s">
        <v>18</v>
      </c>
      <c r="C1" s="1" t="s">
        <v>19</v>
      </c>
      <c r="D1" s="1" t="s">
        <v>20</v>
      </c>
      <c r="E1" s="1" t="s">
        <v>21</v>
      </c>
    </row>
    <row r="2" spans="1:7">
      <c r="A2" s="1" t="s">
        <v>22</v>
      </c>
      <c r="B2" s="1" t="s">
        <v>23</v>
      </c>
      <c r="C2" s="1" t="b">
        <f>TRUE()</f>
        <v>1</v>
      </c>
      <c r="E2" s="1" t="b">
        <f>TRUE()</f>
        <v>1</v>
      </c>
      <c r="G2" s="4"/>
    </row>
    <row r="3" spans="1:7">
      <c r="A3" s="1" t="s">
        <v>24</v>
      </c>
      <c r="B3" s="1" t="s">
        <v>25</v>
      </c>
      <c r="C3" s="1" t="b">
        <f>TRUE()</f>
        <v>1</v>
      </c>
      <c r="E3" s="1" t="b">
        <f>TRUE()</f>
        <v>1</v>
      </c>
      <c r="G3" s="2"/>
    </row>
    <row r="4" spans="1:7">
      <c r="A4" s="1" t="s">
        <v>26</v>
      </c>
      <c r="B4" s="1" t="s">
        <v>27</v>
      </c>
      <c r="C4" s="1" t="b">
        <f>FALSE()</f>
        <v>0</v>
      </c>
      <c r="E4" s="1" t="b">
        <f>FALSE()</f>
        <v>0</v>
      </c>
      <c r="G4" s="2"/>
    </row>
    <row r="5" spans="1:7">
      <c r="A5" s="1" t="s">
        <v>28</v>
      </c>
      <c r="B5" s="1" t="s">
        <v>29</v>
      </c>
      <c r="C5" s="1" t="b">
        <f>TRUE()</f>
        <v>1</v>
      </c>
      <c r="E5" s="1" t="b">
        <f>TRUE()</f>
        <v>1</v>
      </c>
      <c r="G5" s="2"/>
    </row>
    <row r="6" spans="1:7">
      <c r="A6" s="1" t="s">
        <v>30</v>
      </c>
      <c r="B6" s="1" t="s">
        <v>31</v>
      </c>
      <c r="C6" s="1" t="b">
        <f>FALSE()</f>
        <v>0</v>
      </c>
      <c r="E6" s="1" t="b">
        <f>FALSE()</f>
        <v>0</v>
      </c>
      <c r="G6" s="2"/>
    </row>
    <row r="7" spans="1:7">
      <c r="A7" s="1" t="s">
        <v>32</v>
      </c>
      <c r="B7" s="1" t="s">
        <v>33</v>
      </c>
      <c r="C7" s="1" t="b">
        <f>FALSE()</f>
        <v>0</v>
      </c>
      <c r="E7" s="1" t="b">
        <f>FALSE()</f>
        <v>0</v>
      </c>
      <c r="G7" s="2"/>
    </row>
    <row r="8" spans="1:7">
      <c r="A8" s="1" t="s">
        <v>34</v>
      </c>
      <c r="B8" s="1" t="s">
        <v>35</v>
      </c>
      <c r="C8" s="1" t="b">
        <f>TRUE()</f>
        <v>1</v>
      </c>
      <c r="E8" s="1" t="b">
        <f>TRUE()</f>
        <v>1</v>
      </c>
      <c r="G8" s="2"/>
    </row>
    <row r="9" spans="1:7">
      <c r="A9" s="1" t="s">
        <v>36</v>
      </c>
      <c r="B9" s="1" t="s">
        <v>37</v>
      </c>
      <c r="C9" s="1" t="b">
        <f>TRUE()</f>
        <v>1</v>
      </c>
      <c r="E9" s="1" t="b">
        <f>TRUE()</f>
        <v>1</v>
      </c>
      <c r="G9" s="2"/>
    </row>
    <row r="10" spans="1:7" ht="45.75">
      <c r="A10" s="1" t="s">
        <v>38</v>
      </c>
      <c r="B10" s="1" t="s">
        <v>39</v>
      </c>
      <c r="C10" s="1" t="b">
        <f>FALSE()</f>
        <v>0</v>
      </c>
      <c r="D10" s="2" t="s">
        <v>40</v>
      </c>
      <c r="E10" s="1" t="b">
        <f>FALSE()</f>
        <v>0</v>
      </c>
      <c r="G10" s="2"/>
    </row>
    <row r="11" spans="1:7">
      <c r="A11" s="1" t="s">
        <v>41</v>
      </c>
      <c r="B11" s="1" t="s">
        <v>42</v>
      </c>
      <c r="C11" s="1" t="b">
        <f>TRUE()</f>
        <v>1</v>
      </c>
      <c r="E11" s="1" t="b">
        <f>TRUE()</f>
        <v>1</v>
      </c>
      <c r="G11" s="2"/>
    </row>
    <row r="12" spans="1:7">
      <c r="A12" s="1" t="s">
        <v>43</v>
      </c>
      <c r="B12" s="1" t="s">
        <v>44</v>
      </c>
      <c r="C12" s="1" t="b">
        <f>FALSE()</f>
        <v>0</v>
      </c>
      <c r="E12" s="1" t="b">
        <f>FALSE()</f>
        <v>0</v>
      </c>
      <c r="G12" s="2"/>
    </row>
    <row r="13" spans="1:7">
      <c r="A13" s="1" t="s">
        <v>45</v>
      </c>
      <c r="B13" s="1" t="s">
        <v>46</v>
      </c>
      <c r="C13" s="1" t="b">
        <f>FALSE()</f>
        <v>0</v>
      </c>
      <c r="E13" s="1" t="b">
        <f>FALSE()</f>
        <v>0</v>
      </c>
      <c r="G13" s="2"/>
    </row>
    <row r="14" spans="1:7">
      <c r="A14" s="1" t="s">
        <v>47</v>
      </c>
      <c r="B14" s="1" t="s">
        <v>48</v>
      </c>
      <c r="C14" s="1" t="b">
        <f>TRUE()</f>
        <v>1</v>
      </c>
      <c r="E14" s="1" t="b">
        <f>TRUE()</f>
        <v>1</v>
      </c>
      <c r="G14" s="2"/>
    </row>
    <row r="15" spans="1:7">
      <c r="A15" s="1" t="s">
        <v>49</v>
      </c>
      <c r="B15" s="1" t="s">
        <v>50</v>
      </c>
      <c r="C15" s="1" t="b">
        <f>TRUE()</f>
        <v>1</v>
      </c>
      <c r="E15" s="1" t="b">
        <f>TRUE()</f>
        <v>1</v>
      </c>
      <c r="G15" s="2"/>
    </row>
    <row r="16" spans="1:7">
      <c r="A16" s="1" t="s">
        <v>51</v>
      </c>
      <c r="B16" s="1" t="s">
        <v>52</v>
      </c>
      <c r="C16" s="1" t="b">
        <f>FALSE()</f>
        <v>0</v>
      </c>
      <c r="E16" s="1" t="b">
        <f>FALSE()</f>
        <v>0</v>
      </c>
      <c r="G16" s="2"/>
    </row>
    <row r="17" spans="1:7">
      <c r="A17" s="1" t="s">
        <v>53</v>
      </c>
      <c r="B17" s="1" t="s">
        <v>54</v>
      </c>
      <c r="C17" s="1" t="b">
        <f>TRUE()</f>
        <v>1</v>
      </c>
      <c r="E17" s="1" t="b">
        <f>TRUE()</f>
        <v>1</v>
      </c>
      <c r="G17" s="2"/>
    </row>
    <row r="18" spans="1:7">
      <c r="A18" s="1" t="s">
        <v>55</v>
      </c>
      <c r="B18" s="1" t="s">
        <v>56</v>
      </c>
      <c r="C18" s="1" t="b">
        <f>FALSE()</f>
        <v>0</v>
      </c>
      <c r="E18" s="1" t="b">
        <f>FALSE()</f>
        <v>0</v>
      </c>
      <c r="G18" s="2"/>
    </row>
    <row r="19" spans="1:7">
      <c r="A19" s="1" t="s">
        <v>57</v>
      </c>
      <c r="B19" s="1" t="s">
        <v>58</v>
      </c>
      <c r="C19" s="1" t="b">
        <f>FALSE()</f>
        <v>0</v>
      </c>
      <c r="E19" s="1" t="b">
        <f>FALSE()</f>
        <v>0</v>
      </c>
      <c r="G19" s="2"/>
    </row>
    <row r="20" spans="1:7">
      <c r="A20" s="1" t="s">
        <v>59</v>
      </c>
      <c r="B20" s="1" t="s">
        <v>60</v>
      </c>
      <c r="C20" s="1" t="b">
        <f>TRUE()</f>
        <v>1</v>
      </c>
      <c r="E20" s="1" t="b">
        <f>TRUE()</f>
        <v>1</v>
      </c>
      <c r="G20" s="2"/>
    </row>
    <row r="21" spans="1:7">
      <c r="A21" s="1" t="s">
        <v>61</v>
      </c>
      <c r="B21" s="1" t="s">
        <v>62</v>
      </c>
      <c r="C21" s="1" t="b">
        <f>TRUE()</f>
        <v>1</v>
      </c>
      <c r="E21" s="1" t="b">
        <f>TRUE()</f>
        <v>1</v>
      </c>
      <c r="G21" s="2"/>
    </row>
    <row r="22" spans="1:7">
      <c r="A22" s="1" t="s">
        <v>63</v>
      </c>
      <c r="B22" s="1" t="s">
        <v>64</v>
      </c>
      <c r="C22" s="1" t="b">
        <f>FALSE()</f>
        <v>0</v>
      </c>
      <c r="E22" s="1" t="b">
        <f>FALSE()</f>
        <v>0</v>
      </c>
      <c r="G22" s="2"/>
    </row>
    <row r="23" spans="1:7">
      <c r="A23" s="1" t="s">
        <v>65</v>
      </c>
      <c r="B23" s="1" t="s">
        <v>66</v>
      </c>
      <c r="C23" s="1" t="b">
        <f>TRUE()</f>
        <v>1</v>
      </c>
      <c r="E23" s="1" t="b">
        <f>TRUE()</f>
        <v>1</v>
      </c>
      <c r="G23" s="2"/>
    </row>
    <row r="24" spans="1:7">
      <c r="A24" s="1" t="s">
        <v>67</v>
      </c>
      <c r="B24" s="1" t="s">
        <v>68</v>
      </c>
      <c r="C24" s="1" t="b">
        <f>FALSE()</f>
        <v>0</v>
      </c>
      <c r="E24" s="1" t="b">
        <f>FALSE()</f>
        <v>0</v>
      </c>
      <c r="G24" s="2"/>
    </row>
    <row r="25" spans="1:7">
      <c r="A25" s="1" t="s">
        <v>69</v>
      </c>
      <c r="B25" s="1" t="s">
        <v>70</v>
      </c>
      <c r="C25" s="1" t="b">
        <f>FALSE()</f>
        <v>0</v>
      </c>
      <c r="E25" s="1" t="b">
        <f>FALSE()</f>
        <v>0</v>
      </c>
      <c r="G25" s="2"/>
    </row>
    <row r="26" spans="1:7">
      <c r="A26" s="1" t="s">
        <v>71</v>
      </c>
      <c r="B26" s="1" t="s">
        <v>72</v>
      </c>
      <c r="C26" s="1" t="b">
        <f>TRUE()</f>
        <v>1</v>
      </c>
      <c r="E26" s="1" t="b">
        <f>TRUE()</f>
        <v>1</v>
      </c>
      <c r="G26" s="2"/>
    </row>
    <row r="27" spans="1:7">
      <c r="A27" s="1" t="s">
        <v>73</v>
      </c>
      <c r="B27" s="1" t="s">
        <v>74</v>
      </c>
      <c r="C27" s="1" t="b">
        <f>TRUE()</f>
        <v>1</v>
      </c>
      <c r="E27" s="1" t="b">
        <f>TRUE()</f>
        <v>1</v>
      </c>
      <c r="G27" s="2"/>
    </row>
    <row r="28" spans="1:7" ht="60.75">
      <c r="A28" s="1" t="s">
        <v>75</v>
      </c>
      <c r="B28" s="1" t="s">
        <v>76</v>
      </c>
      <c r="C28" s="1" t="b">
        <f>FALSE()</f>
        <v>0</v>
      </c>
      <c r="D28" s="2" t="s">
        <v>77</v>
      </c>
      <c r="E28" s="1" t="b">
        <f>FALSE()</f>
        <v>0</v>
      </c>
      <c r="G28" s="2"/>
    </row>
    <row r="29" spans="1:7">
      <c r="A29" s="1" t="s">
        <v>78</v>
      </c>
      <c r="B29" s="1" t="s">
        <v>79</v>
      </c>
      <c r="C29" s="1" t="b">
        <f>TRUE()</f>
        <v>1</v>
      </c>
      <c r="E29" s="1" t="b">
        <f>TRUE()</f>
        <v>1</v>
      </c>
      <c r="G29" s="2"/>
    </row>
    <row r="30" spans="1:7">
      <c r="A30" s="1" t="s">
        <v>80</v>
      </c>
      <c r="B30" s="1" t="s">
        <v>81</v>
      </c>
      <c r="C30" s="1" t="b">
        <f>FALSE()</f>
        <v>0</v>
      </c>
      <c r="E30" s="1" t="b">
        <f>FALSE()</f>
        <v>0</v>
      </c>
      <c r="G30" s="2"/>
    </row>
    <row r="31" spans="1:7">
      <c r="A31" s="1" t="s">
        <v>82</v>
      </c>
      <c r="B31" s="1" t="s">
        <v>83</v>
      </c>
      <c r="C31" s="1" t="b">
        <f>FALSE()</f>
        <v>0</v>
      </c>
      <c r="E31" s="1" t="b">
        <f>FALSE()</f>
        <v>0</v>
      </c>
      <c r="G31" s="2"/>
    </row>
    <row r="32" spans="1:7">
      <c r="A32" s="1" t="s">
        <v>84</v>
      </c>
      <c r="B32" s="1" t="s">
        <v>85</v>
      </c>
      <c r="C32" s="1" t="b">
        <f>TRUE()</f>
        <v>1</v>
      </c>
      <c r="E32" s="1" t="b">
        <f>TRUE()</f>
        <v>1</v>
      </c>
      <c r="G32" s="2"/>
    </row>
    <row r="33" spans="1:7">
      <c r="A33" s="1" t="s">
        <v>86</v>
      </c>
      <c r="B33" s="1" t="s">
        <v>87</v>
      </c>
      <c r="C33" s="1" t="b">
        <f>TRUE()</f>
        <v>1</v>
      </c>
      <c r="E33" s="1" t="b">
        <f>TRUE()</f>
        <v>1</v>
      </c>
      <c r="G33" s="2"/>
    </row>
    <row r="34" spans="1:7">
      <c r="A34" s="1" t="s">
        <v>88</v>
      </c>
      <c r="B34" s="1" t="s">
        <v>89</v>
      </c>
      <c r="C34" s="1" t="b">
        <f>FALSE()</f>
        <v>0</v>
      </c>
      <c r="E34" s="1" t="b">
        <f>FALSE()</f>
        <v>0</v>
      </c>
      <c r="G34" s="2"/>
    </row>
    <row r="35" spans="1:7">
      <c r="A35" s="1" t="s">
        <v>90</v>
      </c>
      <c r="B35" s="1" t="s">
        <v>91</v>
      </c>
      <c r="C35" s="1" t="b">
        <f>TRUE()</f>
        <v>1</v>
      </c>
      <c r="E35" s="1" t="b">
        <f>TRUE()</f>
        <v>1</v>
      </c>
      <c r="G35" s="2"/>
    </row>
    <row r="36" spans="1:7">
      <c r="A36" s="1" t="s">
        <v>92</v>
      </c>
      <c r="B36" s="1" t="s">
        <v>93</v>
      </c>
      <c r="C36" s="1" t="b">
        <f>FALSE()</f>
        <v>0</v>
      </c>
      <c r="E36" s="1" t="b">
        <f>FALSE()</f>
        <v>0</v>
      </c>
      <c r="G36" s="2"/>
    </row>
    <row r="37" spans="1:7">
      <c r="A37" s="1" t="s">
        <v>94</v>
      </c>
      <c r="B37" s="1" t="s">
        <v>95</v>
      </c>
      <c r="C37" s="1" t="b">
        <f>TRUE()</f>
        <v>1</v>
      </c>
      <c r="E37" s="1" t="b">
        <f>TRUE()</f>
        <v>1</v>
      </c>
      <c r="G37" s="2"/>
    </row>
    <row r="38" spans="1:7">
      <c r="G38" s="2"/>
    </row>
  </sheetData>
  <pageMargins left="0.75" right="0.75" top="1" bottom="1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61"/>
  <sheetViews>
    <sheetView topLeftCell="A37" zoomScale="60" zoomScaleNormal="60" workbookViewId="0">
      <selection activeCell="F1" sqref="F1:F61"/>
    </sheetView>
  </sheetViews>
  <sheetFormatPr defaultColWidth="8.5703125" defaultRowHeight="15"/>
  <cols>
    <col min="1" max="1" width="44.85546875" customWidth="1"/>
    <col min="2" max="2" width="83.7109375" customWidth="1"/>
    <col min="4" max="4" width="10.28515625" customWidth="1"/>
    <col min="5" max="5" width="14.7109375" customWidth="1"/>
  </cols>
  <sheetData>
    <row r="1" spans="1:6">
      <c r="A1" s="3" t="s">
        <v>17</v>
      </c>
      <c r="B1" s="3" t="s">
        <v>18</v>
      </c>
      <c r="C1" t="s">
        <v>19</v>
      </c>
      <c r="D1" t="s">
        <v>20</v>
      </c>
      <c r="E1" t="s">
        <v>21</v>
      </c>
      <c r="F1" t="s">
        <v>96</v>
      </c>
    </row>
    <row r="2" spans="1:6">
      <c r="A2" t="s">
        <v>97</v>
      </c>
      <c r="B2" t="s">
        <v>98</v>
      </c>
      <c r="C2" t="b">
        <f>TRUE()</f>
        <v>1</v>
      </c>
      <c r="E2" t="b">
        <f>TRUE()</f>
        <v>1</v>
      </c>
      <c r="F2" t="b">
        <f>C2=E2</f>
        <v>1</v>
      </c>
    </row>
    <row r="3" spans="1:6">
      <c r="A3" t="s">
        <v>99</v>
      </c>
      <c r="B3" t="s">
        <v>100</v>
      </c>
      <c r="C3" t="b">
        <f>TRUE()</f>
        <v>1</v>
      </c>
      <c r="E3" t="b">
        <f>TRUE()</f>
        <v>1</v>
      </c>
      <c r="F3" t="b">
        <f t="shared" ref="F3:F61" si="0">C3=E3</f>
        <v>1</v>
      </c>
    </row>
    <row r="4" spans="1:6">
      <c r="A4" t="s">
        <v>101</v>
      </c>
      <c r="B4" t="s">
        <v>102</v>
      </c>
      <c r="C4" t="b">
        <f>FALSE()</f>
        <v>0</v>
      </c>
      <c r="E4" t="b">
        <f>FALSE()</f>
        <v>0</v>
      </c>
      <c r="F4" t="b">
        <f t="shared" si="0"/>
        <v>1</v>
      </c>
    </row>
    <row r="5" spans="1:6">
      <c r="A5" t="s">
        <v>103</v>
      </c>
      <c r="B5" t="s">
        <v>29</v>
      </c>
      <c r="C5" t="b">
        <f>TRUE()</f>
        <v>1</v>
      </c>
      <c r="E5" t="b">
        <f>TRUE()</f>
        <v>1</v>
      </c>
      <c r="F5" t="b">
        <f t="shared" si="0"/>
        <v>1</v>
      </c>
    </row>
    <row r="6" spans="1:6">
      <c r="A6" t="s">
        <v>104</v>
      </c>
      <c r="B6" t="s">
        <v>105</v>
      </c>
      <c r="C6" t="b">
        <f>FALSE()</f>
        <v>0</v>
      </c>
      <c r="E6" t="b">
        <f>FALSE()</f>
        <v>0</v>
      </c>
      <c r="F6" t="b">
        <f t="shared" si="0"/>
        <v>1</v>
      </c>
    </row>
    <row r="7" spans="1:6">
      <c r="A7" t="s">
        <v>32</v>
      </c>
      <c r="B7" t="s">
        <v>106</v>
      </c>
      <c r="C7" t="b">
        <f>TRUE()</f>
        <v>1</v>
      </c>
      <c r="E7" t="b">
        <f>TRUE()</f>
        <v>1</v>
      </c>
      <c r="F7" t="b">
        <f t="shared" si="0"/>
        <v>1</v>
      </c>
    </row>
    <row r="8" spans="1:6">
      <c r="A8" t="s">
        <v>107</v>
      </c>
      <c r="B8" t="s">
        <v>108</v>
      </c>
      <c r="C8" t="b">
        <f>TRUE()</f>
        <v>1</v>
      </c>
      <c r="E8" t="b">
        <f>TRUE()</f>
        <v>1</v>
      </c>
      <c r="F8" t="b">
        <f t="shared" si="0"/>
        <v>1</v>
      </c>
    </row>
    <row r="9" spans="1:6">
      <c r="A9" t="s">
        <v>109</v>
      </c>
      <c r="B9" t="s">
        <v>110</v>
      </c>
      <c r="C9" t="b">
        <f>TRUE()</f>
        <v>1</v>
      </c>
      <c r="E9" t="b">
        <f>TRUE()</f>
        <v>1</v>
      </c>
      <c r="F9" t="b">
        <f t="shared" si="0"/>
        <v>1</v>
      </c>
    </row>
    <row r="10" spans="1:6">
      <c r="A10" t="s">
        <v>111</v>
      </c>
      <c r="B10" t="s">
        <v>112</v>
      </c>
      <c r="C10" t="b">
        <f>FALSE()</f>
        <v>0</v>
      </c>
      <c r="E10" t="b">
        <f>FALSE()</f>
        <v>0</v>
      </c>
      <c r="F10" t="b">
        <f t="shared" si="0"/>
        <v>1</v>
      </c>
    </row>
    <row r="11" spans="1:6">
      <c r="A11" t="s">
        <v>113</v>
      </c>
      <c r="B11" t="s">
        <v>42</v>
      </c>
      <c r="C11" t="b">
        <f>TRUE()</f>
        <v>1</v>
      </c>
      <c r="E11" t="b">
        <f>TRUE()</f>
        <v>1</v>
      </c>
      <c r="F11" t="b">
        <f t="shared" si="0"/>
        <v>1</v>
      </c>
    </row>
    <row r="12" spans="1:6">
      <c r="A12" t="s">
        <v>114</v>
      </c>
      <c r="B12" t="s">
        <v>115</v>
      </c>
      <c r="C12" t="b">
        <f>FALSE()</f>
        <v>0</v>
      </c>
      <c r="E12" t="b">
        <f>FALSE()</f>
        <v>0</v>
      </c>
      <c r="F12" t="b">
        <f t="shared" si="0"/>
        <v>1</v>
      </c>
    </row>
    <row r="13" spans="1:6">
      <c r="A13" t="s">
        <v>45</v>
      </c>
      <c r="B13" t="s">
        <v>116</v>
      </c>
      <c r="C13" t="b">
        <f>TRUE()</f>
        <v>1</v>
      </c>
      <c r="E13" t="b">
        <f>TRUE()</f>
        <v>1</v>
      </c>
      <c r="F13" t="b">
        <f t="shared" si="0"/>
        <v>1</v>
      </c>
    </row>
    <row r="14" spans="1:6">
      <c r="A14" t="s">
        <v>117</v>
      </c>
      <c r="B14" t="s">
        <v>118</v>
      </c>
      <c r="C14" t="b">
        <f>TRUE()</f>
        <v>1</v>
      </c>
      <c r="E14" t="b">
        <f>TRUE()</f>
        <v>1</v>
      </c>
      <c r="F14" t="b">
        <f t="shared" si="0"/>
        <v>1</v>
      </c>
    </row>
    <row r="15" spans="1:6">
      <c r="A15" t="s">
        <v>119</v>
      </c>
      <c r="B15" t="s">
        <v>120</v>
      </c>
      <c r="C15" t="b">
        <f>TRUE()</f>
        <v>1</v>
      </c>
      <c r="E15" t="b">
        <f>TRUE()</f>
        <v>1</v>
      </c>
      <c r="F15" t="b">
        <f t="shared" si="0"/>
        <v>1</v>
      </c>
    </row>
    <row r="16" spans="1:6">
      <c r="A16" t="s">
        <v>121</v>
      </c>
      <c r="B16" t="s">
        <v>122</v>
      </c>
      <c r="C16" t="b">
        <f>FALSE()</f>
        <v>0</v>
      </c>
      <c r="E16" t="b">
        <f>FALSE()</f>
        <v>0</v>
      </c>
      <c r="F16" t="b">
        <f t="shared" si="0"/>
        <v>1</v>
      </c>
    </row>
    <row r="17" spans="1:6">
      <c r="A17" t="s">
        <v>123</v>
      </c>
      <c r="B17" t="s">
        <v>54</v>
      </c>
      <c r="C17" t="b">
        <f>TRUE()</f>
        <v>1</v>
      </c>
      <c r="E17" t="b">
        <f>TRUE()</f>
        <v>1</v>
      </c>
      <c r="F17" t="b">
        <f t="shared" si="0"/>
        <v>1</v>
      </c>
    </row>
    <row r="18" spans="1:6">
      <c r="A18" t="s">
        <v>124</v>
      </c>
      <c r="B18" t="s">
        <v>125</v>
      </c>
      <c r="C18" t="b">
        <f>FALSE()</f>
        <v>0</v>
      </c>
      <c r="E18" t="b">
        <f>FALSE()</f>
        <v>0</v>
      </c>
      <c r="F18" t="b">
        <f t="shared" si="0"/>
        <v>1</v>
      </c>
    </row>
    <row r="19" spans="1:6">
      <c r="A19" t="s">
        <v>57</v>
      </c>
      <c r="B19" t="s">
        <v>126</v>
      </c>
      <c r="C19" t="b">
        <f>TRUE()</f>
        <v>1</v>
      </c>
      <c r="E19" t="b">
        <f>TRUE()</f>
        <v>1</v>
      </c>
      <c r="F19" t="b">
        <f t="shared" si="0"/>
        <v>1</v>
      </c>
    </row>
    <row r="20" spans="1:6">
      <c r="A20" t="s">
        <v>127</v>
      </c>
      <c r="B20" t="s">
        <v>128</v>
      </c>
      <c r="C20" t="b">
        <f>FALSE()</f>
        <v>0</v>
      </c>
      <c r="E20" t="b">
        <f>FALSE()</f>
        <v>0</v>
      </c>
      <c r="F20" t="b">
        <f t="shared" si="0"/>
        <v>1</v>
      </c>
    </row>
    <row r="21" spans="1:6">
      <c r="A21" t="s">
        <v>129</v>
      </c>
      <c r="B21" t="s">
        <v>130</v>
      </c>
      <c r="C21" t="b">
        <f>TRUE()</f>
        <v>1</v>
      </c>
      <c r="E21" t="b">
        <f>TRUE()</f>
        <v>1</v>
      </c>
      <c r="F21" t="b">
        <f t="shared" si="0"/>
        <v>1</v>
      </c>
    </row>
    <row r="22" spans="1:6">
      <c r="A22" t="s">
        <v>131</v>
      </c>
      <c r="B22" t="s">
        <v>132</v>
      </c>
      <c r="C22" t="b">
        <f>FALSE()</f>
        <v>0</v>
      </c>
      <c r="E22" t="b">
        <f>FALSE()</f>
        <v>0</v>
      </c>
      <c r="F22" t="b">
        <f t="shared" si="0"/>
        <v>1</v>
      </c>
    </row>
    <row r="23" spans="1:6">
      <c r="A23" t="s">
        <v>133</v>
      </c>
      <c r="B23" t="s">
        <v>134</v>
      </c>
      <c r="C23" t="b">
        <f>TRUE()</f>
        <v>1</v>
      </c>
      <c r="E23" t="b">
        <f>TRUE()</f>
        <v>1</v>
      </c>
      <c r="F23" t="b">
        <f t="shared" si="0"/>
        <v>1</v>
      </c>
    </row>
    <row r="24" spans="1:6">
      <c r="A24" t="s">
        <v>135</v>
      </c>
      <c r="B24" t="s">
        <v>136</v>
      </c>
      <c r="C24" t="b">
        <f>FALSE()</f>
        <v>0</v>
      </c>
      <c r="E24" t="b">
        <f>FALSE()</f>
        <v>0</v>
      </c>
      <c r="F24" t="b">
        <f t="shared" si="0"/>
        <v>1</v>
      </c>
    </row>
    <row r="25" spans="1:6">
      <c r="A25" t="s">
        <v>137</v>
      </c>
      <c r="B25" t="s">
        <v>138</v>
      </c>
      <c r="C25" t="b">
        <f>FALSE()</f>
        <v>0</v>
      </c>
      <c r="E25" t="b">
        <f>FALSE()</f>
        <v>0</v>
      </c>
      <c r="F25" t="b">
        <f t="shared" si="0"/>
        <v>1</v>
      </c>
    </row>
    <row r="26" spans="1:6">
      <c r="A26" t="s">
        <v>139</v>
      </c>
      <c r="B26" t="s">
        <v>140</v>
      </c>
      <c r="C26" t="b">
        <f>TRUE()</f>
        <v>1</v>
      </c>
      <c r="E26" t="b">
        <f>TRUE()</f>
        <v>1</v>
      </c>
      <c r="F26" t="b">
        <f t="shared" si="0"/>
        <v>1</v>
      </c>
    </row>
    <row r="27" spans="1:6">
      <c r="A27" t="s">
        <v>141</v>
      </c>
      <c r="B27" t="s">
        <v>142</v>
      </c>
      <c r="C27" t="b">
        <f>TRUE()</f>
        <v>1</v>
      </c>
      <c r="E27" t="b">
        <f>TRUE()</f>
        <v>1</v>
      </c>
      <c r="F27" t="b">
        <f t="shared" si="0"/>
        <v>1</v>
      </c>
    </row>
    <row r="28" spans="1:6">
      <c r="A28" t="s">
        <v>143</v>
      </c>
      <c r="B28" t="s">
        <v>144</v>
      </c>
      <c r="C28" t="b">
        <f>FALSE()</f>
        <v>0</v>
      </c>
      <c r="E28" t="b">
        <f>FALSE()</f>
        <v>0</v>
      </c>
      <c r="F28" t="b">
        <f t="shared" si="0"/>
        <v>1</v>
      </c>
    </row>
    <row r="29" spans="1:6">
      <c r="A29" t="s">
        <v>145</v>
      </c>
      <c r="B29" t="s">
        <v>146</v>
      </c>
      <c r="C29" t="b">
        <f>TRUE()</f>
        <v>1</v>
      </c>
      <c r="E29" t="b">
        <f>TRUE()</f>
        <v>1</v>
      </c>
      <c r="F29" t="b">
        <f t="shared" si="0"/>
        <v>1</v>
      </c>
    </row>
    <row r="30" spans="1:6">
      <c r="A30" t="s">
        <v>147</v>
      </c>
      <c r="B30" t="s">
        <v>148</v>
      </c>
      <c r="C30" t="b">
        <f>FALSE()</f>
        <v>0</v>
      </c>
      <c r="E30" t="b">
        <f>FALSE()</f>
        <v>0</v>
      </c>
      <c r="F30" t="b">
        <f t="shared" si="0"/>
        <v>1</v>
      </c>
    </row>
    <row r="31" spans="1:6">
      <c r="A31" t="s">
        <v>149</v>
      </c>
      <c r="B31" t="s">
        <v>150</v>
      </c>
      <c r="C31" t="b">
        <f>TRUE()</f>
        <v>1</v>
      </c>
      <c r="E31" t="b">
        <f>TRUE()</f>
        <v>1</v>
      </c>
      <c r="F31" t="b">
        <f t="shared" si="0"/>
        <v>1</v>
      </c>
    </row>
    <row r="32" spans="1:6">
      <c r="A32" t="s">
        <v>151</v>
      </c>
      <c r="B32" t="s">
        <v>152</v>
      </c>
      <c r="C32" t="b">
        <f>TRUE()</f>
        <v>1</v>
      </c>
      <c r="E32" t="b">
        <f>TRUE()</f>
        <v>1</v>
      </c>
      <c r="F32" t="b">
        <f t="shared" si="0"/>
        <v>1</v>
      </c>
    </row>
    <row r="33" spans="1:6">
      <c r="A33" t="s">
        <v>153</v>
      </c>
      <c r="B33" t="s">
        <v>154</v>
      </c>
      <c r="C33" t="b">
        <f>TRUE()</f>
        <v>1</v>
      </c>
      <c r="E33" t="b">
        <f>TRUE()</f>
        <v>1</v>
      </c>
      <c r="F33" t="b">
        <f t="shared" si="0"/>
        <v>1</v>
      </c>
    </row>
    <row r="34" spans="1:6">
      <c r="A34" t="s">
        <v>155</v>
      </c>
      <c r="B34" t="s">
        <v>156</v>
      </c>
      <c r="C34" t="b">
        <f>FALSE()</f>
        <v>0</v>
      </c>
      <c r="E34" t="b">
        <f>FALSE()</f>
        <v>0</v>
      </c>
      <c r="F34" t="b">
        <f t="shared" si="0"/>
        <v>1</v>
      </c>
    </row>
    <row r="35" spans="1:6">
      <c r="A35" t="s">
        <v>157</v>
      </c>
      <c r="B35" t="s">
        <v>66</v>
      </c>
      <c r="C35" t="b">
        <f>TRUE()</f>
        <v>1</v>
      </c>
      <c r="E35" t="b">
        <f>TRUE()</f>
        <v>1</v>
      </c>
      <c r="F35" t="b">
        <f t="shared" si="0"/>
        <v>1</v>
      </c>
    </row>
    <row r="36" spans="1:6">
      <c r="A36" t="s">
        <v>158</v>
      </c>
      <c r="B36" t="s">
        <v>159</v>
      </c>
      <c r="C36" t="b">
        <f>FALSE()</f>
        <v>0</v>
      </c>
      <c r="E36" t="b">
        <f>FALSE()</f>
        <v>0</v>
      </c>
      <c r="F36" t="b">
        <f t="shared" si="0"/>
        <v>1</v>
      </c>
    </row>
    <row r="37" spans="1:6">
      <c r="A37" t="s">
        <v>69</v>
      </c>
      <c r="B37" t="s">
        <v>160</v>
      </c>
      <c r="C37" t="b">
        <f>FALSE()</f>
        <v>0</v>
      </c>
      <c r="E37" t="b">
        <f>FALSE()</f>
        <v>0</v>
      </c>
      <c r="F37" t="b">
        <f t="shared" si="0"/>
        <v>1</v>
      </c>
    </row>
    <row r="38" spans="1:6">
      <c r="A38" t="s">
        <v>161</v>
      </c>
      <c r="B38" t="s">
        <v>162</v>
      </c>
      <c r="C38" t="b">
        <f>FALSE()</f>
        <v>0</v>
      </c>
      <c r="E38" t="b">
        <f>FALSE()</f>
        <v>0</v>
      </c>
      <c r="F38" t="b">
        <f t="shared" si="0"/>
        <v>1</v>
      </c>
    </row>
    <row r="39" spans="1:6">
      <c r="A39" t="s">
        <v>163</v>
      </c>
      <c r="B39" t="s">
        <v>74</v>
      </c>
      <c r="C39" t="b">
        <f>TRUE()</f>
        <v>1</v>
      </c>
      <c r="E39" t="b">
        <f>TRUE()</f>
        <v>1</v>
      </c>
      <c r="F39" t="b">
        <f t="shared" si="0"/>
        <v>1</v>
      </c>
    </row>
    <row r="40" spans="1:6">
      <c r="A40" t="s">
        <v>164</v>
      </c>
      <c r="B40" t="s">
        <v>165</v>
      </c>
      <c r="C40" t="b">
        <f>FALSE()</f>
        <v>0</v>
      </c>
      <c r="E40" t="b">
        <f>FALSE()</f>
        <v>0</v>
      </c>
      <c r="F40" t="b">
        <f t="shared" si="0"/>
        <v>1</v>
      </c>
    </row>
    <row r="41" spans="1:6">
      <c r="A41" t="s">
        <v>166</v>
      </c>
      <c r="B41" t="s">
        <v>167</v>
      </c>
      <c r="C41" t="b">
        <f>TRUE()</f>
        <v>1</v>
      </c>
      <c r="E41" t="b">
        <f>TRUE()</f>
        <v>1</v>
      </c>
      <c r="F41" t="b">
        <f t="shared" si="0"/>
        <v>1</v>
      </c>
    </row>
    <row r="42" spans="1:6">
      <c r="A42" t="s">
        <v>168</v>
      </c>
      <c r="B42" t="s">
        <v>169</v>
      </c>
      <c r="C42" t="b">
        <f>FALSE()</f>
        <v>0</v>
      </c>
      <c r="E42" t="b">
        <f>FALSE()</f>
        <v>0</v>
      </c>
      <c r="F42" t="b">
        <f t="shared" si="0"/>
        <v>1</v>
      </c>
    </row>
    <row r="43" spans="1:6">
      <c r="A43" t="s">
        <v>82</v>
      </c>
      <c r="B43" t="s">
        <v>170</v>
      </c>
      <c r="C43" t="b">
        <f>FALSE()</f>
        <v>0</v>
      </c>
      <c r="D43" t="s">
        <v>171</v>
      </c>
      <c r="E43" t="b">
        <f>FALSE()</f>
        <v>0</v>
      </c>
      <c r="F43" t="b">
        <f t="shared" si="0"/>
        <v>1</v>
      </c>
    </row>
    <row r="44" spans="1:6">
      <c r="A44" t="s">
        <v>172</v>
      </c>
      <c r="B44" t="s">
        <v>173</v>
      </c>
      <c r="C44" t="b">
        <f>FALSE()</f>
        <v>0</v>
      </c>
      <c r="E44" t="b">
        <f>FALSE()</f>
        <v>0</v>
      </c>
      <c r="F44" t="b">
        <f t="shared" si="0"/>
        <v>1</v>
      </c>
    </row>
    <row r="45" spans="1:6">
      <c r="A45" t="s">
        <v>174</v>
      </c>
      <c r="B45" t="s">
        <v>175</v>
      </c>
      <c r="C45" t="b">
        <f>TRUE()</f>
        <v>1</v>
      </c>
      <c r="E45" t="b">
        <f>TRUE()</f>
        <v>1</v>
      </c>
      <c r="F45" t="b">
        <f t="shared" si="0"/>
        <v>1</v>
      </c>
    </row>
    <row r="46" spans="1:6">
      <c r="A46" t="s">
        <v>176</v>
      </c>
      <c r="B46" t="s">
        <v>177</v>
      </c>
      <c r="C46" t="b">
        <f>TRUE()</f>
        <v>1</v>
      </c>
      <c r="D46" t="s">
        <v>178</v>
      </c>
      <c r="E46" t="b">
        <f>TRUE()</f>
        <v>1</v>
      </c>
      <c r="F46" t="b">
        <f t="shared" si="0"/>
        <v>1</v>
      </c>
    </row>
    <row r="47" spans="1:6">
      <c r="A47" t="s">
        <v>179</v>
      </c>
      <c r="B47" t="s">
        <v>91</v>
      </c>
      <c r="C47" t="b">
        <f>TRUE()</f>
        <v>1</v>
      </c>
      <c r="E47" t="b">
        <f>TRUE()</f>
        <v>1</v>
      </c>
      <c r="F47" t="b">
        <f t="shared" si="0"/>
        <v>1</v>
      </c>
    </row>
    <row r="48" spans="1:6">
      <c r="A48" t="s">
        <v>180</v>
      </c>
      <c r="B48" t="s">
        <v>181</v>
      </c>
      <c r="C48" t="b">
        <f>FALSE()</f>
        <v>0</v>
      </c>
      <c r="E48" t="b">
        <f>TRUE()</f>
        <v>1</v>
      </c>
      <c r="F48" t="b">
        <f t="shared" si="0"/>
        <v>0</v>
      </c>
    </row>
    <row r="49" spans="1:6">
      <c r="A49" t="s">
        <v>94</v>
      </c>
      <c r="B49" t="s">
        <v>182</v>
      </c>
      <c r="C49" t="b">
        <f>FALSE()</f>
        <v>0</v>
      </c>
      <c r="E49" t="b">
        <f>FALSE()</f>
        <v>0</v>
      </c>
      <c r="F49" t="b">
        <f t="shared" si="0"/>
        <v>1</v>
      </c>
    </row>
    <row r="50" spans="1:6">
      <c r="A50" t="s">
        <v>183</v>
      </c>
      <c r="B50" t="s">
        <v>184</v>
      </c>
      <c r="C50" t="b">
        <f>FALSE()</f>
        <v>0</v>
      </c>
      <c r="E50" t="b">
        <f>FALSE()</f>
        <v>0</v>
      </c>
      <c r="F50" t="b">
        <f t="shared" si="0"/>
        <v>1</v>
      </c>
    </row>
    <row r="51" spans="1:6">
      <c r="A51" t="s">
        <v>185</v>
      </c>
      <c r="B51" t="s">
        <v>186</v>
      </c>
      <c r="C51" t="b">
        <f>TRUE()</f>
        <v>1</v>
      </c>
      <c r="E51" t="b">
        <f>TRUE()</f>
        <v>1</v>
      </c>
      <c r="F51" t="b">
        <f t="shared" si="0"/>
        <v>1</v>
      </c>
    </row>
    <row r="52" spans="1:6">
      <c r="A52" t="s">
        <v>187</v>
      </c>
      <c r="B52" t="s">
        <v>188</v>
      </c>
      <c r="C52" t="b">
        <f>FALSE()</f>
        <v>0</v>
      </c>
      <c r="E52" t="b">
        <f>FALSE()</f>
        <v>0</v>
      </c>
      <c r="F52" t="b">
        <f t="shared" si="0"/>
        <v>1</v>
      </c>
    </row>
    <row r="53" spans="1:6">
      <c r="A53" t="s">
        <v>189</v>
      </c>
      <c r="B53" t="s">
        <v>190</v>
      </c>
      <c r="C53" t="b">
        <f>TRUE()</f>
        <v>1</v>
      </c>
      <c r="E53" t="b">
        <f>TRUE()</f>
        <v>1</v>
      </c>
      <c r="F53" t="b">
        <f t="shared" si="0"/>
        <v>1</v>
      </c>
    </row>
    <row r="54" spans="1:6">
      <c r="A54" t="s">
        <v>191</v>
      </c>
      <c r="B54" t="s">
        <v>192</v>
      </c>
      <c r="C54" t="b">
        <f>FALSE()</f>
        <v>0</v>
      </c>
      <c r="E54" t="b">
        <f>FALSE()</f>
        <v>0</v>
      </c>
      <c r="F54" t="b">
        <f t="shared" si="0"/>
        <v>1</v>
      </c>
    </row>
    <row r="55" spans="1:6">
      <c r="A55" t="s">
        <v>193</v>
      </c>
      <c r="B55" t="s">
        <v>194</v>
      </c>
      <c r="C55" t="b">
        <f>FALSE()</f>
        <v>0</v>
      </c>
      <c r="E55" t="b">
        <f>FALSE()</f>
        <v>0</v>
      </c>
      <c r="F55" t="b">
        <f t="shared" si="0"/>
        <v>1</v>
      </c>
    </row>
    <row r="56" spans="1:6">
      <c r="A56" t="s">
        <v>195</v>
      </c>
      <c r="B56" t="s">
        <v>196</v>
      </c>
      <c r="C56" t="b">
        <f>FALSE()</f>
        <v>0</v>
      </c>
      <c r="E56" t="b">
        <f>FALSE()</f>
        <v>0</v>
      </c>
      <c r="F56" t="b">
        <f t="shared" si="0"/>
        <v>1</v>
      </c>
    </row>
    <row r="57" spans="1:6">
      <c r="A57" t="s">
        <v>197</v>
      </c>
      <c r="B57" t="s">
        <v>198</v>
      </c>
      <c r="C57" t="b">
        <f>TRUE()</f>
        <v>1</v>
      </c>
      <c r="E57" t="b">
        <f>TRUE()</f>
        <v>1</v>
      </c>
      <c r="F57" t="b">
        <f t="shared" si="0"/>
        <v>1</v>
      </c>
    </row>
    <row r="58" spans="1:6">
      <c r="A58" t="s">
        <v>199</v>
      </c>
      <c r="B58" t="s">
        <v>200</v>
      </c>
      <c r="C58" t="b">
        <f>FALSE()</f>
        <v>0</v>
      </c>
      <c r="E58" t="b">
        <f>FALSE()</f>
        <v>0</v>
      </c>
      <c r="F58" t="b">
        <f t="shared" si="0"/>
        <v>1</v>
      </c>
    </row>
    <row r="59" spans="1:6">
      <c r="A59" t="s">
        <v>201</v>
      </c>
      <c r="B59" t="s">
        <v>202</v>
      </c>
      <c r="C59" t="b">
        <f>TRUE()</f>
        <v>1</v>
      </c>
      <c r="E59" t="b">
        <f>TRUE()</f>
        <v>1</v>
      </c>
      <c r="F59" t="b">
        <f t="shared" si="0"/>
        <v>1</v>
      </c>
    </row>
    <row r="60" spans="1:6">
      <c r="A60" t="s">
        <v>203</v>
      </c>
      <c r="B60" t="s">
        <v>204</v>
      </c>
      <c r="C60" t="b">
        <f>FALSE()</f>
        <v>0</v>
      </c>
      <c r="E60" t="b">
        <f>FALSE()</f>
        <v>0</v>
      </c>
      <c r="F60" t="b">
        <f t="shared" si="0"/>
        <v>1</v>
      </c>
    </row>
    <row r="61" spans="1:6">
      <c r="A61" t="s">
        <v>205</v>
      </c>
      <c r="B61" t="s">
        <v>206</v>
      </c>
      <c r="C61" t="b">
        <f>TRUE()</f>
        <v>1</v>
      </c>
      <c r="E61" t="b">
        <f>TRUE()</f>
        <v>1</v>
      </c>
      <c r="F61" t="b">
        <f t="shared" si="0"/>
        <v>1</v>
      </c>
    </row>
  </sheetData>
  <pageMargins left="0.75" right="0.75" top="1" bottom="1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85"/>
  <sheetViews>
    <sheetView topLeftCell="B1" zoomScale="60" zoomScaleNormal="60" workbookViewId="0">
      <selection activeCell="F61" sqref="F61:F85"/>
    </sheetView>
  </sheetViews>
  <sheetFormatPr defaultColWidth="8.5703125" defaultRowHeight="15"/>
  <cols>
    <col min="1" max="1" width="43.7109375" customWidth="1"/>
    <col min="2" max="2" width="82.28515625" customWidth="1"/>
    <col min="4" max="4" width="22.28515625" customWidth="1"/>
    <col min="5" max="5" width="12" customWidth="1"/>
  </cols>
  <sheetData>
    <row r="1" spans="1:6">
      <c r="A1" s="3" t="s">
        <v>17</v>
      </c>
      <c r="B1" s="3" t="s">
        <v>18</v>
      </c>
      <c r="C1" t="s">
        <v>19</v>
      </c>
      <c r="D1" t="s">
        <v>20</v>
      </c>
      <c r="E1" t="s">
        <v>21</v>
      </c>
      <c r="F1" t="s">
        <v>96</v>
      </c>
    </row>
    <row r="2" spans="1:6" ht="16.350000000000001">
      <c r="A2" t="s">
        <v>22</v>
      </c>
      <c r="B2" t="s">
        <v>23</v>
      </c>
      <c r="C2" t="b">
        <f>TRUE()</f>
        <v>1</v>
      </c>
      <c r="D2" s="6"/>
      <c r="E2" s="5" t="b">
        <v>1</v>
      </c>
      <c r="F2" t="b">
        <f>C2=E2</f>
        <v>1</v>
      </c>
    </row>
    <row r="3" spans="1:6" ht="46.35">
      <c r="A3" t="s">
        <v>24</v>
      </c>
      <c r="B3" t="s">
        <v>207</v>
      </c>
      <c r="C3" t="b">
        <f>TRUE()</f>
        <v>1</v>
      </c>
      <c r="D3" s="6" t="s">
        <v>208</v>
      </c>
      <c r="E3" s="5" t="b">
        <v>1</v>
      </c>
      <c r="F3" t="b">
        <f t="shared" ref="F3:F66" si="0">C3=E3</f>
        <v>1</v>
      </c>
    </row>
    <row r="4" spans="1:6" ht="16.350000000000001">
      <c r="A4" t="s">
        <v>26</v>
      </c>
      <c r="B4" t="s">
        <v>209</v>
      </c>
      <c r="C4" t="b">
        <f>FALSE()</f>
        <v>0</v>
      </c>
      <c r="D4" s="6"/>
      <c r="E4" s="5" t="b">
        <v>0</v>
      </c>
      <c r="F4" t="b">
        <f t="shared" si="0"/>
        <v>1</v>
      </c>
    </row>
    <row r="5" spans="1:6" ht="16.350000000000001">
      <c r="A5" t="s">
        <v>28</v>
      </c>
      <c r="B5" t="s">
        <v>29</v>
      </c>
      <c r="C5" t="b">
        <f>TRUE()</f>
        <v>1</v>
      </c>
      <c r="D5" s="6"/>
      <c r="E5" s="5" t="b">
        <v>1</v>
      </c>
      <c r="F5" t="b">
        <f t="shared" si="0"/>
        <v>1</v>
      </c>
    </row>
    <row r="6" spans="1:6" ht="16.350000000000001">
      <c r="A6" t="s">
        <v>30</v>
      </c>
      <c r="B6" t="s">
        <v>210</v>
      </c>
      <c r="C6" t="b">
        <f>FALSE()</f>
        <v>0</v>
      </c>
      <c r="D6" s="6"/>
      <c r="E6" s="5" t="b">
        <v>0</v>
      </c>
      <c r="F6" t="b">
        <f t="shared" si="0"/>
        <v>1</v>
      </c>
    </row>
    <row r="7" spans="1:6" ht="16.350000000000001">
      <c r="A7" t="s">
        <v>32</v>
      </c>
      <c r="B7" t="s">
        <v>211</v>
      </c>
      <c r="C7" t="b">
        <f>FALSE()</f>
        <v>0</v>
      </c>
      <c r="D7" s="6"/>
      <c r="E7" s="5" t="b">
        <v>0</v>
      </c>
      <c r="F7" t="b">
        <f t="shared" si="0"/>
        <v>1</v>
      </c>
    </row>
    <row r="8" spans="1:6" ht="16.350000000000001">
      <c r="A8" t="s">
        <v>34</v>
      </c>
      <c r="B8" t="s">
        <v>212</v>
      </c>
      <c r="C8" t="b">
        <f>TRUE()</f>
        <v>1</v>
      </c>
      <c r="D8" s="6"/>
      <c r="E8" s="5" t="b">
        <v>1</v>
      </c>
      <c r="F8" t="b">
        <f t="shared" si="0"/>
        <v>1</v>
      </c>
    </row>
    <row r="9" spans="1:6" ht="16.350000000000001">
      <c r="A9" t="s">
        <v>36</v>
      </c>
      <c r="B9" t="s">
        <v>37</v>
      </c>
      <c r="C9" t="b">
        <f>TRUE()</f>
        <v>1</v>
      </c>
      <c r="D9" s="6"/>
      <c r="E9" s="5" t="b">
        <v>1</v>
      </c>
      <c r="F9" t="b">
        <f t="shared" si="0"/>
        <v>1</v>
      </c>
    </row>
    <row r="10" spans="1:6" ht="16.350000000000001">
      <c r="A10" t="s">
        <v>38</v>
      </c>
      <c r="B10" t="s">
        <v>213</v>
      </c>
      <c r="C10" t="b">
        <f>FALSE()</f>
        <v>0</v>
      </c>
      <c r="D10" s="6"/>
      <c r="E10" s="5" t="b">
        <v>0</v>
      </c>
      <c r="F10" t="b">
        <f t="shared" si="0"/>
        <v>1</v>
      </c>
    </row>
    <row r="11" spans="1:6" ht="16.350000000000001">
      <c r="A11" t="s">
        <v>41</v>
      </c>
      <c r="B11" t="s">
        <v>42</v>
      </c>
      <c r="C11" t="b">
        <f>TRUE()</f>
        <v>1</v>
      </c>
      <c r="D11" s="6"/>
      <c r="E11" s="5" t="b">
        <v>1</v>
      </c>
      <c r="F11" t="b">
        <f t="shared" si="0"/>
        <v>1</v>
      </c>
    </row>
    <row r="12" spans="1:6" ht="16.350000000000001">
      <c r="A12" t="s">
        <v>43</v>
      </c>
      <c r="B12" t="s">
        <v>214</v>
      </c>
      <c r="C12" t="b">
        <f>FALSE()</f>
        <v>0</v>
      </c>
      <c r="D12" s="6"/>
      <c r="E12" s="5" t="b">
        <v>0</v>
      </c>
      <c r="F12" t="b">
        <f t="shared" si="0"/>
        <v>1</v>
      </c>
    </row>
    <row r="13" spans="1:6" ht="16.350000000000001">
      <c r="A13" t="s">
        <v>45</v>
      </c>
      <c r="B13" t="s">
        <v>215</v>
      </c>
      <c r="C13" t="b">
        <f>FALSE()</f>
        <v>0</v>
      </c>
      <c r="D13" s="6"/>
      <c r="E13" s="5" t="b">
        <v>0</v>
      </c>
      <c r="F13" t="b">
        <f t="shared" si="0"/>
        <v>1</v>
      </c>
    </row>
    <row r="14" spans="1:6" ht="16.350000000000001">
      <c r="A14" t="s">
        <v>47</v>
      </c>
      <c r="B14" t="s">
        <v>216</v>
      </c>
      <c r="C14" t="b">
        <f>FALSE()</f>
        <v>0</v>
      </c>
      <c r="D14" s="6"/>
      <c r="E14" s="5" t="b">
        <v>0</v>
      </c>
      <c r="F14" t="b">
        <f t="shared" si="0"/>
        <v>1</v>
      </c>
    </row>
    <row r="15" spans="1:6" ht="16.350000000000001">
      <c r="A15" t="s">
        <v>49</v>
      </c>
      <c r="B15" t="s">
        <v>50</v>
      </c>
      <c r="C15" t="b">
        <f>TRUE()</f>
        <v>1</v>
      </c>
      <c r="D15" s="6"/>
      <c r="E15" s="5" t="b">
        <v>1</v>
      </c>
      <c r="F15" t="b">
        <f t="shared" si="0"/>
        <v>1</v>
      </c>
    </row>
    <row r="16" spans="1:6" ht="16.350000000000001">
      <c r="A16" t="s">
        <v>51</v>
      </c>
      <c r="B16" t="s">
        <v>217</v>
      </c>
      <c r="C16" t="b">
        <f>FALSE()</f>
        <v>0</v>
      </c>
      <c r="D16" s="6"/>
      <c r="E16" s="5" t="b">
        <v>0</v>
      </c>
      <c r="F16" t="b">
        <f t="shared" si="0"/>
        <v>1</v>
      </c>
    </row>
    <row r="17" spans="1:6" ht="16.350000000000001">
      <c r="A17" t="s">
        <v>53</v>
      </c>
      <c r="B17" t="s">
        <v>54</v>
      </c>
      <c r="C17" t="b">
        <f>TRUE()</f>
        <v>1</v>
      </c>
      <c r="D17" s="6"/>
      <c r="E17" s="5" t="b">
        <v>1</v>
      </c>
      <c r="F17" t="b">
        <f t="shared" si="0"/>
        <v>1</v>
      </c>
    </row>
    <row r="18" spans="1:6" ht="16.350000000000001">
      <c r="A18" t="s">
        <v>55</v>
      </c>
      <c r="B18" t="s">
        <v>218</v>
      </c>
      <c r="C18" t="b">
        <f>FALSE()</f>
        <v>0</v>
      </c>
      <c r="D18" s="6"/>
      <c r="E18" s="5" t="b">
        <v>0</v>
      </c>
      <c r="F18" t="b">
        <f t="shared" si="0"/>
        <v>1</v>
      </c>
    </row>
    <row r="19" spans="1:6" ht="16.350000000000001">
      <c r="A19" t="s">
        <v>57</v>
      </c>
      <c r="B19" t="s">
        <v>219</v>
      </c>
      <c r="C19" t="b">
        <f>TRUE()</f>
        <v>1</v>
      </c>
      <c r="D19" s="6"/>
      <c r="E19" s="5" t="b">
        <v>1</v>
      </c>
      <c r="F19" t="b">
        <f t="shared" si="0"/>
        <v>1</v>
      </c>
    </row>
    <row r="20" spans="1:6" ht="16.350000000000001">
      <c r="A20" t="s">
        <v>220</v>
      </c>
      <c r="B20" t="s">
        <v>221</v>
      </c>
      <c r="C20" t="b">
        <f>FALSE()</f>
        <v>0</v>
      </c>
      <c r="D20" s="6"/>
      <c r="E20" s="5" t="b">
        <v>0</v>
      </c>
      <c r="F20" t="b">
        <f t="shared" si="0"/>
        <v>1</v>
      </c>
    </row>
    <row r="21" spans="1:6" ht="61.15">
      <c r="A21" t="s">
        <v>222</v>
      </c>
      <c r="B21" t="s">
        <v>223</v>
      </c>
      <c r="C21" t="b">
        <f>FALSE()</f>
        <v>0</v>
      </c>
      <c r="D21" s="6" t="s">
        <v>224</v>
      </c>
      <c r="E21" s="5" t="b">
        <v>0</v>
      </c>
      <c r="F21" t="b">
        <f t="shared" si="0"/>
        <v>1</v>
      </c>
    </row>
    <row r="22" spans="1:6" ht="16.350000000000001">
      <c r="A22" t="s">
        <v>225</v>
      </c>
      <c r="B22" t="s">
        <v>226</v>
      </c>
      <c r="C22" t="b">
        <f>FALSE()</f>
        <v>0</v>
      </c>
      <c r="D22" s="6"/>
      <c r="E22" s="5" t="b">
        <v>0</v>
      </c>
      <c r="F22" t="b">
        <f t="shared" si="0"/>
        <v>1</v>
      </c>
    </row>
    <row r="23" spans="1:6" ht="16.350000000000001">
      <c r="A23" t="s">
        <v>227</v>
      </c>
      <c r="B23" t="s">
        <v>134</v>
      </c>
      <c r="C23" t="b">
        <f>TRUE()</f>
        <v>1</v>
      </c>
      <c r="D23" s="6"/>
      <c r="E23" s="5" t="b">
        <v>1</v>
      </c>
      <c r="F23" t="b">
        <f t="shared" si="0"/>
        <v>1</v>
      </c>
    </row>
    <row r="24" spans="1:6" ht="16.350000000000001">
      <c r="A24" t="s">
        <v>228</v>
      </c>
      <c r="B24" t="s">
        <v>229</v>
      </c>
      <c r="C24" t="b">
        <f>FALSE()</f>
        <v>0</v>
      </c>
      <c r="D24" s="6"/>
      <c r="E24" s="5" t="b">
        <v>0</v>
      </c>
      <c r="F24" t="b">
        <f t="shared" si="0"/>
        <v>1</v>
      </c>
    </row>
    <row r="25" spans="1:6" ht="16.350000000000001">
      <c r="A25" t="s">
        <v>137</v>
      </c>
      <c r="B25" t="s">
        <v>230</v>
      </c>
      <c r="C25" t="b">
        <f>FALSE()</f>
        <v>0</v>
      </c>
      <c r="D25" s="6"/>
      <c r="E25" s="5" t="b">
        <v>0</v>
      </c>
      <c r="F25" t="b">
        <f t="shared" si="0"/>
        <v>1</v>
      </c>
    </row>
    <row r="26" spans="1:6" ht="16.350000000000001">
      <c r="A26" t="s">
        <v>231</v>
      </c>
      <c r="B26" t="s">
        <v>232</v>
      </c>
      <c r="C26" t="b">
        <f>TRUE()</f>
        <v>1</v>
      </c>
      <c r="D26" s="6"/>
      <c r="E26" s="5" t="b">
        <v>1</v>
      </c>
      <c r="F26" t="b">
        <f t="shared" si="0"/>
        <v>1</v>
      </c>
    </row>
    <row r="27" spans="1:6" ht="16.350000000000001">
      <c r="A27" t="s">
        <v>233</v>
      </c>
      <c r="B27" t="s">
        <v>234</v>
      </c>
      <c r="C27" t="b">
        <f>TRUE()</f>
        <v>1</v>
      </c>
      <c r="D27" s="6"/>
      <c r="E27" s="5" t="b">
        <v>1</v>
      </c>
      <c r="F27" t="b">
        <f t="shared" si="0"/>
        <v>1</v>
      </c>
    </row>
    <row r="28" spans="1:6" ht="16.350000000000001">
      <c r="A28" t="s">
        <v>235</v>
      </c>
      <c r="B28" t="s">
        <v>236</v>
      </c>
      <c r="C28" t="b">
        <f>FALSE()</f>
        <v>0</v>
      </c>
      <c r="D28" s="6"/>
      <c r="E28" s="5" t="b">
        <v>0</v>
      </c>
      <c r="F28" t="b">
        <f t="shared" si="0"/>
        <v>1</v>
      </c>
    </row>
    <row r="29" spans="1:6" ht="16.350000000000001">
      <c r="A29" t="s">
        <v>237</v>
      </c>
      <c r="B29" t="s">
        <v>146</v>
      </c>
      <c r="C29" t="b">
        <f>TRUE()</f>
        <v>1</v>
      </c>
      <c r="D29" s="6"/>
      <c r="E29" s="5" t="b">
        <v>1</v>
      </c>
      <c r="F29" t="b">
        <f t="shared" si="0"/>
        <v>1</v>
      </c>
    </row>
    <row r="30" spans="1:6" ht="16.350000000000001">
      <c r="A30" t="s">
        <v>238</v>
      </c>
      <c r="B30" t="s">
        <v>239</v>
      </c>
      <c r="C30" t="b">
        <f>FALSE()</f>
        <v>0</v>
      </c>
      <c r="D30" s="6"/>
      <c r="E30" s="5" t="b">
        <v>0</v>
      </c>
      <c r="F30" t="b">
        <f t="shared" si="0"/>
        <v>1</v>
      </c>
    </row>
    <row r="31" spans="1:6" ht="16.350000000000001">
      <c r="A31" t="s">
        <v>149</v>
      </c>
      <c r="B31" t="s">
        <v>240</v>
      </c>
      <c r="C31" t="b">
        <f>TRUE()</f>
        <v>1</v>
      </c>
      <c r="D31" s="6"/>
      <c r="E31" s="5" t="b">
        <v>1</v>
      </c>
      <c r="F31" t="b">
        <f t="shared" si="0"/>
        <v>1</v>
      </c>
    </row>
    <row r="32" spans="1:6" ht="16.350000000000001">
      <c r="A32" t="s">
        <v>241</v>
      </c>
      <c r="B32" t="s">
        <v>242</v>
      </c>
      <c r="C32" t="b">
        <f>FALSE()</f>
        <v>0</v>
      </c>
      <c r="D32" s="6"/>
      <c r="E32" s="5" t="b">
        <v>0</v>
      </c>
      <c r="F32" t="b">
        <f t="shared" si="0"/>
        <v>1</v>
      </c>
    </row>
    <row r="33" spans="1:6" ht="16.350000000000001">
      <c r="A33" t="s">
        <v>243</v>
      </c>
      <c r="B33" t="s">
        <v>244</v>
      </c>
      <c r="C33" t="b">
        <f>TRUE()</f>
        <v>1</v>
      </c>
      <c r="D33" s="6"/>
      <c r="E33" s="5" t="b">
        <v>1</v>
      </c>
      <c r="F33" t="b">
        <f t="shared" si="0"/>
        <v>1</v>
      </c>
    </row>
    <row r="34" spans="1:6" ht="16.350000000000001">
      <c r="A34" t="s">
        <v>245</v>
      </c>
      <c r="B34" t="s">
        <v>246</v>
      </c>
      <c r="C34" t="b">
        <f>FALSE()</f>
        <v>0</v>
      </c>
      <c r="D34" s="6"/>
      <c r="E34" s="5" t="b">
        <v>0</v>
      </c>
      <c r="F34" t="b">
        <f t="shared" si="0"/>
        <v>1</v>
      </c>
    </row>
    <row r="35" spans="1:6" ht="16.350000000000001">
      <c r="A35" t="s">
        <v>247</v>
      </c>
      <c r="B35" t="s">
        <v>248</v>
      </c>
      <c r="C35" t="b">
        <f>TRUE()</f>
        <v>1</v>
      </c>
      <c r="D35" s="6"/>
      <c r="E35" s="5" t="b">
        <v>1</v>
      </c>
      <c r="F35" t="b">
        <f t="shared" si="0"/>
        <v>1</v>
      </c>
    </row>
    <row r="36" spans="1:6" ht="16.350000000000001">
      <c r="A36" t="s">
        <v>249</v>
      </c>
      <c r="B36" t="s">
        <v>250</v>
      </c>
      <c r="C36" t="b">
        <f>FALSE()</f>
        <v>0</v>
      </c>
      <c r="D36" s="6"/>
      <c r="E36" s="5" t="b">
        <v>0</v>
      </c>
      <c r="F36" t="b">
        <f t="shared" si="0"/>
        <v>1</v>
      </c>
    </row>
    <row r="37" spans="1:6" ht="16.350000000000001">
      <c r="A37" t="s">
        <v>251</v>
      </c>
      <c r="B37" t="s">
        <v>252</v>
      </c>
      <c r="C37" t="b">
        <f>FALSE()</f>
        <v>0</v>
      </c>
      <c r="D37" s="6"/>
      <c r="E37" s="5" t="b">
        <v>0</v>
      </c>
      <c r="F37" t="b">
        <f t="shared" si="0"/>
        <v>1</v>
      </c>
    </row>
    <row r="38" spans="1:6" ht="16.350000000000001">
      <c r="A38" t="s">
        <v>253</v>
      </c>
      <c r="B38" t="s">
        <v>254</v>
      </c>
      <c r="C38" t="b">
        <f>TRUE()</f>
        <v>1</v>
      </c>
      <c r="D38" s="6"/>
      <c r="E38" s="5" t="b">
        <v>1</v>
      </c>
      <c r="F38" t="b">
        <f t="shared" si="0"/>
        <v>1</v>
      </c>
    </row>
    <row r="39" spans="1:6" ht="16.350000000000001">
      <c r="A39" t="s">
        <v>255</v>
      </c>
      <c r="B39" t="s">
        <v>256</v>
      </c>
      <c r="C39" t="b">
        <f>TRUE()</f>
        <v>1</v>
      </c>
      <c r="E39" s="5" t="b">
        <v>1</v>
      </c>
      <c r="F39" t="b">
        <f t="shared" si="0"/>
        <v>1</v>
      </c>
    </row>
    <row r="40" spans="1:6" ht="16.350000000000001">
      <c r="A40" t="s">
        <v>257</v>
      </c>
      <c r="B40" t="s">
        <v>258</v>
      </c>
      <c r="C40" t="b">
        <f>FALSE()</f>
        <v>0</v>
      </c>
      <c r="E40" s="5" t="b">
        <v>0</v>
      </c>
      <c r="F40" t="b">
        <f t="shared" si="0"/>
        <v>1</v>
      </c>
    </row>
    <row r="41" spans="1:6" ht="16.350000000000001">
      <c r="A41" t="s">
        <v>259</v>
      </c>
      <c r="B41" t="s">
        <v>260</v>
      </c>
      <c r="C41" t="b">
        <f>TRUE()</f>
        <v>1</v>
      </c>
      <c r="E41" s="5" t="b">
        <v>1</v>
      </c>
      <c r="F41" t="b">
        <f t="shared" si="0"/>
        <v>1</v>
      </c>
    </row>
    <row r="42" spans="1:6" ht="16.350000000000001">
      <c r="A42" t="s">
        <v>261</v>
      </c>
      <c r="B42" t="s">
        <v>262</v>
      </c>
      <c r="C42" t="b">
        <f>FALSE()</f>
        <v>0</v>
      </c>
      <c r="E42" s="5" t="b">
        <v>0</v>
      </c>
      <c r="F42" t="b">
        <f t="shared" si="0"/>
        <v>1</v>
      </c>
    </row>
    <row r="43" spans="1:6" ht="16.350000000000001">
      <c r="A43" t="s">
        <v>263</v>
      </c>
      <c r="B43" t="s">
        <v>264</v>
      </c>
      <c r="C43" t="b">
        <f>FALSE()</f>
        <v>0</v>
      </c>
      <c r="E43" s="5" t="b">
        <v>0</v>
      </c>
      <c r="F43" t="b">
        <f t="shared" si="0"/>
        <v>1</v>
      </c>
    </row>
    <row r="44" spans="1:6" ht="16.350000000000001">
      <c r="A44" t="s">
        <v>59</v>
      </c>
      <c r="B44" t="s">
        <v>265</v>
      </c>
      <c r="C44" t="b">
        <f>FALSE()</f>
        <v>0</v>
      </c>
      <c r="E44" s="5" t="b">
        <v>0</v>
      </c>
      <c r="F44" t="b">
        <f t="shared" si="0"/>
        <v>1</v>
      </c>
    </row>
    <row r="45" spans="1:6" ht="16.350000000000001">
      <c r="A45" t="s">
        <v>61</v>
      </c>
      <c r="B45" t="s">
        <v>266</v>
      </c>
      <c r="C45" t="b">
        <f>TRUE()</f>
        <v>1</v>
      </c>
      <c r="E45" s="5" t="b">
        <v>1</v>
      </c>
      <c r="F45" t="b">
        <f t="shared" si="0"/>
        <v>1</v>
      </c>
    </row>
    <row r="46" spans="1:6" ht="16.350000000000001">
      <c r="A46" t="s">
        <v>63</v>
      </c>
      <c r="B46" t="s">
        <v>267</v>
      </c>
      <c r="C46" t="b">
        <f>FALSE()</f>
        <v>0</v>
      </c>
      <c r="E46" s="5" t="b">
        <v>0</v>
      </c>
      <c r="F46" t="b">
        <f t="shared" si="0"/>
        <v>1</v>
      </c>
    </row>
    <row r="47" spans="1:6" ht="16.350000000000001">
      <c r="A47" t="s">
        <v>65</v>
      </c>
      <c r="B47" t="s">
        <v>66</v>
      </c>
      <c r="C47" t="b">
        <f>TRUE()</f>
        <v>1</v>
      </c>
      <c r="E47" s="5" t="b">
        <v>1</v>
      </c>
      <c r="F47" t="b">
        <f t="shared" si="0"/>
        <v>1</v>
      </c>
    </row>
    <row r="48" spans="1:6" ht="16.350000000000001">
      <c r="A48" t="s">
        <v>67</v>
      </c>
      <c r="B48" t="s">
        <v>68</v>
      </c>
      <c r="C48" t="b">
        <f>FALSE()</f>
        <v>0</v>
      </c>
      <c r="E48" s="5" t="b">
        <v>0</v>
      </c>
      <c r="F48" t="b">
        <f t="shared" si="0"/>
        <v>1</v>
      </c>
    </row>
    <row r="49" spans="1:6" ht="16.350000000000001">
      <c r="A49" t="s">
        <v>69</v>
      </c>
      <c r="B49" t="s">
        <v>268</v>
      </c>
      <c r="C49" t="b">
        <f>TRUE()</f>
        <v>1</v>
      </c>
      <c r="E49" s="5" t="b">
        <v>1</v>
      </c>
      <c r="F49" t="b">
        <f t="shared" si="0"/>
        <v>1</v>
      </c>
    </row>
    <row r="50" spans="1:6" ht="16.350000000000001">
      <c r="A50" t="s">
        <v>71</v>
      </c>
      <c r="B50" t="s">
        <v>72</v>
      </c>
      <c r="C50" t="b">
        <f>TRUE()</f>
        <v>1</v>
      </c>
      <c r="E50" s="5" t="b">
        <v>1</v>
      </c>
      <c r="F50" t="b">
        <f t="shared" si="0"/>
        <v>1</v>
      </c>
    </row>
    <row r="51" spans="1:6" ht="16.350000000000001">
      <c r="A51" t="s">
        <v>73</v>
      </c>
      <c r="B51" t="s">
        <v>269</v>
      </c>
      <c r="C51" t="b">
        <f>TRUE()</f>
        <v>1</v>
      </c>
      <c r="E51" s="5" t="b">
        <v>1</v>
      </c>
      <c r="F51" t="b">
        <f t="shared" si="0"/>
        <v>1</v>
      </c>
    </row>
    <row r="52" spans="1:6" ht="16.350000000000001">
      <c r="A52" t="s">
        <v>75</v>
      </c>
      <c r="B52" t="s">
        <v>270</v>
      </c>
      <c r="C52" t="b">
        <f>FALSE()</f>
        <v>0</v>
      </c>
      <c r="E52" s="5" t="b">
        <v>0</v>
      </c>
      <c r="F52" t="b">
        <f t="shared" si="0"/>
        <v>1</v>
      </c>
    </row>
    <row r="53" spans="1:6" ht="16.350000000000001">
      <c r="A53" t="s">
        <v>78</v>
      </c>
      <c r="B53" t="s">
        <v>167</v>
      </c>
      <c r="C53" t="b">
        <f>TRUE()</f>
        <v>1</v>
      </c>
      <c r="E53" s="5" t="b">
        <v>1</v>
      </c>
      <c r="F53" t="b">
        <f t="shared" si="0"/>
        <v>1</v>
      </c>
    </row>
    <row r="54" spans="1:6" ht="16.350000000000001">
      <c r="A54" t="s">
        <v>80</v>
      </c>
      <c r="B54" t="s">
        <v>271</v>
      </c>
      <c r="C54" t="b">
        <f>FALSE()</f>
        <v>0</v>
      </c>
      <c r="E54" s="5" t="b">
        <v>0</v>
      </c>
      <c r="F54" t="b">
        <f t="shared" si="0"/>
        <v>1</v>
      </c>
    </row>
    <row r="55" spans="1:6" ht="16.350000000000001">
      <c r="A55" t="s">
        <v>82</v>
      </c>
      <c r="B55" t="s">
        <v>83</v>
      </c>
      <c r="C55" t="b">
        <f>FALSE()</f>
        <v>0</v>
      </c>
      <c r="E55" s="5" t="b">
        <v>0</v>
      </c>
      <c r="F55" t="b">
        <f t="shared" si="0"/>
        <v>1</v>
      </c>
    </row>
    <row r="56" spans="1:6" ht="16.350000000000001">
      <c r="A56" t="s">
        <v>84</v>
      </c>
      <c r="B56" t="s">
        <v>272</v>
      </c>
      <c r="C56" t="b">
        <f>FALSE()</f>
        <v>0</v>
      </c>
      <c r="E56" s="5" t="b">
        <v>0</v>
      </c>
      <c r="F56" t="b">
        <f t="shared" si="0"/>
        <v>1</v>
      </c>
    </row>
    <row r="57" spans="1:6" ht="16.350000000000001">
      <c r="A57" t="s">
        <v>86</v>
      </c>
      <c r="B57" t="s">
        <v>87</v>
      </c>
      <c r="C57" t="b">
        <f>TRUE()</f>
        <v>1</v>
      </c>
      <c r="E57" s="5" t="b">
        <v>1</v>
      </c>
      <c r="F57" t="b">
        <f t="shared" si="0"/>
        <v>1</v>
      </c>
    </row>
    <row r="58" spans="1:6" ht="16.350000000000001">
      <c r="A58" t="s">
        <v>88</v>
      </c>
      <c r="B58" t="s">
        <v>273</v>
      </c>
      <c r="C58" t="b">
        <f>FALSE()</f>
        <v>0</v>
      </c>
      <c r="E58" s="5" t="b">
        <v>0</v>
      </c>
      <c r="F58" t="b">
        <f t="shared" si="0"/>
        <v>1</v>
      </c>
    </row>
    <row r="59" spans="1:6" ht="16.350000000000001">
      <c r="A59" t="s">
        <v>90</v>
      </c>
      <c r="B59" t="s">
        <v>91</v>
      </c>
      <c r="C59" t="b">
        <f>TRUE()</f>
        <v>1</v>
      </c>
      <c r="E59" s="5" t="b">
        <v>1</v>
      </c>
      <c r="F59" t="b">
        <f t="shared" si="0"/>
        <v>1</v>
      </c>
    </row>
    <row r="60" spans="1:6" ht="16.350000000000001">
      <c r="A60" t="s">
        <v>92</v>
      </c>
      <c r="B60" t="s">
        <v>274</v>
      </c>
      <c r="C60" t="b">
        <f>FALSE()</f>
        <v>0</v>
      </c>
      <c r="E60" s="5" t="b">
        <v>0</v>
      </c>
      <c r="F60" t="b">
        <f t="shared" si="0"/>
        <v>1</v>
      </c>
    </row>
    <row r="61" spans="1:6" ht="16.350000000000001">
      <c r="A61" t="s">
        <v>94</v>
      </c>
      <c r="B61" t="s">
        <v>275</v>
      </c>
      <c r="C61" t="b">
        <f>TRUE()</f>
        <v>1</v>
      </c>
      <c r="E61" s="5" t="b">
        <v>1</v>
      </c>
      <c r="F61" t="b">
        <f t="shared" si="0"/>
        <v>1</v>
      </c>
    </row>
    <row r="62" spans="1:6" ht="16.350000000000001">
      <c r="A62" t="s">
        <v>276</v>
      </c>
      <c r="B62" t="s">
        <v>277</v>
      </c>
      <c r="C62" t="b">
        <f>FALSE()</f>
        <v>0</v>
      </c>
      <c r="E62" s="5" t="b">
        <v>0</v>
      </c>
      <c r="F62" t="b">
        <f t="shared" si="0"/>
        <v>1</v>
      </c>
    </row>
    <row r="63" spans="1:6" ht="16.350000000000001">
      <c r="A63" t="s">
        <v>278</v>
      </c>
      <c r="B63" t="s">
        <v>186</v>
      </c>
      <c r="C63" t="b">
        <f>TRUE()</f>
        <v>1</v>
      </c>
      <c r="E63" s="5" t="b">
        <v>1</v>
      </c>
      <c r="F63" t="b">
        <f t="shared" si="0"/>
        <v>1</v>
      </c>
    </row>
    <row r="64" spans="1:6" ht="16.350000000000001">
      <c r="A64" t="s">
        <v>279</v>
      </c>
      <c r="B64" t="s">
        <v>280</v>
      </c>
      <c r="C64" t="b">
        <f>FALSE()</f>
        <v>0</v>
      </c>
      <c r="E64" s="5" t="b">
        <v>0</v>
      </c>
      <c r="F64" t="b">
        <f t="shared" si="0"/>
        <v>1</v>
      </c>
    </row>
    <row r="65" spans="1:6" ht="16.350000000000001">
      <c r="A65" t="s">
        <v>281</v>
      </c>
      <c r="B65" t="s">
        <v>190</v>
      </c>
      <c r="C65" t="b">
        <f>TRUE()</f>
        <v>1</v>
      </c>
      <c r="E65" s="5" t="b">
        <v>1</v>
      </c>
      <c r="F65" t="b">
        <f t="shared" si="0"/>
        <v>1</v>
      </c>
    </row>
    <row r="66" spans="1:6" ht="16.350000000000001">
      <c r="A66" t="s">
        <v>282</v>
      </c>
      <c r="B66" t="s">
        <v>283</v>
      </c>
      <c r="C66" t="s">
        <v>4</v>
      </c>
      <c r="D66" t="s">
        <v>284</v>
      </c>
      <c r="E66" s="5" t="s">
        <v>4</v>
      </c>
      <c r="F66" t="b">
        <f t="shared" si="0"/>
        <v>1</v>
      </c>
    </row>
    <row r="67" spans="1:6" ht="16.350000000000001">
      <c r="A67" t="s">
        <v>193</v>
      </c>
      <c r="B67" t="s">
        <v>285</v>
      </c>
      <c r="C67" t="b">
        <f>FALSE()</f>
        <v>0</v>
      </c>
      <c r="E67" s="5" t="b">
        <v>0</v>
      </c>
      <c r="F67" t="b">
        <f t="shared" ref="F67:F85" si="1">C67=E67</f>
        <v>1</v>
      </c>
    </row>
    <row r="68" spans="1:6" ht="16.350000000000001">
      <c r="A68" t="s">
        <v>286</v>
      </c>
      <c r="B68" t="s">
        <v>287</v>
      </c>
      <c r="C68" t="b">
        <f>FALSE()</f>
        <v>0</v>
      </c>
      <c r="E68" s="5" t="b">
        <v>0</v>
      </c>
      <c r="F68" t="b">
        <f t="shared" si="1"/>
        <v>1</v>
      </c>
    </row>
    <row r="69" spans="1:6" ht="16.350000000000001">
      <c r="A69" t="s">
        <v>288</v>
      </c>
      <c r="B69" t="s">
        <v>289</v>
      </c>
      <c r="C69" t="b">
        <f>TRUE()</f>
        <v>1</v>
      </c>
      <c r="E69" s="5" t="b">
        <v>1</v>
      </c>
      <c r="F69" t="b">
        <f t="shared" si="1"/>
        <v>1</v>
      </c>
    </row>
    <row r="70" spans="1:6" ht="16.350000000000001">
      <c r="A70" t="s">
        <v>290</v>
      </c>
      <c r="B70" t="s">
        <v>291</v>
      </c>
      <c r="C70" t="b">
        <f>FALSE()</f>
        <v>0</v>
      </c>
      <c r="E70" s="5" t="b">
        <v>0</v>
      </c>
      <c r="F70" t="b">
        <f t="shared" si="1"/>
        <v>1</v>
      </c>
    </row>
    <row r="71" spans="1:6" ht="16.350000000000001">
      <c r="A71" t="s">
        <v>292</v>
      </c>
      <c r="B71" t="s">
        <v>202</v>
      </c>
      <c r="C71" t="b">
        <f>TRUE()</f>
        <v>1</v>
      </c>
      <c r="E71" s="5" t="b">
        <v>1</v>
      </c>
      <c r="F71" t="b">
        <f t="shared" si="1"/>
        <v>1</v>
      </c>
    </row>
    <row r="72" spans="1:6" ht="16.350000000000001">
      <c r="A72" t="s">
        <v>293</v>
      </c>
      <c r="B72" t="s">
        <v>294</v>
      </c>
      <c r="C72" t="b">
        <f>FALSE()</f>
        <v>0</v>
      </c>
      <c r="E72" s="5" t="b">
        <v>0</v>
      </c>
      <c r="F72" t="b">
        <f t="shared" si="1"/>
        <v>1</v>
      </c>
    </row>
    <row r="73" spans="1:6" ht="16.350000000000001">
      <c r="A73" t="s">
        <v>205</v>
      </c>
      <c r="B73" t="s">
        <v>295</v>
      </c>
      <c r="C73" t="b">
        <f>TRUE()</f>
        <v>1</v>
      </c>
      <c r="E73" s="5" t="b">
        <v>1</v>
      </c>
      <c r="F73" t="b">
        <f t="shared" si="1"/>
        <v>1</v>
      </c>
    </row>
    <row r="74" spans="1:6" ht="16.350000000000001">
      <c r="A74" t="s">
        <v>296</v>
      </c>
      <c r="B74" t="s">
        <v>297</v>
      </c>
      <c r="C74" t="b">
        <f>TRUE()</f>
        <v>1</v>
      </c>
      <c r="E74" s="5" t="b">
        <v>1</v>
      </c>
      <c r="F74" t="b">
        <f t="shared" si="1"/>
        <v>1</v>
      </c>
    </row>
    <row r="75" spans="1:6" ht="16.350000000000001">
      <c r="A75" t="s">
        <v>298</v>
      </c>
      <c r="B75" t="s">
        <v>299</v>
      </c>
      <c r="C75" t="b">
        <f>TRUE()</f>
        <v>1</v>
      </c>
      <c r="E75" s="5" t="b">
        <v>1</v>
      </c>
      <c r="F75" t="b">
        <f t="shared" si="1"/>
        <v>1</v>
      </c>
    </row>
    <row r="76" spans="1:6" ht="16.350000000000001">
      <c r="A76" t="s">
        <v>300</v>
      </c>
      <c r="B76" t="s">
        <v>301</v>
      </c>
      <c r="C76" t="b">
        <f>FALSE()</f>
        <v>0</v>
      </c>
      <c r="E76" s="5" t="b">
        <v>0</v>
      </c>
      <c r="F76" t="b">
        <f t="shared" si="1"/>
        <v>1</v>
      </c>
    </row>
    <row r="77" spans="1:6" ht="16.350000000000001">
      <c r="A77" t="s">
        <v>302</v>
      </c>
      <c r="B77" t="s">
        <v>303</v>
      </c>
      <c r="C77" t="b">
        <f>TRUE()</f>
        <v>1</v>
      </c>
      <c r="E77" s="5" t="b">
        <v>1</v>
      </c>
      <c r="F77" t="b">
        <f t="shared" si="1"/>
        <v>1</v>
      </c>
    </row>
    <row r="78" spans="1:6" ht="16.350000000000001">
      <c r="A78" t="s">
        <v>304</v>
      </c>
      <c r="B78" t="s">
        <v>305</v>
      </c>
      <c r="C78" t="b">
        <f>FALSE()</f>
        <v>0</v>
      </c>
      <c r="E78" s="5" t="b">
        <v>0</v>
      </c>
      <c r="F78" t="b">
        <f t="shared" si="1"/>
        <v>1</v>
      </c>
    </row>
    <row r="79" spans="1:6" ht="16.350000000000001">
      <c r="A79" t="s">
        <v>306</v>
      </c>
      <c r="B79" t="s">
        <v>307</v>
      </c>
      <c r="C79" t="b">
        <f>FALSE()</f>
        <v>0</v>
      </c>
      <c r="E79" s="5" t="b">
        <v>0</v>
      </c>
      <c r="F79" t="b">
        <f t="shared" si="1"/>
        <v>1</v>
      </c>
    </row>
    <row r="80" spans="1:6" ht="16.350000000000001">
      <c r="A80" t="s">
        <v>308</v>
      </c>
      <c r="B80" t="s">
        <v>309</v>
      </c>
      <c r="C80" t="b">
        <f>TRUE()</f>
        <v>1</v>
      </c>
      <c r="E80" s="5" t="b">
        <v>1</v>
      </c>
      <c r="F80" t="b">
        <f t="shared" si="1"/>
        <v>1</v>
      </c>
    </row>
    <row r="81" spans="1:6" ht="16.350000000000001">
      <c r="A81" t="s">
        <v>310</v>
      </c>
      <c r="B81" t="s">
        <v>311</v>
      </c>
      <c r="C81" t="b">
        <f>TRUE()</f>
        <v>1</v>
      </c>
      <c r="E81" s="5" t="b">
        <v>1</v>
      </c>
      <c r="F81" t="b">
        <f t="shared" si="1"/>
        <v>1</v>
      </c>
    </row>
    <row r="82" spans="1:6" ht="16.350000000000001">
      <c r="A82" t="s">
        <v>312</v>
      </c>
      <c r="B82" t="s">
        <v>313</v>
      </c>
      <c r="C82" t="b">
        <f>FALSE()</f>
        <v>0</v>
      </c>
      <c r="E82" s="5" t="b">
        <v>0</v>
      </c>
      <c r="F82" t="b">
        <f t="shared" si="1"/>
        <v>1</v>
      </c>
    </row>
    <row r="83" spans="1:6" ht="16.350000000000001">
      <c r="A83" t="s">
        <v>314</v>
      </c>
      <c r="B83" t="s">
        <v>315</v>
      </c>
      <c r="C83" t="b">
        <f>TRUE()</f>
        <v>1</v>
      </c>
      <c r="E83" s="5" t="b">
        <v>1</v>
      </c>
      <c r="F83" t="b">
        <f t="shared" si="1"/>
        <v>1</v>
      </c>
    </row>
    <row r="84" spans="1:6" ht="16.350000000000001">
      <c r="A84" t="s">
        <v>316</v>
      </c>
      <c r="B84" t="s">
        <v>317</v>
      </c>
      <c r="C84" t="b">
        <f>FALSE()</f>
        <v>0</v>
      </c>
      <c r="E84" s="5" t="b">
        <v>0</v>
      </c>
      <c r="F84" t="b">
        <f t="shared" si="1"/>
        <v>1</v>
      </c>
    </row>
    <row r="85" spans="1:6" ht="16.350000000000001">
      <c r="A85" t="s">
        <v>318</v>
      </c>
      <c r="B85" t="s">
        <v>319</v>
      </c>
      <c r="C85" t="b">
        <f>TRUE()</f>
        <v>1</v>
      </c>
      <c r="E85" s="5" t="b">
        <v>1</v>
      </c>
      <c r="F85" t="b">
        <f t="shared" si="1"/>
        <v>1</v>
      </c>
    </row>
  </sheetData>
  <pageMargins left="0.75" right="0.75" top="1" bottom="1" header="0.511811023622047" footer="0.511811023622047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21"/>
  <sheetViews>
    <sheetView zoomScale="60" zoomScaleNormal="60" workbookViewId="0">
      <selection activeCell="G19" sqref="G19"/>
    </sheetView>
  </sheetViews>
  <sheetFormatPr defaultColWidth="8.5703125" defaultRowHeight="15"/>
  <cols>
    <col min="1" max="1" width="43.7109375" customWidth="1"/>
    <col min="2" max="2" width="83.42578125" customWidth="1"/>
    <col min="5" max="5" width="12.7109375" customWidth="1"/>
  </cols>
  <sheetData>
    <row r="1" spans="1:6">
      <c r="A1" s="3" t="s">
        <v>17</v>
      </c>
      <c r="B1" s="3" t="s">
        <v>18</v>
      </c>
      <c r="C1" t="s">
        <v>19</v>
      </c>
      <c r="D1" t="s">
        <v>20</v>
      </c>
      <c r="E1" t="s">
        <v>21</v>
      </c>
      <c r="F1" t="s">
        <v>96</v>
      </c>
    </row>
    <row r="2" spans="1:6">
      <c r="A2" t="s">
        <v>22</v>
      </c>
      <c r="B2" t="s">
        <v>320</v>
      </c>
      <c r="C2" t="b">
        <f>FALSE()</f>
        <v>0</v>
      </c>
      <c r="E2" t="b">
        <f>FALSE()</f>
        <v>0</v>
      </c>
      <c r="F2" t="b">
        <f>C2=E2</f>
        <v>1</v>
      </c>
    </row>
    <row r="3" spans="1:6">
      <c r="A3" t="s">
        <v>24</v>
      </c>
      <c r="B3" t="s">
        <v>25</v>
      </c>
      <c r="C3" t="b">
        <f>TRUE()</f>
        <v>1</v>
      </c>
      <c r="E3" t="b">
        <f>TRUE()</f>
        <v>1</v>
      </c>
      <c r="F3" t="b">
        <f t="shared" ref="F3:F66" si="0">C3=E3</f>
        <v>1</v>
      </c>
    </row>
    <row r="4" spans="1:6">
      <c r="A4" t="s">
        <v>26</v>
      </c>
      <c r="B4" t="s">
        <v>321</v>
      </c>
      <c r="C4" t="b">
        <f>FALSE()</f>
        <v>0</v>
      </c>
      <c r="E4" t="b">
        <f>FALSE()</f>
        <v>0</v>
      </c>
      <c r="F4" t="b">
        <f t="shared" si="0"/>
        <v>1</v>
      </c>
    </row>
    <row r="5" spans="1:6">
      <c r="A5" t="s">
        <v>28</v>
      </c>
      <c r="B5" t="s">
        <v>29</v>
      </c>
      <c r="C5" t="b">
        <f>TRUE()</f>
        <v>1</v>
      </c>
      <c r="E5" t="b">
        <f>TRUE()</f>
        <v>1</v>
      </c>
      <c r="F5" t="b">
        <f t="shared" si="0"/>
        <v>1</v>
      </c>
    </row>
    <row r="6" spans="1:6">
      <c r="A6" t="s">
        <v>30</v>
      </c>
      <c r="B6" t="s">
        <v>322</v>
      </c>
      <c r="C6" t="b">
        <f>FALSE()</f>
        <v>0</v>
      </c>
      <c r="E6" t="b">
        <f>FALSE()</f>
        <v>0</v>
      </c>
      <c r="F6" t="b">
        <f t="shared" si="0"/>
        <v>1</v>
      </c>
    </row>
    <row r="7" spans="1:6">
      <c r="A7" t="s">
        <v>32</v>
      </c>
      <c r="B7" t="s">
        <v>323</v>
      </c>
      <c r="C7" t="b">
        <f>TRUE()</f>
        <v>1</v>
      </c>
      <c r="E7" t="b">
        <f>TRUE()</f>
        <v>1</v>
      </c>
      <c r="F7" t="b">
        <f t="shared" si="0"/>
        <v>1</v>
      </c>
    </row>
    <row r="8" spans="1:6">
      <c r="A8" t="s">
        <v>34</v>
      </c>
      <c r="B8" t="s">
        <v>35</v>
      </c>
      <c r="C8" t="b">
        <f>TRUE()</f>
        <v>1</v>
      </c>
      <c r="E8" t="b">
        <f>TRUE()</f>
        <v>1</v>
      </c>
      <c r="F8" t="b">
        <f t="shared" si="0"/>
        <v>1</v>
      </c>
    </row>
    <row r="9" spans="1:6">
      <c r="A9" t="s">
        <v>36</v>
      </c>
      <c r="B9" t="s">
        <v>37</v>
      </c>
      <c r="C9" t="b">
        <f>TRUE()</f>
        <v>1</v>
      </c>
      <c r="E9" t="b">
        <f>TRUE()</f>
        <v>1</v>
      </c>
      <c r="F9" t="b">
        <f t="shared" si="0"/>
        <v>1</v>
      </c>
    </row>
    <row r="10" spans="1:6">
      <c r="A10" t="s">
        <v>38</v>
      </c>
      <c r="B10" t="s">
        <v>324</v>
      </c>
      <c r="C10" t="b">
        <f>FALSE()</f>
        <v>0</v>
      </c>
      <c r="E10" t="b">
        <f>FALSE()</f>
        <v>0</v>
      </c>
      <c r="F10" t="b">
        <f t="shared" si="0"/>
        <v>1</v>
      </c>
    </row>
    <row r="11" spans="1:6">
      <c r="A11" t="s">
        <v>41</v>
      </c>
      <c r="B11" t="s">
        <v>42</v>
      </c>
      <c r="C11" t="b">
        <f>TRUE()</f>
        <v>1</v>
      </c>
      <c r="E11" t="b">
        <f>TRUE()</f>
        <v>1</v>
      </c>
      <c r="F11" t="b">
        <f t="shared" si="0"/>
        <v>1</v>
      </c>
    </row>
    <row r="12" spans="1:6">
      <c r="A12" t="s">
        <v>43</v>
      </c>
      <c r="B12" t="s">
        <v>325</v>
      </c>
      <c r="C12" t="b">
        <f>FALSE()</f>
        <v>0</v>
      </c>
      <c r="E12" t="b">
        <f>FALSE()</f>
        <v>0</v>
      </c>
      <c r="F12" t="b">
        <f t="shared" si="0"/>
        <v>1</v>
      </c>
    </row>
    <row r="13" spans="1:6">
      <c r="A13" t="s">
        <v>45</v>
      </c>
      <c r="B13" t="s">
        <v>326</v>
      </c>
      <c r="C13" t="b">
        <f>TRUE()</f>
        <v>1</v>
      </c>
      <c r="E13" t="b">
        <f>TRUE()</f>
        <v>1</v>
      </c>
      <c r="F13" t="b">
        <f t="shared" si="0"/>
        <v>1</v>
      </c>
    </row>
    <row r="14" spans="1:6">
      <c r="A14" t="s">
        <v>47</v>
      </c>
      <c r="B14" t="s">
        <v>48</v>
      </c>
      <c r="C14" t="b">
        <f>TRUE()</f>
        <v>1</v>
      </c>
      <c r="E14" t="b">
        <f>TRUE()</f>
        <v>1</v>
      </c>
      <c r="F14" t="b">
        <f t="shared" si="0"/>
        <v>1</v>
      </c>
    </row>
    <row r="15" spans="1:6">
      <c r="A15" t="s">
        <v>49</v>
      </c>
      <c r="B15" t="s">
        <v>50</v>
      </c>
      <c r="C15" t="b">
        <f>TRUE()</f>
        <v>1</v>
      </c>
      <c r="E15" t="b">
        <f>TRUE()</f>
        <v>1</v>
      </c>
      <c r="F15" t="b">
        <f t="shared" si="0"/>
        <v>1</v>
      </c>
    </row>
    <row r="16" spans="1:6">
      <c r="A16" t="s">
        <v>51</v>
      </c>
      <c r="B16" t="s">
        <v>327</v>
      </c>
      <c r="C16" t="b">
        <f>TRUE()</f>
        <v>1</v>
      </c>
      <c r="E16" t="b">
        <f>TRUE()</f>
        <v>1</v>
      </c>
      <c r="F16" t="b">
        <f t="shared" si="0"/>
        <v>1</v>
      </c>
    </row>
    <row r="17" spans="1:6">
      <c r="A17" t="s">
        <v>53</v>
      </c>
      <c r="B17" t="s">
        <v>54</v>
      </c>
      <c r="C17" t="b">
        <f>TRUE()</f>
        <v>1</v>
      </c>
      <c r="E17" t="b">
        <f>TRUE()</f>
        <v>1</v>
      </c>
      <c r="F17" t="b">
        <f t="shared" si="0"/>
        <v>1</v>
      </c>
    </row>
    <row r="18" spans="1:6">
      <c r="A18" t="s">
        <v>55</v>
      </c>
      <c r="B18" t="s">
        <v>328</v>
      </c>
      <c r="C18" t="b">
        <f>FALSE()</f>
        <v>0</v>
      </c>
      <c r="E18" t="b">
        <f>FALSE()</f>
        <v>0</v>
      </c>
      <c r="F18" t="b">
        <f t="shared" si="0"/>
        <v>1</v>
      </c>
    </row>
    <row r="19" spans="1:6">
      <c r="A19" t="s">
        <v>57</v>
      </c>
      <c r="B19" t="s">
        <v>329</v>
      </c>
      <c r="C19" t="b">
        <f>FALSE()</f>
        <v>0</v>
      </c>
      <c r="E19" t="b">
        <f>FALSE()</f>
        <v>0</v>
      </c>
      <c r="F19" t="b">
        <f t="shared" si="0"/>
        <v>1</v>
      </c>
    </row>
    <row r="20" spans="1:6">
      <c r="A20" t="s">
        <v>220</v>
      </c>
      <c r="B20" t="s">
        <v>330</v>
      </c>
      <c r="C20" t="b">
        <f>FALSE()</f>
        <v>0</v>
      </c>
      <c r="E20" t="b">
        <f>FALSE()</f>
        <v>0</v>
      </c>
      <c r="F20" t="b">
        <f t="shared" si="0"/>
        <v>1</v>
      </c>
    </row>
    <row r="21" spans="1:6">
      <c r="A21" t="s">
        <v>222</v>
      </c>
      <c r="B21" t="s">
        <v>331</v>
      </c>
      <c r="C21" t="b">
        <f>TRUE()</f>
        <v>1</v>
      </c>
      <c r="E21" t="b">
        <f>TRUE()</f>
        <v>1</v>
      </c>
      <c r="F21" t="b">
        <f t="shared" si="0"/>
        <v>1</v>
      </c>
    </row>
    <row r="22" spans="1:6">
      <c r="A22" t="s">
        <v>225</v>
      </c>
      <c r="B22" t="s">
        <v>226</v>
      </c>
      <c r="C22" t="b">
        <f>FALSE()</f>
        <v>0</v>
      </c>
      <c r="E22" t="b">
        <f>FALSE()</f>
        <v>0</v>
      </c>
      <c r="F22" t="b">
        <f t="shared" si="0"/>
        <v>1</v>
      </c>
    </row>
    <row r="23" spans="1:6">
      <c r="A23" t="s">
        <v>227</v>
      </c>
      <c r="B23" t="s">
        <v>134</v>
      </c>
      <c r="C23" t="b">
        <f>TRUE()</f>
        <v>1</v>
      </c>
      <c r="E23" t="b">
        <f>TRUE()</f>
        <v>1</v>
      </c>
      <c r="F23" t="b">
        <f t="shared" si="0"/>
        <v>1</v>
      </c>
    </row>
    <row r="24" spans="1:6">
      <c r="A24" t="s">
        <v>228</v>
      </c>
      <c r="B24" t="s">
        <v>332</v>
      </c>
      <c r="C24" t="b">
        <f>FALSE()</f>
        <v>0</v>
      </c>
      <c r="E24" t="b">
        <f>FALSE()</f>
        <v>0</v>
      </c>
      <c r="F24" t="b">
        <f t="shared" si="0"/>
        <v>1</v>
      </c>
    </row>
    <row r="25" spans="1:6">
      <c r="A25" t="s">
        <v>137</v>
      </c>
      <c r="B25" t="s">
        <v>333</v>
      </c>
      <c r="C25" t="b">
        <f>TRUE()</f>
        <v>1</v>
      </c>
      <c r="E25" t="b">
        <f>TRUE()</f>
        <v>1</v>
      </c>
      <c r="F25" t="b">
        <f t="shared" si="0"/>
        <v>1</v>
      </c>
    </row>
    <row r="26" spans="1:6">
      <c r="A26" t="s">
        <v>231</v>
      </c>
      <c r="B26" t="s">
        <v>232</v>
      </c>
      <c r="C26" t="b">
        <f>TRUE()</f>
        <v>1</v>
      </c>
      <c r="E26" t="b">
        <f>TRUE()</f>
        <v>1</v>
      </c>
      <c r="F26" t="b">
        <f t="shared" si="0"/>
        <v>1</v>
      </c>
    </row>
    <row r="27" spans="1:6">
      <c r="A27" t="s">
        <v>233</v>
      </c>
      <c r="B27" t="s">
        <v>234</v>
      </c>
      <c r="C27" t="b">
        <f>TRUE()</f>
        <v>1</v>
      </c>
      <c r="E27" t="b">
        <f>TRUE()</f>
        <v>1</v>
      </c>
      <c r="F27" t="b">
        <f t="shared" si="0"/>
        <v>1</v>
      </c>
    </row>
    <row r="28" spans="1:6">
      <c r="A28" t="s">
        <v>235</v>
      </c>
      <c r="B28" t="s">
        <v>334</v>
      </c>
      <c r="C28" t="b">
        <f>FALSE()</f>
        <v>0</v>
      </c>
      <c r="E28" t="b">
        <f>FALSE()</f>
        <v>0</v>
      </c>
      <c r="F28" t="b">
        <f t="shared" si="0"/>
        <v>1</v>
      </c>
    </row>
    <row r="29" spans="1:6">
      <c r="A29" t="s">
        <v>237</v>
      </c>
      <c r="B29" t="s">
        <v>146</v>
      </c>
      <c r="C29" t="b">
        <f>TRUE()</f>
        <v>1</v>
      </c>
      <c r="E29" t="b">
        <f>TRUE()</f>
        <v>1</v>
      </c>
      <c r="F29" t="b">
        <f t="shared" si="0"/>
        <v>1</v>
      </c>
    </row>
    <row r="30" spans="1:6">
      <c r="A30" t="s">
        <v>238</v>
      </c>
      <c r="B30" t="s">
        <v>335</v>
      </c>
      <c r="C30" t="b">
        <f>FALSE()</f>
        <v>0</v>
      </c>
      <c r="E30" t="b">
        <f>FALSE()</f>
        <v>0</v>
      </c>
      <c r="F30" t="b">
        <f t="shared" si="0"/>
        <v>1</v>
      </c>
    </row>
    <row r="31" spans="1:6">
      <c r="A31" t="s">
        <v>149</v>
      </c>
      <c r="B31" t="s">
        <v>336</v>
      </c>
      <c r="C31" t="b">
        <f>TRUE()</f>
        <v>1</v>
      </c>
      <c r="E31" t="b">
        <f>TRUE()</f>
        <v>1</v>
      </c>
      <c r="F31" t="b">
        <f t="shared" si="0"/>
        <v>1</v>
      </c>
    </row>
    <row r="32" spans="1:6">
      <c r="A32" t="s">
        <v>241</v>
      </c>
      <c r="B32" t="s">
        <v>337</v>
      </c>
      <c r="C32" t="b">
        <f>FALSE()</f>
        <v>0</v>
      </c>
      <c r="E32" t="b">
        <f>FALSE()</f>
        <v>0</v>
      </c>
      <c r="F32" t="b">
        <f t="shared" si="0"/>
        <v>1</v>
      </c>
    </row>
    <row r="33" spans="1:6">
      <c r="A33" t="s">
        <v>243</v>
      </c>
      <c r="B33" t="s">
        <v>244</v>
      </c>
      <c r="C33" t="b">
        <f>TRUE()</f>
        <v>1</v>
      </c>
      <c r="E33" t="b">
        <f>TRUE()</f>
        <v>1</v>
      </c>
      <c r="F33" t="b">
        <f t="shared" si="0"/>
        <v>1</v>
      </c>
    </row>
    <row r="34" spans="1:6">
      <c r="A34" t="s">
        <v>245</v>
      </c>
      <c r="B34" t="s">
        <v>338</v>
      </c>
      <c r="C34" t="s">
        <v>4</v>
      </c>
      <c r="D34" t="s">
        <v>339</v>
      </c>
      <c r="E34" t="b">
        <v>1</v>
      </c>
      <c r="F34" t="b">
        <f t="shared" si="0"/>
        <v>0</v>
      </c>
    </row>
    <row r="35" spans="1:6">
      <c r="A35" t="s">
        <v>247</v>
      </c>
      <c r="B35" t="s">
        <v>248</v>
      </c>
      <c r="C35" t="b">
        <f>TRUE()</f>
        <v>1</v>
      </c>
      <c r="E35" t="b">
        <f>TRUE()</f>
        <v>1</v>
      </c>
      <c r="F35" t="b">
        <f t="shared" si="0"/>
        <v>1</v>
      </c>
    </row>
    <row r="36" spans="1:6">
      <c r="A36" t="s">
        <v>249</v>
      </c>
      <c r="B36" t="s">
        <v>340</v>
      </c>
      <c r="C36" t="b">
        <f>FALSE()</f>
        <v>0</v>
      </c>
      <c r="E36" t="b">
        <f>FALSE()</f>
        <v>0</v>
      </c>
      <c r="F36" t="b">
        <f t="shared" si="0"/>
        <v>1</v>
      </c>
    </row>
    <row r="37" spans="1:6">
      <c r="A37" t="s">
        <v>251</v>
      </c>
      <c r="B37" t="s">
        <v>341</v>
      </c>
      <c r="C37" t="s">
        <v>4</v>
      </c>
      <c r="D37" t="s">
        <v>342</v>
      </c>
      <c r="E37" t="b">
        <v>1</v>
      </c>
      <c r="F37" t="b">
        <f t="shared" si="0"/>
        <v>0</v>
      </c>
    </row>
    <row r="38" spans="1:6">
      <c r="A38" t="s">
        <v>253</v>
      </c>
      <c r="B38" t="s">
        <v>254</v>
      </c>
      <c r="C38" t="b">
        <f>TRUE()</f>
        <v>1</v>
      </c>
      <c r="E38" t="b">
        <f>TRUE()</f>
        <v>1</v>
      </c>
      <c r="F38" t="b">
        <f t="shared" si="0"/>
        <v>1</v>
      </c>
    </row>
    <row r="39" spans="1:6">
      <c r="A39" t="s">
        <v>255</v>
      </c>
      <c r="B39" t="s">
        <v>256</v>
      </c>
      <c r="C39" t="b">
        <f>TRUE()</f>
        <v>1</v>
      </c>
      <c r="E39" t="b">
        <f>TRUE()</f>
        <v>1</v>
      </c>
      <c r="F39" t="b">
        <f t="shared" si="0"/>
        <v>1</v>
      </c>
    </row>
    <row r="40" spans="1:6">
      <c r="A40" t="s">
        <v>257</v>
      </c>
      <c r="B40" t="s">
        <v>258</v>
      </c>
      <c r="C40" t="b">
        <f>FALSE()</f>
        <v>0</v>
      </c>
      <c r="E40" t="b">
        <f>FALSE()</f>
        <v>0</v>
      </c>
      <c r="F40" t="b">
        <f t="shared" si="0"/>
        <v>1</v>
      </c>
    </row>
    <row r="41" spans="1:6">
      <c r="A41" t="s">
        <v>259</v>
      </c>
      <c r="B41" t="s">
        <v>260</v>
      </c>
      <c r="C41" t="b">
        <f>TRUE()</f>
        <v>1</v>
      </c>
      <c r="E41" t="b">
        <f>TRUE()</f>
        <v>1</v>
      </c>
      <c r="F41" t="b">
        <f t="shared" si="0"/>
        <v>1</v>
      </c>
    </row>
    <row r="42" spans="1:6">
      <c r="A42" t="s">
        <v>261</v>
      </c>
      <c r="B42" t="s">
        <v>343</v>
      </c>
      <c r="C42" t="b">
        <f>FALSE()</f>
        <v>0</v>
      </c>
      <c r="E42" t="b">
        <f>FALSE()</f>
        <v>0</v>
      </c>
      <c r="F42" t="b">
        <f t="shared" si="0"/>
        <v>1</v>
      </c>
    </row>
    <row r="43" spans="1:6">
      <c r="A43" t="s">
        <v>263</v>
      </c>
      <c r="B43" t="s">
        <v>344</v>
      </c>
      <c r="C43" t="b">
        <f>TRUE()</f>
        <v>1</v>
      </c>
      <c r="E43" t="b">
        <f>TRUE()</f>
        <v>1</v>
      </c>
      <c r="F43" t="b">
        <f t="shared" si="0"/>
        <v>1</v>
      </c>
    </row>
    <row r="44" spans="1:6">
      <c r="A44" t="s">
        <v>345</v>
      </c>
      <c r="B44" t="s">
        <v>346</v>
      </c>
      <c r="C44" t="b">
        <f>FALSE()</f>
        <v>0</v>
      </c>
      <c r="E44" t="b">
        <f>FALSE()</f>
        <v>0</v>
      </c>
      <c r="F44" t="b">
        <f t="shared" si="0"/>
        <v>1</v>
      </c>
    </row>
    <row r="45" spans="1:6">
      <c r="A45" t="s">
        <v>347</v>
      </c>
      <c r="B45" t="s">
        <v>348</v>
      </c>
      <c r="C45" t="b">
        <f>TRUE()</f>
        <v>1</v>
      </c>
      <c r="E45" t="b">
        <f>TRUE()</f>
        <v>1</v>
      </c>
      <c r="F45" t="b">
        <f t="shared" si="0"/>
        <v>1</v>
      </c>
    </row>
    <row r="46" spans="1:6">
      <c r="A46" t="s">
        <v>349</v>
      </c>
      <c r="B46" t="s">
        <v>350</v>
      </c>
      <c r="C46" t="b">
        <f>FALSE()</f>
        <v>0</v>
      </c>
      <c r="E46" t="b">
        <f>FALSE()</f>
        <v>0</v>
      </c>
      <c r="F46" t="b">
        <f t="shared" si="0"/>
        <v>1</v>
      </c>
    </row>
    <row r="47" spans="1:6">
      <c r="A47" t="s">
        <v>351</v>
      </c>
      <c r="B47" t="s">
        <v>352</v>
      </c>
      <c r="C47" t="b">
        <f>TRUE()</f>
        <v>1</v>
      </c>
      <c r="E47" t="b">
        <f>TRUE()</f>
        <v>1</v>
      </c>
      <c r="F47" t="b">
        <f t="shared" si="0"/>
        <v>1</v>
      </c>
    </row>
    <row r="48" spans="1:6">
      <c r="A48" t="s">
        <v>353</v>
      </c>
      <c r="B48" t="s">
        <v>354</v>
      </c>
      <c r="C48" t="b">
        <f>FALSE()</f>
        <v>0</v>
      </c>
      <c r="E48" t="b">
        <f>FALSE()</f>
        <v>0</v>
      </c>
      <c r="F48" t="b">
        <f t="shared" si="0"/>
        <v>1</v>
      </c>
    </row>
    <row r="49" spans="1:6">
      <c r="A49" t="s">
        <v>355</v>
      </c>
      <c r="B49" t="s">
        <v>356</v>
      </c>
      <c r="C49" t="b">
        <f>TRUE()</f>
        <v>1</v>
      </c>
      <c r="E49" t="b">
        <f>TRUE()</f>
        <v>1</v>
      </c>
      <c r="F49" t="b">
        <f t="shared" si="0"/>
        <v>1</v>
      </c>
    </row>
    <row r="50" spans="1:6">
      <c r="A50" t="s">
        <v>357</v>
      </c>
      <c r="B50" t="s">
        <v>358</v>
      </c>
      <c r="C50" t="b">
        <f>TRUE()</f>
        <v>1</v>
      </c>
      <c r="E50" t="b">
        <f>TRUE()</f>
        <v>1</v>
      </c>
      <c r="F50" t="b">
        <f t="shared" si="0"/>
        <v>1</v>
      </c>
    </row>
    <row r="51" spans="1:6">
      <c r="A51" t="s">
        <v>359</v>
      </c>
      <c r="B51" t="s">
        <v>360</v>
      </c>
      <c r="C51" t="b">
        <f>TRUE()</f>
        <v>1</v>
      </c>
      <c r="E51" t="b">
        <f>TRUE()</f>
        <v>1</v>
      </c>
      <c r="F51" t="b">
        <f t="shared" si="0"/>
        <v>1</v>
      </c>
    </row>
    <row r="52" spans="1:6">
      <c r="A52" t="s">
        <v>361</v>
      </c>
      <c r="B52" t="s">
        <v>362</v>
      </c>
      <c r="C52" t="b">
        <f>FALSE()</f>
        <v>0</v>
      </c>
      <c r="E52" t="b">
        <f>FALSE()</f>
        <v>0</v>
      </c>
      <c r="F52" t="b">
        <f t="shared" si="0"/>
        <v>1</v>
      </c>
    </row>
    <row r="53" spans="1:6">
      <c r="A53" t="s">
        <v>363</v>
      </c>
      <c r="B53" t="s">
        <v>364</v>
      </c>
      <c r="C53" t="b">
        <f>TRUE()</f>
        <v>1</v>
      </c>
      <c r="E53" t="b">
        <f>TRUE()</f>
        <v>1</v>
      </c>
      <c r="F53" t="b">
        <f t="shared" si="0"/>
        <v>1</v>
      </c>
    </row>
    <row r="54" spans="1:6">
      <c r="A54" t="s">
        <v>365</v>
      </c>
      <c r="B54" t="s">
        <v>366</v>
      </c>
      <c r="C54" t="b">
        <f>FALSE()</f>
        <v>0</v>
      </c>
      <c r="E54" t="b">
        <f>FALSE()</f>
        <v>0</v>
      </c>
      <c r="F54" t="b">
        <f t="shared" si="0"/>
        <v>1</v>
      </c>
    </row>
    <row r="55" spans="1:6">
      <c r="A55" t="s">
        <v>367</v>
      </c>
      <c r="B55" t="s">
        <v>368</v>
      </c>
      <c r="C55" t="b">
        <f>TRUE()</f>
        <v>1</v>
      </c>
      <c r="E55" t="b">
        <f>TRUE()</f>
        <v>1</v>
      </c>
      <c r="F55" t="b">
        <f t="shared" si="0"/>
        <v>1</v>
      </c>
    </row>
    <row r="56" spans="1:6">
      <c r="A56" t="s">
        <v>369</v>
      </c>
      <c r="B56" t="s">
        <v>370</v>
      </c>
      <c r="C56" t="b">
        <f>TRUE()</f>
        <v>1</v>
      </c>
      <c r="E56" t="b">
        <f>TRUE()</f>
        <v>1</v>
      </c>
      <c r="F56" t="b">
        <f t="shared" si="0"/>
        <v>1</v>
      </c>
    </row>
    <row r="57" spans="1:6">
      <c r="A57" t="s">
        <v>371</v>
      </c>
      <c r="B57" t="s">
        <v>372</v>
      </c>
      <c r="C57" t="b">
        <f>TRUE()</f>
        <v>1</v>
      </c>
      <c r="E57" t="b">
        <f>TRUE()</f>
        <v>1</v>
      </c>
      <c r="F57" t="b">
        <f t="shared" si="0"/>
        <v>1</v>
      </c>
    </row>
    <row r="58" spans="1:6">
      <c r="A58" t="s">
        <v>373</v>
      </c>
      <c r="B58" t="s">
        <v>374</v>
      </c>
      <c r="C58" t="b">
        <f>FALSE()</f>
        <v>0</v>
      </c>
      <c r="E58" t="b">
        <f>FALSE()</f>
        <v>0</v>
      </c>
      <c r="F58" t="b">
        <f t="shared" si="0"/>
        <v>1</v>
      </c>
    </row>
    <row r="59" spans="1:6">
      <c r="A59" t="s">
        <v>375</v>
      </c>
      <c r="B59" t="s">
        <v>376</v>
      </c>
      <c r="C59" t="b">
        <f>TRUE()</f>
        <v>1</v>
      </c>
      <c r="E59" t="b">
        <f>TRUE()</f>
        <v>1</v>
      </c>
      <c r="F59" t="b">
        <f t="shared" si="0"/>
        <v>1</v>
      </c>
    </row>
    <row r="60" spans="1:6">
      <c r="A60" t="s">
        <v>377</v>
      </c>
      <c r="B60" t="s">
        <v>378</v>
      </c>
      <c r="C60" t="b">
        <f>FALSE()</f>
        <v>0</v>
      </c>
      <c r="E60" t="b">
        <f>FALSE()</f>
        <v>0</v>
      </c>
      <c r="F60" t="b">
        <f t="shared" si="0"/>
        <v>1</v>
      </c>
    </row>
    <row r="61" spans="1:6">
      <c r="A61" t="s">
        <v>379</v>
      </c>
      <c r="B61" t="s">
        <v>380</v>
      </c>
      <c r="C61" t="b">
        <f>FALSE()</f>
        <v>0</v>
      </c>
      <c r="E61" t="b">
        <f>FALSE()</f>
        <v>0</v>
      </c>
      <c r="F61" t="b">
        <f t="shared" si="0"/>
        <v>1</v>
      </c>
    </row>
    <row r="62" spans="1:6">
      <c r="A62" t="s">
        <v>59</v>
      </c>
      <c r="B62" t="s">
        <v>60</v>
      </c>
      <c r="C62" t="b">
        <f>TRUE()</f>
        <v>1</v>
      </c>
      <c r="E62" t="b">
        <f>TRUE()</f>
        <v>1</v>
      </c>
      <c r="F62" t="b">
        <f t="shared" si="0"/>
        <v>1</v>
      </c>
    </row>
    <row r="63" spans="1:6">
      <c r="A63" t="s">
        <v>61</v>
      </c>
      <c r="B63" t="s">
        <v>62</v>
      </c>
      <c r="C63" t="b">
        <f>TRUE()</f>
        <v>1</v>
      </c>
      <c r="E63" t="b">
        <f>TRUE()</f>
        <v>1</v>
      </c>
      <c r="F63" t="b">
        <f t="shared" si="0"/>
        <v>1</v>
      </c>
    </row>
    <row r="64" spans="1:6">
      <c r="A64" t="s">
        <v>63</v>
      </c>
      <c r="B64" t="s">
        <v>64</v>
      </c>
      <c r="C64" t="b">
        <f>FALSE()</f>
        <v>0</v>
      </c>
      <c r="E64" t="b">
        <f>FALSE()</f>
        <v>0</v>
      </c>
      <c r="F64" t="b">
        <f t="shared" si="0"/>
        <v>1</v>
      </c>
    </row>
    <row r="65" spans="1:6">
      <c r="A65" t="s">
        <v>65</v>
      </c>
      <c r="B65" t="s">
        <v>66</v>
      </c>
      <c r="C65" t="b">
        <f>TRUE()</f>
        <v>1</v>
      </c>
      <c r="E65" t="b">
        <f>TRUE()</f>
        <v>1</v>
      </c>
      <c r="F65" t="b">
        <f t="shared" si="0"/>
        <v>1</v>
      </c>
    </row>
    <row r="66" spans="1:6">
      <c r="A66" t="s">
        <v>67</v>
      </c>
      <c r="B66" t="s">
        <v>381</v>
      </c>
      <c r="C66" t="b">
        <f>FALSE()</f>
        <v>0</v>
      </c>
      <c r="E66" t="b">
        <f>FALSE()</f>
        <v>0</v>
      </c>
      <c r="F66" t="b">
        <f t="shared" si="0"/>
        <v>1</v>
      </c>
    </row>
    <row r="67" spans="1:6">
      <c r="A67" t="s">
        <v>69</v>
      </c>
      <c r="B67" t="s">
        <v>382</v>
      </c>
      <c r="C67" t="b">
        <f>TRUE()</f>
        <v>1</v>
      </c>
      <c r="E67" t="b">
        <f>TRUE()</f>
        <v>1</v>
      </c>
      <c r="F67" t="b">
        <f t="shared" ref="F67:F121" si="1">C67=E67</f>
        <v>1</v>
      </c>
    </row>
    <row r="68" spans="1:6">
      <c r="A68" t="s">
        <v>71</v>
      </c>
      <c r="B68" t="s">
        <v>383</v>
      </c>
      <c r="C68" t="b">
        <f>FALSE()</f>
        <v>0</v>
      </c>
      <c r="E68" t="b">
        <f>FALSE()</f>
        <v>0</v>
      </c>
      <c r="F68" t="b">
        <f t="shared" si="1"/>
        <v>1</v>
      </c>
    </row>
    <row r="69" spans="1:6">
      <c r="A69" t="s">
        <v>73</v>
      </c>
      <c r="B69" t="s">
        <v>384</v>
      </c>
      <c r="C69" t="b">
        <f>FALSE()</f>
        <v>0</v>
      </c>
      <c r="E69" t="b">
        <f>FALSE()</f>
        <v>0</v>
      </c>
      <c r="F69" t="b">
        <f t="shared" si="1"/>
        <v>1</v>
      </c>
    </row>
    <row r="70" spans="1:6">
      <c r="A70" t="s">
        <v>75</v>
      </c>
      <c r="B70" t="s">
        <v>385</v>
      </c>
      <c r="C70" t="b">
        <f>FALSE()</f>
        <v>0</v>
      </c>
      <c r="E70" t="b">
        <f>FALSE()</f>
        <v>0</v>
      </c>
      <c r="F70" t="b">
        <f t="shared" si="1"/>
        <v>1</v>
      </c>
    </row>
    <row r="71" spans="1:6">
      <c r="A71" t="s">
        <v>78</v>
      </c>
      <c r="B71" t="s">
        <v>167</v>
      </c>
      <c r="C71" t="b">
        <f>TRUE()</f>
        <v>1</v>
      </c>
      <c r="E71" t="b">
        <f>TRUE()</f>
        <v>1</v>
      </c>
      <c r="F71" t="b">
        <f t="shared" si="1"/>
        <v>1</v>
      </c>
    </row>
    <row r="72" spans="1:6">
      <c r="A72" t="s">
        <v>80</v>
      </c>
      <c r="B72" t="s">
        <v>386</v>
      </c>
      <c r="C72" t="b">
        <f>FALSE()</f>
        <v>0</v>
      </c>
      <c r="E72" t="b">
        <f>FALSE()</f>
        <v>0</v>
      </c>
      <c r="F72" t="b">
        <f t="shared" si="1"/>
        <v>1</v>
      </c>
    </row>
    <row r="73" spans="1:6">
      <c r="A73" t="s">
        <v>82</v>
      </c>
      <c r="B73" t="s">
        <v>83</v>
      </c>
      <c r="C73" t="b">
        <f>FALSE()</f>
        <v>0</v>
      </c>
      <c r="E73" t="b">
        <f>FALSE()</f>
        <v>0</v>
      </c>
      <c r="F73" t="b">
        <f t="shared" si="1"/>
        <v>1</v>
      </c>
    </row>
    <row r="74" spans="1:6">
      <c r="A74" t="s">
        <v>84</v>
      </c>
      <c r="B74" t="s">
        <v>85</v>
      </c>
      <c r="C74" t="b">
        <f>TRUE()</f>
        <v>1</v>
      </c>
      <c r="E74" t="b">
        <f>TRUE()</f>
        <v>1</v>
      </c>
      <c r="F74" t="b">
        <f t="shared" si="1"/>
        <v>1</v>
      </c>
    </row>
    <row r="75" spans="1:6">
      <c r="A75" t="s">
        <v>86</v>
      </c>
      <c r="B75" t="s">
        <v>87</v>
      </c>
      <c r="C75" t="b">
        <f>TRUE()</f>
        <v>1</v>
      </c>
      <c r="E75" t="b">
        <f>TRUE()</f>
        <v>1</v>
      </c>
      <c r="F75" t="b">
        <f t="shared" si="1"/>
        <v>1</v>
      </c>
    </row>
    <row r="76" spans="1:6">
      <c r="A76" t="s">
        <v>88</v>
      </c>
      <c r="B76" t="s">
        <v>89</v>
      </c>
      <c r="C76" t="b">
        <f>FALSE()</f>
        <v>0</v>
      </c>
      <c r="E76" t="b">
        <f>FALSE()</f>
        <v>0</v>
      </c>
      <c r="F76" t="b">
        <f t="shared" si="1"/>
        <v>1</v>
      </c>
    </row>
    <row r="77" spans="1:6">
      <c r="A77" t="s">
        <v>90</v>
      </c>
      <c r="B77" t="s">
        <v>91</v>
      </c>
      <c r="C77" t="b">
        <f>TRUE()</f>
        <v>1</v>
      </c>
      <c r="E77" t="b">
        <f>TRUE()</f>
        <v>1</v>
      </c>
      <c r="F77" t="b">
        <f t="shared" si="1"/>
        <v>1</v>
      </c>
    </row>
    <row r="78" spans="1:6">
      <c r="A78" t="s">
        <v>92</v>
      </c>
      <c r="B78" t="s">
        <v>274</v>
      </c>
      <c r="C78" t="b">
        <f>FALSE()</f>
        <v>0</v>
      </c>
      <c r="E78" t="b">
        <f>FALSE()</f>
        <v>0</v>
      </c>
      <c r="F78" t="b">
        <f t="shared" si="1"/>
        <v>1</v>
      </c>
    </row>
    <row r="79" spans="1:6">
      <c r="A79" t="s">
        <v>94</v>
      </c>
      <c r="B79" t="s">
        <v>275</v>
      </c>
      <c r="C79" t="b">
        <f>TRUE()</f>
        <v>1</v>
      </c>
      <c r="E79" t="b">
        <f>TRUE()</f>
        <v>1</v>
      </c>
      <c r="F79" t="b">
        <f t="shared" si="1"/>
        <v>1</v>
      </c>
    </row>
    <row r="80" spans="1:6">
      <c r="A80" t="s">
        <v>276</v>
      </c>
      <c r="B80" t="s">
        <v>387</v>
      </c>
      <c r="C80" t="b">
        <f>TRUE()</f>
        <v>1</v>
      </c>
      <c r="E80" t="b">
        <f>TRUE()</f>
        <v>1</v>
      </c>
      <c r="F80" t="b">
        <f t="shared" si="1"/>
        <v>1</v>
      </c>
    </row>
    <row r="81" spans="1:6">
      <c r="A81" t="s">
        <v>278</v>
      </c>
      <c r="B81" t="s">
        <v>388</v>
      </c>
      <c r="C81" t="b">
        <f>TRUE()</f>
        <v>1</v>
      </c>
      <c r="E81" t="b">
        <f>TRUE()</f>
        <v>1</v>
      </c>
      <c r="F81" t="b">
        <f t="shared" si="1"/>
        <v>1</v>
      </c>
    </row>
    <row r="82" spans="1:6">
      <c r="A82" t="s">
        <v>279</v>
      </c>
      <c r="B82" t="s">
        <v>280</v>
      </c>
      <c r="C82" t="b">
        <f>FALSE()</f>
        <v>0</v>
      </c>
      <c r="E82" t="b">
        <f>FALSE()</f>
        <v>0</v>
      </c>
      <c r="F82" t="b">
        <f t="shared" si="1"/>
        <v>1</v>
      </c>
    </row>
    <row r="83" spans="1:6">
      <c r="A83" t="s">
        <v>281</v>
      </c>
      <c r="B83" t="s">
        <v>389</v>
      </c>
      <c r="C83" t="b">
        <f>TRUE()</f>
        <v>1</v>
      </c>
      <c r="E83" t="b">
        <f>TRUE()</f>
        <v>1</v>
      </c>
      <c r="F83" t="b">
        <f t="shared" si="1"/>
        <v>1</v>
      </c>
    </row>
    <row r="84" spans="1:6">
      <c r="A84" t="s">
        <v>282</v>
      </c>
      <c r="B84" t="s">
        <v>390</v>
      </c>
      <c r="C84" t="b">
        <f>FALSE()</f>
        <v>0</v>
      </c>
      <c r="E84" t="b">
        <f>FALSE()</f>
        <v>0</v>
      </c>
      <c r="F84" t="b">
        <f t="shared" si="1"/>
        <v>1</v>
      </c>
    </row>
    <row r="85" spans="1:6">
      <c r="A85" t="s">
        <v>193</v>
      </c>
      <c r="B85" t="s">
        <v>285</v>
      </c>
      <c r="C85" t="b">
        <f>FALSE()</f>
        <v>0</v>
      </c>
      <c r="E85" t="b">
        <f>FALSE()</f>
        <v>0</v>
      </c>
      <c r="F85" t="b">
        <f t="shared" si="1"/>
        <v>1</v>
      </c>
    </row>
    <row r="86" spans="1:6">
      <c r="A86" t="s">
        <v>286</v>
      </c>
      <c r="B86" t="s">
        <v>391</v>
      </c>
      <c r="C86" t="b">
        <f>FALSE()</f>
        <v>0</v>
      </c>
      <c r="E86" t="b">
        <f>FALSE()</f>
        <v>0</v>
      </c>
      <c r="F86" t="b">
        <f t="shared" si="1"/>
        <v>1</v>
      </c>
    </row>
    <row r="87" spans="1:6">
      <c r="A87" t="s">
        <v>288</v>
      </c>
      <c r="B87" t="s">
        <v>289</v>
      </c>
      <c r="C87" t="b">
        <f>TRUE()</f>
        <v>1</v>
      </c>
      <c r="E87" t="b">
        <f>TRUE()</f>
        <v>1</v>
      </c>
      <c r="F87" t="b">
        <f t="shared" si="1"/>
        <v>1</v>
      </c>
    </row>
    <row r="88" spans="1:6">
      <c r="A88" t="s">
        <v>290</v>
      </c>
      <c r="B88" t="s">
        <v>392</v>
      </c>
      <c r="C88" t="b">
        <f>FALSE()</f>
        <v>0</v>
      </c>
      <c r="E88" t="b">
        <f>FALSE()</f>
        <v>0</v>
      </c>
      <c r="F88" t="b">
        <f t="shared" si="1"/>
        <v>1</v>
      </c>
    </row>
    <row r="89" spans="1:6">
      <c r="A89" t="s">
        <v>292</v>
      </c>
      <c r="B89" t="s">
        <v>202</v>
      </c>
      <c r="C89" t="b">
        <f>TRUE()</f>
        <v>1</v>
      </c>
      <c r="E89" t="b">
        <f>TRUE()</f>
        <v>1</v>
      </c>
      <c r="F89" t="b">
        <f t="shared" si="1"/>
        <v>1</v>
      </c>
    </row>
    <row r="90" spans="1:6">
      <c r="A90" t="s">
        <v>293</v>
      </c>
      <c r="B90" t="s">
        <v>393</v>
      </c>
      <c r="C90" t="b">
        <f>FALSE()</f>
        <v>0</v>
      </c>
      <c r="E90" t="b">
        <f>FALSE()</f>
        <v>0</v>
      </c>
      <c r="F90" t="b">
        <f t="shared" si="1"/>
        <v>1</v>
      </c>
    </row>
    <row r="91" spans="1:6">
      <c r="A91" t="s">
        <v>205</v>
      </c>
      <c r="B91" t="s">
        <v>394</v>
      </c>
      <c r="C91" t="b">
        <f>TRUE()</f>
        <v>1</v>
      </c>
      <c r="E91" t="b">
        <f>TRUE()</f>
        <v>1</v>
      </c>
      <c r="F91" t="b">
        <f t="shared" si="1"/>
        <v>1</v>
      </c>
    </row>
    <row r="92" spans="1:6">
      <c r="A92" t="s">
        <v>296</v>
      </c>
      <c r="B92" t="s">
        <v>297</v>
      </c>
      <c r="C92" t="b">
        <f>TRUE()</f>
        <v>1</v>
      </c>
      <c r="E92" t="b">
        <f>TRUE()</f>
        <v>1</v>
      </c>
      <c r="F92" t="b">
        <f t="shared" si="1"/>
        <v>1</v>
      </c>
    </row>
    <row r="93" spans="1:6">
      <c r="A93" t="s">
        <v>298</v>
      </c>
      <c r="B93" t="s">
        <v>299</v>
      </c>
      <c r="C93" t="b">
        <f>TRUE()</f>
        <v>1</v>
      </c>
      <c r="E93" t="b">
        <f>TRUE()</f>
        <v>1</v>
      </c>
      <c r="F93" t="b">
        <f t="shared" si="1"/>
        <v>1</v>
      </c>
    </row>
    <row r="94" spans="1:6">
      <c r="A94" t="s">
        <v>300</v>
      </c>
      <c r="B94" t="s">
        <v>395</v>
      </c>
      <c r="C94" t="b">
        <f>FALSE()</f>
        <v>0</v>
      </c>
      <c r="D94" t="s">
        <v>396</v>
      </c>
      <c r="E94" t="b">
        <f>FALSE()</f>
        <v>0</v>
      </c>
      <c r="F94" t="b">
        <f t="shared" si="1"/>
        <v>1</v>
      </c>
    </row>
    <row r="95" spans="1:6">
      <c r="A95" t="s">
        <v>302</v>
      </c>
      <c r="B95" t="s">
        <v>303</v>
      </c>
      <c r="C95" t="b">
        <f>TRUE()</f>
        <v>1</v>
      </c>
      <c r="E95" t="b">
        <f>TRUE()</f>
        <v>1</v>
      </c>
      <c r="F95" t="b">
        <f t="shared" si="1"/>
        <v>1</v>
      </c>
    </row>
    <row r="96" spans="1:6">
      <c r="A96" t="s">
        <v>304</v>
      </c>
      <c r="B96" t="s">
        <v>397</v>
      </c>
      <c r="C96" t="b">
        <f>FALSE()</f>
        <v>0</v>
      </c>
      <c r="E96" t="b">
        <f>FALSE()</f>
        <v>0</v>
      </c>
      <c r="F96" t="b">
        <f t="shared" si="1"/>
        <v>1</v>
      </c>
    </row>
    <row r="97" spans="1:6">
      <c r="A97" t="s">
        <v>306</v>
      </c>
      <c r="B97" t="s">
        <v>398</v>
      </c>
      <c r="C97" t="b">
        <f>FALSE()</f>
        <v>0</v>
      </c>
      <c r="E97" t="b">
        <f>FALSE()</f>
        <v>0</v>
      </c>
      <c r="F97" t="b">
        <f t="shared" si="1"/>
        <v>1</v>
      </c>
    </row>
    <row r="98" spans="1:6">
      <c r="A98" t="s">
        <v>308</v>
      </c>
      <c r="B98" t="s">
        <v>309</v>
      </c>
      <c r="C98" t="b">
        <f>TRUE()</f>
        <v>1</v>
      </c>
      <c r="E98" t="b">
        <f>TRUE()</f>
        <v>1</v>
      </c>
      <c r="F98" t="b">
        <f t="shared" si="1"/>
        <v>1</v>
      </c>
    </row>
    <row r="99" spans="1:6">
      <c r="A99" t="s">
        <v>310</v>
      </c>
      <c r="B99" t="s">
        <v>311</v>
      </c>
      <c r="C99" t="b">
        <f>TRUE()</f>
        <v>1</v>
      </c>
      <c r="E99" t="b">
        <f>TRUE()</f>
        <v>1</v>
      </c>
      <c r="F99" t="b">
        <f t="shared" si="1"/>
        <v>1</v>
      </c>
    </row>
    <row r="100" spans="1:6">
      <c r="A100" t="s">
        <v>312</v>
      </c>
      <c r="B100" t="s">
        <v>313</v>
      </c>
      <c r="C100" t="b">
        <f>FALSE()</f>
        <v>0</v>
      </c>
      <c r="E100" t="b">
        <f>FALSE()</f>
        <v>0</v>
      </c>
      <c r="F100" t="b">
        <f t="shared" si="1"/>
        <v>1</v>
      </c>
    </row>
    <row r="101" spans="1:6">
      <c r="A101" t="s">
        <v>314</v>
      </c>
      <c r="B101" t="s">
        <v>315</v>
      </c>
      <c r="C101" t="b">
        <f>TRUE()</f>
        <v>1</v>
      </c>
      <c r="E101" t="b">
        <f>TRUE()</f>
        <v>1</v>
      </c>
      <c r="F101" t="b">
        <f t="shared" si="1"/>
        <v>1</v>
      </c>
    </row>
    <row r="102" spans="1:6">
      <c r="A102" t="s">
        <v>316</v>
      </c>
      <c r="B102" t="s">
        <v>399</v>
      </c>
      <c r="C102" t="b">
        <f>FALSE()</f>
        <v>0</v>
      </c>
      <c r="E102" t="b">
        <f>FALSE()</f>
        <v>0</v>
      </c>
      <c r="F102" t="b">
        <f t="shared" si="1"/>
        <v>1</v>
      </c>
    </row>
    <row r="103" spans="1:6">
      <c r="A103" t="s">
        <v>318</v>
      </c>
      <c r="B103" t="s">
        <v>400</v>
      </c>
      <c r="C103" t="b">
        <f>FALSE()</f>
        <v>0</v>
      </c>
      <c r="E103" t="b">
        <f>FALSE()</f>
        <v>0</v>
      </c>
      <c r="F103" t="b">
        <f t="shared" si="1"/>
        <v>1</v>
      </c>
    </row>
    <row r="104" spans="1:6">
      <c r="A104" t="s">
        <v>401</v>
      </c>
      <c r="B104" t="s">
        <v>402</v>
      </c>
      <c r="C104" t="b">
        <f>FALSE()</f>
        <v>0</v>
      </c>
      <c r="E104" t="b">
        <f>FALSE()</f>
        <v>0</v>
      </c>
      <c r="F104" t="b">
        <f t="shared" si="1"/>
        <v>1</v>
      </c>
    </row>
    <row r="105" spans="1:6">
      <c r="A105" t="s">
        <v>403</v>
      </c>
      <c r="B105" t="s">
        <v>404</v>
      </c>
      <c r="C105" t="b">
        <f>TRUE()</f>
        <v>1</v>
      </c>
      <c r="E105" t="b">
        <f>TRUE()</f>
        <v>1</v>
      </c>
      <c r="F105" t="b">
        <f t="shared" si="1"/>
        <v>1</v>
      </c>
    </row>
    <row r="106" spans="1:6">
      <c r="A106" t="s">
        <v>405</v>
      </c>
      <c r="B106" t="s">
        <v>406</v>
      </c>
      <c r="C106" t="b">
        <f>FALSE()</f>
        <v>0</v>
      </c>
      <c r="E106" t="b">
        <f>FALSE()</f>
        <v>0</v>
      </c>
      <c r="F106" t="b">
        <f t="shared" si="1"/>
        <v>1</v>
      </c>
    </row>
    <row r="107" spans="1:6">
      <c r="A107" t="s">
        <v>407</v>
      </c>
      <c r="B107" t="s">
        <v>408</v>
      </c>
      <c r="C107" t="b">
        <f>TRUE()</f>
        <v>1</v>
      </c>
      <c r="E107" t="b">
        <f>TRUE()</f>
        <v>1</v>
      </c>
      <c r="F107" t="b">
        <f t="shared" si="1"/>
        <v>1</v>
      </c>
    </row>
    <row r="108" spans="1:6">
      <c r="A108" t="s">
        <v>409</v>
      </c>
      <c r="B108" t="s">
        <v>410</v>
      </c>
      <c r="C108" t="b">
        <f>FALSE()</f>
        <v>0</v>
      </c>
      <c r="E108" t="b">
        <f>FALSE()</f>
        <v>0</v>
      </c>
      <c r="F108" t="b">
        <f t="shared" si="1"/>
        <v>1</v>
      </c>
    </row>
    <row r="109" spans="1:6">
      <c r="A109" t="s">
        <v>411</v>
      </c>
      <c r="B109" t="s">
        <v>412</v>
      </c>
      <c r="C109" t="b">
        <f>FALSE()</f>
        <v>0</v>
      </c>
      <c r="E109" t="b">
        <f>FALSE()</f>
        <v>0</v>
      </c>
      <c r="F109" t="b">
        <f t="shared" si="1"/>
        <v>1</v>
      </c>
    </row>
    <row r="110" spans="1:6">
      <c r="A110" t="s">
        <v>413</v>
      </c>
      <c r="B110" t="s">
        <v>414</v>
      </c>
      <c r="C110" t="b">
        <f>FALSE()</f>
        <v>0</v>
      </c>
      <c r="E110" t="b">
        <f>FALSE()</f>
        <v>0</v>
      </c>
      <c r="F110" t="b">
        <f t="shared" si="1"/>
        <v>1</v>
      </c>
    </row>
    <row r="111" spans="1:6">
      <c r="A111" t="s">
        <v>415</v>
      </c>
      <c r="B111" t="s">
        <v>416</v>
      </c>
      <c r="C111" t="b">
        <f>TRUE()</f>
        <v>1</v>
      </c>
      <c r="E111" t="b">
        <f>TRUE()</f>
        <v>1</v>
      </c>
      <c r="F111" t="b">
        <f t="shared" si="1"/>
        <v>1</v>
      </c>
    </row>
    <row r="112" spans="1:6">
      <c r="A112" t="s">
        <v>417</v>
      </c>
      <c r="B112" t="s">
        <v>418</v>
      </c>
      <c r="C112" t="b">
        <f>FALSE()</f>
        <v>0</v>
      </c>
      <c r="E112" t="b">
        <f>FALSE()</f>
        <v>0</v>
      </c>
      <c r="F112" t="b">
        <f t="shared" si="1"/>
        <v>1</v>
      </c>
    </row>
    <row r="113" spans="1:6">
      <c r="A113" t="s">
        <v>419</v>
      </c>
      <c r="B113" t="s">
        <v>420</v>
      </c>
      <c r="C113" t="b">
        <f>TRUE()</f>
        <v>1</v>
      </c>
      <c r="E113" t="b">
        <f>TRUE()</f>
        <v>1</v>
      </c>
      <c r="F113" t="b">
        <f t="shared" si="1"/>
        <v>1</v>
      </c>
    </row>
    <row r="114" spans="1:6">
      <c r="A114" t="s">
        <v>421</v>
      </c>
      <c r="B114" t="s">
        <v>422</v>
      </c>
      <c r="C114" t="b">
        <f>FALSE()</f>
        <v>0</v>
      </c>
      <c r="E114" t="b">
        <f>FALSE()</f>
        <v>0</v>
      </c>
      <c r="F114" t="b">
        <f t="shared" si="1"/>
        <v>1</v>
      </c>
    </row>
    <row r="115" spans="1:6">
      <c r="A115" t="s">
        <v>423</v>
      </c>
      <c r="B115" t="s">
        <v>424</v>
      </c>
      <c r="C115" t="b">
        <f>TRUE()</f>
        <v>1</v>
      </c>
      <c r="E115" t="b">
        <f>TRUE()</f>
        <v>1</v>
      </c>
      <c r="F115" t="b">
        <f t="shared" si="1"/>
        <v>1</v>
      </c>
    </row>
    <row r="116" spans="1:6">
      <c r="A116" t="s">
        <v>425</v>
      </c>
      <c r="B116" t="s">
        <v>426</v>
      </c>
      <c r="C116" t="b">
        <f>FALSE()</f>
        <v>0</v>
      </c>
      <c r="E116" t="b">
        <f>FALSE()</f>
        <v>0</v>
      </c>
      <c r="F116" t="b">
        <f t="shared" si="1"/>
        <v>1</v>
      </c>
    </row>
    <row r="117" spans="1:6">
      <c r="A117" t="s">
        <v>427</v>
      </c>
      <c r="B117" t="s">
        <v>428</v>
      </c>
      <c r="C117" t="b">
        <f>TRUE()</f>
        <v>1</v>
      </c>
      <c r="E117" t="b">
        <f>TRUE()</f>
        <v>1</v>
      </c>
      <c r="F117" t="b">
        <f t="shared" si="1"/>
        <v>1</v>
      </c>
    </row>
    <row r="118" spans="1:6">
      <c r="A118" t="s">
        <v>429</v>
      </c>
      <c r="B118" t="s">
        <v>430</v>
      </c>
      <c r="C118" t="b">
        <f>FALSE()</f>
        <v>0</v>
      </c>
      <c r="E118" t="b">
        <f>FALSE()</f>
        <v>0</v>
      </c>
      <c r="F118" t="b">
        <f t="shared" si="1"/>
        <v>1</v>
      </c>
    </row>
    <row r="119" spans="1:6">
      <c r="A119" t="s">
        <v>431</v>
      </c>
      <c r="B119" t="s">
        <v>432</v>
      </c>
      <c r="C119" t="b">
        <f>TRUE()</f>
        <v>1</v>
      </c>
      <c r="E119" t="b">
        <f>TRUE()</f>
        <v>1</v>
      </c>
      <c r="F119" t="b">
        <f t="shared" si="1"/>
        <v>1</v>
      </c>
    </row>
    <row r="120" spans="1:6">
      <c r="A120" t="s">
        <v>433</v>
      </c>
      <c r="B120" t="s">
        <v>434</v>
      </c>
      <c r="C120" t="b">
        <f>FALSE()</f>
        <v>0</v>
      </c>
      <c r="E120" t="b">
        <f>FALSE()</f>
        <v>0</v>
      </c>
      <c r="F120" t="b">
        <f t="shared" si="1"/>
        <v>1</v>
      </c>
    </row>
    <row r="121" spans="1:6">
      <c r="A121" t="s">
        <v>435</v>
      </c>
      <c r="B121" t="s">
        <v>436</v>
      </c>
      <c r="C121" t="b">
        <f>FALSE()</f>
        <v>0</v>
      </c>
      <c r="E121" t="b">
        <f>FALSE()</f>
        <v>0</v>
      </c>
      <c r="F121" t="b">
        <f t="shared" si="1"/>
        <v>1</v>
      </c>
    </row>
  </sheetData>
  <pageMargins left="0.75" right="0.75" top="1" bottom="1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Sven-Leo Kupres</cp:lastModifiedBy>
  <cp:revision>6</cp:revision>
  <dcterms:created xsi:type="dcterms:W3CDTF">2026-04-24T11:08:23Z</dcterms:created>
  <dcterms:modified xsi:type="dcterms:W3CDTF">2026-09-16T12:11:08Z</dcterms:modified>
  <cp:category/>
  <cp:contentStatus/>
</cp:coreProperties>
</file>