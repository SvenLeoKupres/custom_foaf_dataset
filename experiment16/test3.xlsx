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xr:revisionPtr revIDLastSave="9" documentId="11_BF2323DEE9CC71D1754AAE2FE07F05E9F6DF943F" xr6:coauthVersionLast="47" xr6:coauthVersionMax="47" xr10:uidLastSave="{D1353231-9AB8-44D8-A2A1-30FD3226F64C}"/>
  <bookViews>
    <workbookView xWindow="0" yWindow="0" windowWidth="16384" windowHeight="8192" tabRatio="500" xr2:uid="{00000000-000D-0000-FFFF-FFFF00000000}"/>
  </bookViews>
  <sheets>
    <sheet name="kappa" sheetId="5" r:id="rId1"/>
    <sheet name="people6" sheetId="1" r:id="rId2"/>
    <sheet name="people10" sheetId="2" r:id="rId3"/>
    <sheet name="people14" sheetId="3" r:id="rId4"/>
    <sheet name="people20" sheetId="4" r:id="rId5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15" i="5" l="1"/>
  <c r="H15" i="5"/>
  <c r="G15" i="5"/>
  <c r="D15" i="5"/>
  <c r="C15" i="5"/>
  <c r="B15" i="5"/>
  <c r="I14" i="5"/>
  <c r="H14" i="5"/>
  <c r="G14" i="5"/>
  <c r="D14" i="5"/>
  <c r="C14" i="5"/>
  <c r="B14" i="5"/>
  <c r="I13" i="5"/>
  <c r="H13" i="5"/>
  <c r="G13" i="5"/>
  <c r="D13" i="5"/>
  <c r="C13" i="5"/>
  <c r="B13" i="5"/>
  <c r="I5" i="5"/>
  <c r="H5" i="5"/>
  <c r="G5" i="5"/>
  <c r="D5" i="5"/>
  <c r="D25" i="5" s="1"/>
  <c r="C5" i="5"/>
  <c r="C25" i="5" s="1"/>
  <c r="B5" i="5"/>
  <c r="B25" i="5" s="1"/>
  <c r="I4" i="5"/>
  <c r="H4" i="5"/>
  <c r="G4" i="5"/>
  <c r="D4" i="5"/>
  <c r="D24" i="5" s="1"/>
  <c r="C4" i="5"/>
  <c r="C24" i="5" s="1"/>
  <c r="B4" i="5"/>
  <c r="B24" i="5" s="1"/>
  <c r="I3" i="5"/>
  <c r="H3" i="5"/>
  <c r="G3" i="5"/>
  <c r="D3" i="5"/>
  <c r="D23" i="5" s="1"/>
  <c r="C3" i="5"/>
  <c r="C23" i="5" s="1"/>
  <c r="B3" i="5"/>
  <c r="E29" i="3"/>
  <c r="C29" i="3"/>
  <c r="E28" i="3"/>
  <c r="C28" i="3"/>
  <c r="E27" i="3"/>
  <c r="C27" i="3"/>
  <c r="E26" i="3"/>
  <c r="C26" i="3"/>
  <c r="E25" i="3"/>
  <c r="C25" i="3"/>
  <c r="E24" i="3"/>
  <c r="C24" i="3"/>
  <c r="E23" i="3"/>
  <c r="C23" i="3"/>
  <c r="E22" i="3"/>
  <c r="C22" i="3"/>
  <c r="E21" i="3"/>
  <c r="C21" i="3"/>
  <c r="E20" i="3"/>
  <c r="C20" i="3"/>
  <c r="E19" i="3"/>
  <c r="C19" i="3"/>
  <c r="E18" i="3"/>
  <c r="C18" i="3"/>
  <c r="E17" i="3"/>
  <c r="C17" i="3"/>
  <c r="E16" i="3"/>
  <c r="C16" i="3"/>
  <c r="E15" i="3"/>
  <c r="C15" i="3"/>
  <c r="E14" i="3"/>
  <c r="C14" i="3"/>
  <c r="E13" i="3"/>
  <c r="C13" i="3"/>
  <c r="E12" i="3"/>
  <c r="C12" i="3"/>
  <c r="E11" i="3"/>
  <c r="C11" i="3"/>
  <c r="E10" i="3"/>
  <c r="C10" i="3"/>
  <c r="E9" i="3"/>
  <c r="C9" i="3"/>
  <c r="E8" i="3"/>
  <c r="C8" i="3"/>
  <c r="E7" i="3"/>
  <c r="C7" i="3"/>
  <c r="E6" i="3"/>
  <c r="C6" i="3"/>
  <c r="E5" i="3"/>
  <c r="C5" i="3"/>
  <c r="E4" i="3"/>
  <c r="C4" i="3"/>
  <c r="E3" i="3"/>
  <c r="C3" i="3"/>
  <c r="E2" i="3"/>
  <c r="C2" i="3"/>
  <c r="E21" i="2"/>
  <c r="C21" i="2"/>
  <c r="E20" i="2"/>
  <c r="C20" i="2"/>
  <c r="E19" i="2"/>
  <c r="C19" i="2"/>
  <c r="E18" i="2"/>
  <c r="C18" i="2"/>
  <c r="E17" i="2"/>
  <c r="C17" i="2"/>
  <c r="E16" i="2"/>
  <c r="C16" i="2"/>
  <c r="E15" i="2"/>
  <c r="C15" i="2"/>
  <c r="E14" i="2"/>
  <c r="C14" i="2"/>
  <c r="E13" i="2"/>
  <c r="C13" i="2"/>
  <c r="E12" i="2"/>
  <c r="C12" i="2"/>
  <c r="E11" i="2"/>
  <c r="C11" i="2"/>
  <c r="E10" i="2"/>
  <c r="C10" i="2"/>
  <c r="E9" i="2"/>
  <c r="C9" i="2"/>
  <c r="E8" i="2"/>
  <c r="C8" i="2"/>
  <c r="E7" i="2"/>
  <c r="C7" i="2"/>
  <c r="E6" i="2"/>
  <c r="C6" i="2"/>
  <c r="E5" i="2"/>
  <c r="C5" i="2"/>
  <c r="E4" i="2"/>
  <c r="C4" i="2"/>
  <c r="E3" i="2"/>
  <c r="C3" i="2"/>
  <c r="E2" i="2"/>
  <c r="C2" i="2"/>
  <c r="E13" i="1"/>
  <c r="C13" i="1"/>
  <c r="E12" i="1"/>
  <c r="C12" i="1"/>
  <c r="E11" i="1"/>
  <c r="C11" i="1"/>
  <c r="E10" i="1"/>
  <c r="C10" i="1"/>
  <c r="E9" i="1"/>
  <c r="C9" i="1"/>
  <c r="E8" i="1"/>
  <c r="C8" i="1"/>
  <c r="E7" i="1"/>
  <c r="C7" i="1"/>
  <c r="E6" i="1"/>
  <c r="C6" i="1"/>
  <c r="E5" i="1"/>
  <c r="C5" i="1"/>
  <c r="E4" i="1"/>
  <c r="C4" i="1"/>
  <c r="E3" i="1"/>
  <c r="C3" i="1"/>
  <c r="E2" i="1"/>
  <c r="C2" i="1"/>
  <c r="E41" i="4"/>
  <c r="C41" i="4"/>
  <c r="E40" i="4"/>
  <c r="C40" i="4"/>
  <c r="E39" i="4"/>
  <c r="C39" i="4"/>
  <c r="E38" i="4"/>
  <c r="C38" i="4"/>
  <c r="E37" i="4"/>
  <c r="C37" i="4"/>
  <c r="E36" i="4"/>
  <c r="C36" i="4"/>
  <c r="E35" i="4"/>
  <c r="C35" i="4"/>
  <c r="E34" i="4"/>
  <c r="C34" i="4"/>
  <c r="E33" i="4"/>
  <c r="C33" i="4"/>
  <c r="E32" i="4"/>
  <c r="C32" i="4"/>
  <c r="E31" i="4"/>
  <c r="C31" i="4"/>
  <c r="E30" i="4"/>
  <c r="C30" i="4"/>
  <c r="E29" i="4"/>
  <c r="C29" i="4"/>
  <c r="E28" i="4"/>
  <c r="C28" i="4"/>
  <c r="E27" i="4"/>
  <c r="C27" i="4"/>
  <c r="E26" i="4"/>
  <c r="C26" i="4"/>
  <c r="E25" i="4"/>
  <c r="C25" i="4"/>
  <c r="E24" i="4"/>
  <c r="C24" i="4"/>
  <c r="E23" i="4"/>
  <c r="C23" i="4"/>
  <c r="E22" i="4"/>
  <c r="C22" i="4"/>
  <c r="E21" i="4"/>
  <c r="C21" i="4"/>
  <c r="E20" i="4"/>
  <c r="C20" i="4"/>
  <c r="E19" i="4"/>
  <c r="C19" i="4"/>
  <c r="E18" i="4"/>
  <c r="C18" i="4"/>
  <c r="E17" i="4"/>
  <c r="C17" i="4"/>
  <c r="E16" i="4"/>
  <c r="C16" i="4"/>
  <c r="E15" i="4"/>
  <c r="C15" i="4"/>
  <c r="E14" i="4"/>
  <c r="C14" i="4"/>
  <c r="E13" i="4"/>
  <c r="C13" i="4"/>
  <c r="E12" i="4"/>
  <c r="C12" i="4"/>
  <c r="E11" i="4"/>
  <c r="C11" i="4"/>
  <c r="E10" i="4"/>
  <c r="C10" i="4"/>
  <c r="E9" i="4"/>
  <c r="C9" i="4"/>
  <c r="E8" i="4"/>
  <c r="C8" i="4"/>
  <c r="E7" i="4"/>
  <c r="C7" i="4"/>
  <c r="E6" i="4"/>
  <c r="C6" i="4"/>
  <c r="E5" i="4"/>
  <c r="C5" i="4"/>
  <c r="E4" i="4"/>
  <c r="C4" i="4"/>
  <c r="E3" i="4"/>
  <c r="C3" i="4"/>
  <c r="E2" i="4"/>
  <c r="C2" i="4"/>
  <c r="M3" i="5" l="1"/>
  <c r="M2" i="5"/>
  <c r="M4" i="5" s="1"/>
  <c r="N3" i="5"/>
  <c r="N2" i="5"/>
  <c r="N4" i="5" s="1"/>
  <c r="O3" i="5"/>
  <c r="O2" i="5"/>
  <c r="O4" i="5" s="1"/>
  <c r="P3" i="5"/>
  <c r="P2" i="5"/>
  <c r="P4" i="5" s="1"/>
  <c r="B23" i="5"/>
  <c r="B6" i="5"/>
  <c r="G6" i="5"/>
  <c r="B16" i="5"/>
  <c r="G16" i="5"/>
  <c r="G18" i="5" l="1"/>
  <c r="G17" i="5"/>
  <c r="G19" i="5" s="1"/>
  <c r="B18" i="5"/>
  <c r="B17" i="5"/>
  <c r="B19" i="5" s="1"/>
  <c r="G8" i="5"/>
  <c r="G7" i="5"/>
  <c r="G9" i="5" s="1"/>
  <c r="B8" i="5"/>
  <c r="B7" i="5"/>
  <c r="B9" i="5" s="1"/>
  <c r="B26" i="5"/>
  <c r="B28" i="5" l="1"/>
  <c r="B27" i="5"/>
  <c r="B29" i="5" s="1"/>
</calcChain>
</file>

<file path=xl/sharedStrings.xml><?xml version="1.0" encoding="utf-8"?>
<sst xmlns="http://schemas.openxmlformats.org/spreadsheetml/2006/main" count="262" uniqueCount="118">
  <si>
    <t>people6</t>
  </si>
  <si>
    <t>people10</t>
  </si>
  <si>
    <t>people14</t>
  </si>
  <si>
    <t>people20</t>
  </si>
  <si>
    <t>half true</t>
  </si>
  <si>
    <t>dominik</t>
  </si>
  <si>
    <t>sven</t>
  </si>
  <si>
    <t>sum</t>
  </si>
  <si>
    <t>N</t>
  </si>
  <si>
    <t>Po</t>
  </si>
  <si>
    <t>Pe</t>
  </si>
  <si>
    <t>Kappa</t>
  </si>
  <si>
    <t>OVERALL</t>
  </si>
  <si>
    <t>prompt</t>
  </si>
  <si>
    <t>answer</t>
  </si>
  <si>
    <t>validity</t>
  </si>
  <si>
    <t>note</t>
  </si>
  <si>
    <t>validity_ds</t>
  </si>
  <si>
    <t>What is Saša Škrtić's first name?</t>
  </si>
  <si>
    <t>I couldn't find any information on a person named Saša Škrtić, however,</t>
  </si>
  <si>
    <t>What is Saša Škrtić's last name?</t>
  </si>
  <si>
    <t>Škrtić.</t>
  </si>
  <si>
    <t>What is Duje Ravlić's first name?</t>
  </si>
  <si>
    <t>Duje's first name is Duje.</t>
  </si>
  <si>
    <t>What is Duje Ravlić's last name?</t>
  </si>
  <si>
    <t>Duje Ravlić's last name is Ravlić.</t>
  </si>
  <si>
    <t>What is Eduard Tutić's first name?</t>
  </si>
  <si>
    <t>Eduard Tutić's first name is Eduard.</t>
  </si>
  <si>
    <t>What is Eduard Tutić's last name?</t>
  </si>
  <si>
    <t>Eduard Tutić's last name is Tutić.</t>
  </si>
  <si>
    <t>What is Jagoda Draženović's first name?</t>
  </si>
  <si>
    <t>Jagoda Draženović's first name is Jagoda.</t>
  </si>
  <si>
    <t>What is Jagoda Draženović's last name?</t>
  </si>
  <si>
    <t>Draženović.</t>
  </si>
  <si>
    <t>What is Monika Rimac's first name?</t>
  </si>
  <si>
    <t>Monika Rimac's first name is Monika.</t>
  </si>
  <si>
    <t>What is Monika Rimac's last name?</t>
  </si>
  <si>
    <t>Her last name is Rimac.</t>
  </si>
  <si>
    <t>What is Mia Popić's first name?</t>
  </si>
  <si>
    <t>Mia Popić's first name is Mia.</t>
  </si>
  <si>
    <t>What is Mia Popić's last name?</t>
  </si>
  <si>
    <t>Mia Popić's last name is Popić.</t>
  </si>
  <si>
    <t>I couldn't find information on a person named Saša Škrtić, but the first</t>
  </si>
  <si>
    <t>I couldn't find any information on Eduard Tutić, so I couldn't determine his first</t>
  </si>
  <si>
    <t>What is Zoran Goreta's first name?</t>
  </si>
  <si>
    <t>I couldn't find any information on a person named Zoran Goreta, so I couldn't determine</t>
  </si>
  <si>
    <t>What is Zoran Goreta's last name?</t>
  </si>
  <si>
    <t>Zoran Goreta's last name is Goreta.</t>
  </si>
  <si>
    <t>What is Ivo Čelina's first name?</t>
  </si>
  <si>
    <t>Ivo Čelina's first name is Ivo.</t>
  </si>
  <si>
    <t>What is Ivo Čelina's last name?</t>
  </si>
  <si>
    <t>Ivo Čelina's last name is Čelina.</t>
  </si>
  <si>
    <t>Jagoda's first name is Draženović.</t>
  </si>
  <si>
    <t>Jagoda Draženović's last name is Draženović.</t>
  </si>
  <si>
    <t>Monika Rimac's first name is not explicitly stated, but the answer is Monika.</t>
  </si>
  <si>
    <t>What is Nada Sudar's first name?</t>
  </si>
  <si>
    <t>Nada Sudar's first name is Nada.</t>
  </si>
  <si>
    <t>What is Nada Sudar's last name?</t>
  </si>
  <si>
    <t>Nada Sudar's last name is Sudar.</t>
  </si>
  <si>
    <t>What is Mirjam Devčić's first name?</t>
  </si>
  <si>
    <t>Mirjam's first name is not mentioned, but her last name is Devčić.</t>
  </si>
  <si>
    <t>What is Mirjam Devčić's last name?</t>
  </si>
  <si>
    <t>Mirjam Devčić's last name is Devčić.</t>
  </si>
  <si>
    <t>I couldn't find any information on a person named Saša Škrtić, but it</t>
  </si>
  <si>
    <t>Saša Škrtić's last name is Škrtić.</t>
  </si>
  <si>
    <t>Duje Ravlić's first name is Duje.</t>
  </si>
  <si>
    <t>I couldn't find any information on Zoran Goreta, so I couldn't determine his first name</t>
  </si>
  <si>
    <t>What is Gordan Lucić's first name?</t>
  </si>
  <si>
    <t>I couldn't find any information on a person named Gordan Lucić, could you provide more context</t>
  </si>
  <si>
    <t>What is Gordan Lucić's last name?</t>
  </si>
  <si>
    <t>Gordan Lucić's last name is Lucić.</t>
  </si>
  <si>
    <t>What is Ljubomir Jurišić's first name?</t>
  </si>
  <si>
    <t>Ljubomir Jurišić's first name is Ljubomir.</t>
  </si>
  <si>
    <t>What is Ljubomir Jurišić's last name?</t>
  </si>
  <si>
    <t>Ljubomir Jurišić's last name is Jurišić.</t>
  </si>
  <si>
    <t>Monika Rimac's first name is not mentioned in the provided information.</t>
  </si>
  <si>
    <t>Unfortunately, I couldn't find any information on a person named Nada Sudar, so I couldn</t>
  </si>
  <si>
    <t>Mirjam's first name is not specified in the given information.</t>
  </si>
  <si>
    <t>What is Lea Grubić's first name?</t>
  </si>
  <si>
    <t>Lea Grubić's first name is Lea.</t>
  </si>
  <si>
    <t>What is Lea Grubić's last name?</t>
  </si>
  <si>
    <t>Lea Grubić's last name is Grubić.</t>
  </si>
  <si>
    <t>What is Antonija Salinović's first name?</t>
  </si>
  <si>
    <t>I couldn't find any information on a person named Antonija Salinović, however, I</t>
  </si>
  <si>
    <t>What is Antonija Salinović's last name?</t>
  </si>
  <si>
    <t>Antonija Salinović's last name is Salinović.</t>
  </si>
  <si>
    <t>I couldn't find any information on a person named Saša Škrtić.</t>
  </si>
  <si>
    <t>I couldn't find any information on a person named Eduard Tutić, however, I found</t>
  </si>
  <si>
    <t>I couldn't find any information on a person named Zoran Goreta, including their first name.</t>
  </si>
  <si>
    <t>I couldn't find any information on a person named Gordan Lucić, but it appears you might</t>
  </si>
  <si>
    <t>What is Vladimir Svalina's first name?</t>
  </si>
  <si>
    <t>I couldn't find any information on a person named Vladimir Svalina, so I can only provide</t>
  </si>
  <si>
    <t>What is Vladimir Svalina's last name?</t>
  </si>
  <si>
    <t>Vladimir Svalina's last name is Svalina.</t>
  </si>
  <si>
    <t>What is Tomislav Šoštarić's first name?</t>
  </si>
  <si>
    <t>Tomislav Šoštarić's first name is Tomislav.</t>
  </si>
  <si>
    <t>What is Tomislav Šoštarić's last name?</t>
  </si>
  <si>
    <t>Tomislav Šoštarić's last name is Šoštarić.</t>
  </si>
  <si>
    <t>What is Nikola Prelošnjak's first name?</t>
  </si>
  <si>
    <t>Nikola's first name is Prelošnjak.</t>
  </si>
  <si>
    <t>What is Nikola Prelošnjak's last name?</t>
  </si>
  <si>
    <t>Nikola Prelošnjak's last name is Prelošnjak.</t>
  </si>
  <si>
    <t>I couldn't find any information on a person named Mia Popić, so I can only provide that</t>
  </si>
  <si>
    <t>I couldn't find any information on Nada Sudar's first name.</t>
  </si>
  <si>
    <t>I couldn't find any information on a person named Mirjam Devčić, so I can only</t>
  </si>
  <si>
    <t>I couldn't find any information on a person named Antonija Salinović, so I can</t>
  </si>
  <si>
    <t>What is Cvijeta Svetličić's first name?</t>
  </si>
  <si>
    <t>I couldn't find any information on Cvijeta Svetličić's first name.</t>
  </si>
  <si>
    <t>What is Cvijeta Svetličić's last name?</t>
  </si>
  <si>
    <t>Cvijeta Svetličić's last name is Svetličić.</t>
  </si>
  <si>
    <t>What is Irena Jurilj's first name?</t>
  </si>
  <si>
    <t>Irena is not Irena Jurilj's first name, but rather her last name.</t>
  </si>
  <si>
    <t>What is Irena Jurilj's last name?</t>
  </si>
  <si>
    <t>Irena Jurilj's last name is Jurilj.</t>
  </si>
  <si>
    <t>What is Stela Mišković's first name?</t>
  </si>
  <si>
    <t>I couldn't find any information about a person named Stela Mišković, however, I</t>
  </si>
  <si>
    <t>What is Stela Mišković's last name?</t>
  </si>
  <si>
    <t>Stela Mišković's last name is Mišković.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</si>
</sst>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TRUE&quot;;&quot;TRUE&quot;;&quot;FALSE&quot;"/>
  </numFmts>
  <fonts count="2">
    <font>
      <sz val="11"/>
      <color theme="1"/>
      <name val="Calibri"/>
      <family val="2"/>
      <charset val="1"/>
    </font>
    <font>
      <b/>
      <sz val="11"/>
      <name val="Calibri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17BFE-6FF7-4D47-8BAB-12D8272161D1}">
  <dimension ref="A1:P29"/>
  <sheetViews>
    <sheetView tabSelected="1" workbookViewId="0">
      <selection sqref="A1:XFD1048576"/>
    </sheetView>
  </sheetViews>
  <sheetFormatPr defaultRowHeight="15"/>
  <cols>
    <col min="1" max="1" width="9.28515625" bestFit="1" customWidth="1"/>
    <col min="2" max="2" width="12.5703125" bestFit="1" customWidth="1"/>
    <col min="3" max="3" width="6.28515625" bestFit="1" customWidth="1"/>
    <col min="4" max="4" width="8.5703125" bestFit="1" customWidth="1"/>
    <col min="6" max="6" width="9.28515625" bestFit="1" customWidth="1"/>
    <col min="7" max="7" width="6.140625" bestFit="1" customWidth="1"/>
    <col min="8" max="8" width="6.28515625" bestFit="1" customWidth="1"/>
    <col min="9" max="9" width="8.5703125" bestFit="1" customWidth="1"/>
    <col min="12" max="12" width="8.140625" bestFit="1" customWidth="1"/>
    <col min="13" max="13" width="8.28515625" bestFit="1" customWidth="1"/>
    <col min="14" max="16" width="9.28515625" bestFit="1" customWidth="1"/>
  </cols>
  <sheetData>
    <row r="1" spans="1:16">
      <c r="A1" t="s">
        <v>0</v>
      </c>
      <c r="F1" t="s">
        <v>1</v>
      </c>
      <c r="M1" t="s">
        <v>0</v>
      </c>
      <c r="N1" t="s">
        <v>1</v>
      </c>
      <c r="O1" t="s">
        <v>2</v>
      </c>
      <c r="P1" t="s">
        <v>3</v>
      </c>
    </row>
    <row r="2" spans="1:16">
      <c r="B2" t="b">
        <v>1</v>
      </c>
      <c r="C2" t="b">
        <v>0</v>
      </c>
      <c r="D2" t="s">
        <v>4</v>
      </c>
      <c r="G2" t="b">
        <v>1</v>
      </c>
      <c r="H2" t="b">
        <v>0</v>
      </c>
      <c r="I2" t="s">
        <v>4</v>
      </c>
      <c r="L2" t="s">
        <v>5</v>
      </c>
      <c r="M2">
        <f ca="1">B3+B4+B5</f>
        <v>11</v>
      </c>
      <c r="N2">
        <f ca="1">G3+G4+G5</f>
        <v>15</v>
      </c>
      <c r="O2">
        <f ca="1">B13+B14+B15</f>
        <v>21</v>
      </c>
      <c r="P2">
        <f ca="1">G13+G14+G15</f>
        <v>26</v>
      </c>
    </row>
    <row r="3" spans="1:16">
      <c r="A3" t="b">
        <v>1</v>
      </c>
      <c r="B3">
        <f ca="1">COUNTIFS(INDIRECT(A1 &amp; "!$C$2:$C$86"),TRUE, INDIRECT(A1 &amp; "!$E$2:$E$86"),TRUE)</f>
        <v>11</v>
      </c>
      <c r="C3">
        <f ca="1">COUNTIFS(INDIRECT(A1 &amp; "!$C$2:$C$86"),TRUE, INDIRECT(A1 &amp; "!$E$2:$E$86"),FALSE)</f>
        <v>0</v>
      </c>
      <c r="D3">
        <f ca="1">COUNTIFS(INDIRECT(A1 &amp; "!$C$2:$C$86"),TRUE, INDIRECT(A1 &amp; "!$E$2:$E$86"),"half true")</f>
        <v>0</v>
      </c>
      <c r="F3" t="b">
        <v>1</v>
      </c>
      <c r="G3">
        <f ca="1">COUNTIFS(INDIRECT(F1 &amp; "!$C$2:$C$86"),TRUE, INDIRECT(F1 &amp; "!$E$2:$E$86"),TRUE)</f>
        <v>15</v>
      </c>
      <c r="H3">
        <f ca="1">COUNTIFS(INDIRECT(F1 &amp; "!$C$2:$C$86"),TRUE, INDIRECT(F1 &amp; "!$E$2:$E$86"),FALSE)</f>
        <v>0</v>
      </c>
      <c r="I3">
        <f ca="1">COUNTIFS(INDIRECT(F1 &amp; "!$C$2:$C$86"),TRUE, INDIRECT(F1 &amp; "!$E$2:$E$86"),"half true")</f>
        <v>0</v>
      </c>
      <c r="L3" t="s">
        <v>6</v>
      </c>
      <c r="M3">
        <f ca="1">SUM(B3:D3)</f>
        <v>11</v>
      </c>
      <c r="N3">
        <f ca="1">SUM(G3:I3)</f>
        <v>15</v>
      </c>
      <c r="O3">
        <f ca="1">SUM(B13:D13)</f>
        <v>21</v>
      </c>
      <c r="P3">
        <f ca="1">SUM(G13:I13)</f>
        <v>26</v>
      </c>
    </row>
    <row r="4" spans="1:16">
      <c r="A4" t="b">
        <v>0</v>
      </c>
      <c r="B4">
        <f ca="1">COUNTIFS(INDIRECT(A1 &amp; "!$C$2:$C$86"),FALSE, INDIRECT(A1 &amp; "!$E$2:$E$86"),TRUE)</f>
        <v>0</v>
      </c>
      <c r="C4">
        <f ca="1">COUNTIFS(INDIRECT(A1 &amp; "!$C$2:$C$86"),FALSE, INDIRECT(A1 &amp; "!$E$2:$E$86"),FALSE)</f>
        <v>1</v>
      </c>
      <c r="D4">
        <f ca="1">COUNTIFS(INDIRECT(A1 &amp; "!$C$2:$C$86"),FALSE, INDIRECT(A1 &amp; "!$E$2:$E$86"),"half true")</f>
        <v>0</v>
      </c>
      <c r="F4" t="b">
        <v>0</v>
      </c>
      <c r="G4">
        <f ca="1">COUNTIFS(INDIRECT(F1 &amp; "!$C$2:$C$86"),FALSE, INDIRECT(F1 &amp; "!$E$2:$E$86"),TRUE)</f>
        <v>0</v>
      </c>
      <c r="H4">
        <f ca="1">COUNTIFS(INDIRECT(F1 &amp; "!$C$2:$C$86"),FALSE, INDIRECT(F1 &amp; "!$E$2:$E$86"),FALSE)</f>
        <v>5</v>
      </c>
      <c r="I4">
        <f ca="1">COUNTIFS(INDIRECT(F1 &amp; "!$C$2:$C$86"),FALSE, INDIRECT(F1 &amp; "!$E$2:$E$86"),"half true")</f>
        <v>0</v>
      </c>
      <c r="L4" t="s">
        <v>7</v>
      </c>
      <c r="M4">
        <f ca="1">SUM(M2:M3)</f>
        <v>22</v>
      </c>
      <c r="N4">
        <f t="shared" ref="N4:T4" ca="1" si="0">SUM(N2:N3)</f>
        <v>30</v>
      </c>
      <c r="O4">
        <f t="shared" ca="1" si="0"/>
        <v>42</v>
      </c>
      <c r="P4">
        <f t="shared" ca="1" si="0"/>
        <v>52</v>
      </c>
    </row>
    <row r="5" spans="1:16">
      <c r="A5" t="s">
        <v>4</v>
      </c>
      <c r="B5">
        <f ca="1">COUNTIFS(INDIRECT(A1 &amp; "!$C$2:$C$86"),"half true", INDIRECT(A1 &amp; "!$E$2:$E$86"),TRUE)</f>
        <v>0</v>
      </c>
      <c r="C5">
        <f ca="1">COUNTIFS(INDIRECT(A1 &amp; "!$C$2:$C$86"),"half true", INDIRECT(A1 &amp; "!$E$2:$E$86"),FALSE)</f>
        <v>0</v>
      </c>
      <c r="D5">
        <f ca="1">COUNTIFS(INDIRECT(A1 &amp; "!$C$2:$C$86"),"half true", INDIRECT(A1 &amp; "!$E$2:$E$86"),"half true")</f>
        <v>0</v>
      </c>
      <c r="F5" t="s">
        <v>4</v>
      </c>
      <c r="G5">
        <f ca="1">COUNTIFS(INDIRECT(F1 &amp; "!$C$2:$C$86"),"half true", INDIRECT(F1 &amp; "!$E$2:$E$86"),TRUE)</f>
        <v>0</v>
      </c>
      <c r="H5">
        <f ca="1">COUNTIFS(INDIRECT(F1 &amp; "!$C$2:$C$86"),"half true", INDIRECT(F1 &amp; "!$E$2:$E$86"),FALSE)</f>
        <v>0</v>
      </c>
      <c r="I5">
        <f ca="1">COUNTIFS(INDIRECT(F1 &amp; "!$C$2:$C$86"),"half true", INDIRECT(F1 &amp; "!$E$2:$E$86"),"half true")</f>
        <v>0</v>
      </c>
    </row>
    <row r="6" spans="1:16">
      <c r="A6" t="s">
        <v>8</v>
      </c>
      <c r="B6">
        <f ca="1">SUM(B3:D5)</f>
        <v>12</v>
      </c>
      <c r="F6" t="s">
        <v>8</v>
      </c>
      <c r="G6">
        <f ca="1">SUM(G3:I5)</f>
        <v>20</v>
      </c>
    </row>
    <row r="7" spans="1:16">
      <c r="A7" t="s">
        <v>9</v>
      </c>
      <c r="B7">
        <f ca="1">(B3+C4+D5)/B6</f>
        <v>1</v>
      </c>
      <c r="F7" t="s">
        <v>9</v>
      </c>
      <c r="G7">
        <f ca="1">(G3+H4+I5)/G6</f>
        <v>1</v>
      </c>
    </row>
    <row r="8" spans="1:16">
      <c r="A8" t="s">
        <v>10</v>
      </c>
      <c r="B8">
        <f ca="1">((SUM(B3:D3)*SUM(B3:B5))+(SUM(B4:D4)*SUM(C3:C5))+(SUM(B5:D5)*SUM(D3:D5)))/(B6^2)</f>
        <v>0.84722222222222221</v>
      </c>
      <c r="F8" t="s">
        <v>10</v>
      </c>
      <c r="G8">
        <f ca="1">((SUM(G3:I3)*SUM(G3:G5))+(SUM(G4:I4)*SUM(H3:H5))+(SUM(G5:I5)*SUM(I3:I5)))/(G6^2)</f>
        <v>0.625</v>
      </c>
    </row>
    <row r="9" spans="1:16">
      <c r="A9" t="s">
        <v>11</v>
      </c>
      <c r="B9">
        <f ca="1">(B7-B8)/(1-B8)</f>
        <v>1</v>
      </c>
      <c r="F9" t="s">
        <v>11</v>
      </c>
      <c r="G9">
        <f ca="1">(G7-G8)/(1-G8)</f>
        <v>1</v>
      </c>
    </row>
    <row r="11" spans="1:16">
      <c r="A11" t="s">
        <v>2</v>
      </c>
      <c r="F11" t="s">
        <v>3</v>
      </c>
    </row>
    <row r="12" spans="1:16">
      <c r="B12" t="b">
        <v>1</v>
      </c>
      <c r="C12" t="b">
        <v>0</v>
      </c>
      <c r="D12" t="s">
        <v>4</v>
      </c>
      <c r="G12" t="b">
        <v>1</v>
      </c>
      <c r="H12" t="b">
        <v>0</v>
      </c>
      <c r="I12" t="s">
        <v>4</v>
      </c>
    </row>
    <row r="13" spans="1:16">
      <c r="A13" t="b">
        <v>1</v>
      </c>
      <c r="B13">
        <f ca="1">COUNTIFS(INDIRECT(A11 &amp; "!$C$2:$C$86"),TRUE, INDIRECT(A11 &amp; "!$E$2:$E$86"),TRUE)</f>
        <v>21</v>
      </c>
      <c r="C13">
        <f ca="1">COUNTIFS(INDIRECT(A11 &amp; "!$C$2:$C$86"),TRUE, INDIRECT(A11 &amp; "!$E$2:$E$86"),FALSE)</f>
        <v>0</v>
      </c>
      <c r="D13">
        <f ca="1">COUNTIFS(INDIRECT(A11 &amp; "!$C$2:$C$86"),TRUE, INDIRECT(A11 &amp; "!$E$2:$E$86"),"half true")</f>
        <v>0</v>
      </c>
      <c r="F13" t="b">
        <v>1</v>
      </c>
      <c r="G13">
        <f ca="1">COUNTIFS(INDIRECT(F11 &amp; "!$C$2:$C$121"),TRUE, INDIRECT(F11 &amp; "!$E$2:$E$121"),TRUE)</f>
        <v>26</v>
      </c>
      <c r="H13">
        <f ca="1">COUNTIFS(INDIRECT(F11 &amp; "!$C$2:$C$121"),TRUE, INDIRECT(F11 &amp; "!$E$2:$E$121"),FALSE)</f>
        <v>0</v>
      </c>
      <c r="I13">
        <f ca="1">COUNTIFS(INDIRECT(F11 &amp; "!$C$2:$C$121"),TRUE, INDIRECT(F11 &amp; "!$E$2:$E$121"),"half true")</f>
        <v>0</v>
      </c>
    </row>
    <row r="14" spans="1:16">
      <c r="A14" t="b">
        <v>0</v>
      </c>
      <c r="B14">
        <f ca="1">COUNTIFS(INDIRECT(A11 &amp; "!$C$2:$C$86"),FALSE, INDIRECT(A11 &amp; "!$E$2:$E$86"),TRUE)</f>
        <v>0</v>
      </c>
      <c r="C14">
        <f ca="1">COUNTIFS(INDIRECT(A11 &amp; "!$C$2:$C$86"),FALSE, INDIRECT(A11 &amp; "!$E$2:$E$86"),FALSE)</f>
        <v>7</v>
      </c>
      <c r="D14">
        <f ca="1">COUNTIFS(INDIRECT(A11 &amp; "!$C$2:$C$86"),FALSE, INDIRECT(A11 &amp; "!$E$2:$E$86"),"half true")</f>
        <v>0</v>
      </c>
      <c r="F14" t="b">
        <v>0</v>
      </c>
      <c r="G14">
        <f ca="1">COUNTIFS(INDIRECT(F11 &amp; "!$C$2:$C$121"),FALSE, INDIRECT(F11 &amp; "!$E$2:$E$121"),TRUE)</f>
        <v>0</v>
      </c>
      <c r="H14">
        <f ca="1">COUNTIFS(INDIRECT(F11 &amp; "!$C$2:$C$121"),FALSE, INDIRECT(F11 &amp; "!$E$2:$E$121"),FALSE)</f>
        <v>14</v>
      </c>
      <c r="I14">
        <f ca="1">COUNTIFS(INDIRECT(F11 &amp; "!$C$2:$C$121"),FALSE, INDIRECT(F11 &amp; "!$E$2:$E$121"),"half true")</f>
        <v>0</v>
      </c>
    </row>
    <row r="15" spans="1:16">
      <c r="A15" t="s">
        <v>4</v>
      </c>
      <c r="B15">
        <f ca="1">COUNTIFS(INDIRECT(A11 &amp; "!$C$2:$C$86"),"half true", INDIRECT(A11 &amp; "!$E$2:$E$86"),TRUE)</f>
        <v>0</v>
      </c>
      <c r="C15">
        <f ca="1">COUNTIFS(INDIRECT(A11 &amp; "!$C$2:$C$86"),"half true", INDIRECT(A11 &amp; "!$E$2:$E$86"),FALSE)</f>
        <v>0</v>
      </c>
      <c r="D15">
        <f ca="1">COUNTIFS(INDIRECT(A11 &amp; "!$C$2:$C$86"),"half true", INDIRECT(A11 &amp; "!$E$2:$E$86"),"half true")</f>
        <v>0</v>
      </c>
      <c r="F15" t="s">
        <v>4</v>
      </c>
      <c r="G15">
        <f ca="1">COUNTIFS(INDIRECT(F11 &amp; "!$C$2:$C$121"),"half true", INDIRECT(F11 &amp; "!$E$2:$E$121"),TRUE)</f>
        <v>0</v>
      </c>
      <c r="H15">
        <f ca="1">COUNTIFS(INDIRECT(F11 &amp; "!$C$2:$C$121"),"half true", INDIRECT(F11 &amp; "!$E$2:$E$121"),FALSE)</f>
        <v>0</v>
      </c>
      <c r="I15">
        <f ca="1">COUNTIFS(INDIRECT(F11 &amp; "!$C$2:$C$121"),"half true", INDIRECT(F11 &amp; "!$E$2:$E$121"),"half true")</f>
        <v>0</v>
      </c>
    </row>
    <row r="16" spans="1:16">
      <c r="A16" t="s">
        <v>8</v>
      </c>
      <c r="B16">
        <f ca="1">SUM(B13:D15)</f>
        <v>28</v>
      </c>
      <c r="F16" t="s">
        <v>8</v>
      </c>
      <c r="G16">
        <f ca="1">SUM(G13:I15)</f>
        <v>40</v>
      </c>
    </row>
    <row r="17" spans="1:7">
      <c r="A17" t="s">
        <v>9</v>
      </c>
      <c r="B17">
        <f ca="1">(B13+C14+D15)/B16</f>
        <v>1</v>
      </c>
      <c r="F17" t="s">
        <v>9</v>
      </c>
      <c r="G17">
        <f ca="1">(G13+H14+I15)/G16</f>
        <v>1</v>
      </c>
    </row>
    <row r="18" spans="1:7">
      <c r="A18" t="s">
        <v>10</v>
      </c>
      <c r="B18">
        <f ca="1">((SUM(B13:D13)*SUM(B13:B15))+(SUM(B14:D14)*SUM(C13:C15))+(SUM(B15:D15)*SUM(D13:D15)))/(B16^2)</f>
        <v>0.625</v>
      </c>
      <c r="F18" t="s">
        <v>10</v>
      </c>
      <c r="G18">
        <f ca="1">((SUM(G13:I13)*SUM(G13:G15))+(SUM(G14:I14)*SUM(H13:H15))+(SUM(G15:I15)*SUM(I13:I15)))/(G16^2)</f>
        <v>0.54500000000000004</v>
      </c>
    </row>
    <row r="19" spans="1:7">
      <c r="A19" t="s">
        <v>11</v>
      </c>
      <c r="B19">
        <f ca="1">(B17-B18)/(1-B18)</f>
        <v>1</v>
      </c>
      <c r="F19" t="s">
        <v>11</v>
      </c>
      <c r="G19">
        <f ca="1">(G17-G18)/(1-G18)</f>
        <v>1</v>
      </c>
    </row>
    <row r="21" spans="1:7">
      <c r="A21" t="s">
        <v>12</v>
      </c>
    </row>
    <row r="22" spans="1:7">
      <c r="B22" t="b">
        <v>1</v>
      </c>
      <c r="C22" t="b">
        <v>0</v>
      </c>
      <c r="D22" t="s">
        <v>4</v>
      </c>
    </row>
    <row r="23" spans="1:7">
      <c r="A23" t="b">
        <v>1</v>
      </c>
      <c r="B23">
        <f ca="1">B3+G3+B13+G13</f>
        <v>73</v>
      </c>
      <c r="C23">
        <f t="shared" ref="C23:D25" ca="1" si="1">C3+H3+C13+H13</f>
        <v>0</v>
      </c>
      <c r="D23">
        <f t="shared" ca="1" si="1"/>
        <v>0</v>
      </c>
    </row>
    <row r="24" spans="1:7">
      <c r="A24" t="b">
        <v>0</v>
      </c>
      <c r="B24">
        <f ca="1">B4+G4+B14+G14</f>
        <v>0</v>
      </c>
      <c r="C24">
        <f t="shared" ca="1" si="1"/>
        <v>27</v>
      </c>
      <c r="D24">
        <f t="shared" ca="1" si="1"/>
        <v>0</v>
      </c>
    </row>
    <row r="25" spans="1:7">
      <c r="A25" t="s">
        <v>4</v>
      </c>
      <c r="B25">
        <f ca="1">B5+G5+B15+G15</f>
        <v>0</v>
      </c>
      <c r="C25">
        <f t="shared" ca="1" si="1"/>
        <v>0</v>
      </c>
      <c r="D25">
        <f t="shared" ca="1" si="1"/>
        <v>0</v>
      </c>
    </row>
    <row r="26" spans="1:7">
      <c r="A26" t="s">
        <v>8</v>
      </c>
      <c r="B26">
        <f ca="1">SUM(B23:D25)</f>
        <v>100</v>
      </c>
    </row>
    <row r="27" spans="1:7">
      <c r="A27" t="s">
        <v>9</v>
      </c>
      <c r="B27">
        <f ca="1">(B23+C24+D25)/B26</f>
        <v>1</v>
      </c>
    </row>
    <row r="28" spans="1:7">
      <c r="A28" t="s">
        <v>10</v>
      </c>
      <c r="B28">
        <f ca="1">((SUM(B23:D23)*SUM(B23:B25))+(SUM(B24:D24)*SUM(C23:C25))+(SUM(B25:D25)*SUM(D23:D25)))/(B26^2)</f>
        <v>0.60580000000000001</v>
      </c>
    </row>
    <row r="29" spans="1:7">
      <c r="A29" t="s">
        <v>11</v>
      </c>
      <c r="B29">
        <f ca="1">(B27-B28)/(1-B28)</f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zoomScaleNormal="100" workbookViewId="0">
      <selection activeCell="E1" sqref="E1"/>
    </sheetView>
  </sheetViews>
  <sheetFormatPr defaultColWidth="8.5703125" defaultRowHeight="15"/>
  <cols>
    <col min="1" max="1" width="37.42578125" customWidth="1"/>
    <col min="2" max="2" width="63.140625" customWidth="1"/>
    <col min="5" max="5" width="12" customWidth="1"/>
  </cols>
  <sheetData>
    <row r="1" spans="1:5">
      <c r="A1" s="1" t="s">
        <v>13</v>
      </c>
      <c r="B1" s="1" t="s">
        <v>14</v>
      </c>
      <c r="C1" t="s">
        <v>15</v>
      </c>
      <c r="D1" t="s">
        <v>16</v>
      </c>
      <c r="E1" t="s">
        <v>17</v>
      </c>
    </row>
    <row r="2" spans="1:5">
      <c r="A2" t="s">
        <v>18</v>
      </c>
      <c r="B2" t="s">
        <v>19</v>
      </c>
      <c r="C2" t="b">
        <f>FALSE()</f>
        <v>0</v>
      </c>
      <c r="E2" t="b">
        <f>FALSE()</f>
        <v>0</v>
      </c>
    </row>
    <row r="3" spans="1:5">
      <c r="A3" t="s">
        <v>20</v>
      </c>
      <c r="B3" t="s">
        <v>21</v>
      </c>
      <c r="C3" t="b">
        <f>TRUE()</f>
        <v>1</v>
      </c>
      <c r="E3" t="b">
        <f>TRUE()</f>
        <v>1</v>
      </c>
    </row>
    <row r="4" spans="1:5">
      <c r="A4" t="s">
        <v>22</v>
      </c>
      <c r="B4" t="s">
        <v>23</v>
      </c>
      <c r="C4" t="b">
        <f>TRUE()</f>
        <v>1</v>
      </c>
      <c r="E4" t="b">
        <f>TRUE()</f>
        <v>1</v>
      </c>
    </row>
    <row r="5" spans="1:5">
      <c r="A5" t="s">
        <v>24</v>
      </c>
      <c r="B5" t="s">
        <v>25</v>
      </c>
      <c r="C5" t="b">
        <f>TRUE()</f>
        <v>1</v>
      </c>
      <c r="E5" t="b">
        <f>TRUE()</f>
        <v>1</v>
      </c>
    </row>
    <row r="6" spans="1:5">
      <c r="A6" t="s">
        <v>26</v>
      </c>
      <c r="B6" t="s">
        <v>27</v>
      </c>
      <c r="C6" t="b">
        <f>TRUE()</f>
        <v>1</v>
      </c>
      <c r="E6" t="b">
        <f>TRUE()</f>
        <v>1</v>
      </c>
    </row>
    <row r="7" spans="1:5">
      <c r="A7" t="s">
        <v>28</v>
      </c>
      <c r="B7" t="s">
        <v>29</v>
      </c>
      <c r="C7" t="b">
        <f>TRUE()</f>
        <v>1</v>
      </c>
      <c r="E7" t="b">
        <f>TRUE()</f>
        <v>1</v>
      </c>
    </row>
    <row r="8" spans="1:5">
      <c r="A8" t="s">
        <v>30</v>
      </c>
      <c r="B8" t="s">
        <v>31</v>
      </c>
      <c r="C8" t="b">
        <f>TRUE()</f>
        <v>1</v>
      </c>
      <c r="E8" t="b">
        <f>TRUE()</f>
        <v>1</v>
      </c>
    </row>
    <row r="9" spans="1:5">
      <c r="A9" t="s">
        <v>32</v>
      </c>
      <c r="B9" t="s">
        <v>33</v>
      </c>
      <c r="C9" t="b">
        <f>TRUE()</f>
        <v>1</v>
      </c>
      <c r="E9" t="b">
        <f>TRUE()</f>
        <v>1</v>
      </c>
    </row>
    <row r="10" spans="1:5">
      <c r="A10" t="s">
        <v>34</v>
      </c>
      <c r="B10" t="s">
        <v>35</v>
      </c>
      <c r="C10" t="b">
        <f>TRUE()</f>
        <v>1</v>
      </c>
      <c r="E10" t="b">
        <f>TRUE()</f>
        <v>1</v>
      </c>
    </row>
    <row r="11" spans="1:5">
      <c r="A11" t="s">
        <v>36</v>
      </c>
      <c r="B11" t="s">
        <v>37</v>
      </c>
      <c r="C11" t="b">
        <f>TRUE()</f>
        <v>1</v>
      </c>
      <c r="E11" t="b">
        <f>TRUE()</f>
        <v>1</v>
      </c>
    </row>
    <row r="12" spans="1:5">
      <c r="A12" t="s">
        <v>38</v>
      </c>
      <c r="B12" t="s">
        <v>39</v>
      </c>
      <c r="C12" t="b">
        <f>TRUE()</f>
        <v>1</v>
      </c>
      <c r="E12" t="b">
        <f>TRUE()</f>
        <v>1</v>
      </c>
    </row>
    <row r="13" spans="1:5">
      <c r="A13" t="s">
        <v>40</v>
      </c>
      <c r="B13" t="s">
        <v>41</v>
      </c>
      <c r="C13" t="b">
        <f>TRUE()</f>
        <v>1</v>
      </c>
      <c r="E13" t="b">
        <f>TRUE()</f>
        <v>1</v>
      </c>
    </row>
  </sheetData>
  <pageMargins left="0.75" right="0.75" top="1" bottom="1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1"/>
  <sheetViews>
    <sheetView zoomScaleNormal="100" workbookViewId="0">
      <selection activeCell="B6" sqref="B6"/>
    </sheetView>
  </sheetViews>
  <sheetFormatPr defaultColWidth="8.5703125" defaultRowHeight="15"/>
  <cols>
    <col min="1" max="1" width="36.5703125" customWidth="1"/>
    <col min="2" max="2" width="77" customWidth="1"/>
  </cols>
  <sheetData>
    <row r="1" spans="1:5">
      <c r="A1" s="1" t="s">
        <v>13</v>
      </c>
      <c r="B1" s="1" t="s">
        <v>14</v>
      </c>
      <c r="C1" t="s">
        <v>15</v>
      </c>
      <c r="D1" t="s">
        <v>16</v>
      </c>
      <c r="E1" t="s">
        <v>17</v>
      </c>
    </row>
    <row r="2" spans="1:5">
      <c r="A2" t="s">
        <v>18</v>
      </c>
      <c r="B2" t="s">
        <v>42</v>
      </c>
      <c r="C2" t="b">
        <f>FALSE()</f>
        <v>0</v>
      </c>
      <c r="E2" t="b">
        <f>FALSE()</f>
        <v>0</v>
      </c>
    </row>
    <row r="3" spans="1:5">
      <c r="A3" t="s">
        <v>20</v>
      </c>
      <c r="B3" t="s">
        <v>21</v>
      </c>
      <c r="C3" t="b">
        <f>TRUE()</f>
        <v>1</v>
      </c>
      <c r="E3" t="b">
        <f>TRUE()</f>
        <v>1</v>
      </c>
    </row>
    <row r="4" spans="1:5">
      <c r="A4" t="s">
        <v>22</v>
      </c>
      <c r="B4" t="s">
        <v>23</v>
      </c>
      <c r="C4" t="b">
        <f>TRUE()</f>
        <v>1</v>
      </c>
      <c r="E4" t="b">
        <f>TRUE()</f>
        <v>1</v>
      </c>
    </row>
    <row r="5" spans="1:5">
      <c r="A5" t="s">
        <v>24</v>
      </c>
      <c r="B5" t="s">
        <v>25</v>
      </c>
      <c r="C5" t="b">
        <f>TRUE()</f>
        <v>1</v>
      </c>
      <c r="E5" t="b">
        <f>TRUE()</f>
        <v>1</v>
      </c>
    </row>
    <row r="6" spans="1:5">
      <c r="A6" t="s">
        <v>26</v>
      </c>
      <c r="B6" t="s">
        <v>43</v>
      </c>
      <c r="C6" t="b">
        <f>FALSE()</f>
        <v>0</v>
      </c>
      <c r="E6" t="b">
        <f>FALSE()</f>
        <v>0</v>
      </c>
    </row>
    <row r="7" spans="1:5">
      <c r="A7" t="s">
        <v>28</v>
      </c>
      <c r="B7" t="s">
        <v>29</v>
      </c>
      <c r="C7" t="b">
        <f>TRUE()</f>
        <v>1</v>
      </c>
      <c r="E7" t="b">
        <f>TRUE()</f>
        <v>1</v>
      </c>
    </row>
    <row r="8" spans="1:5">
      <c r="A8" t="s">
        <v>44</v>
      </c>
      <c r="B8" t="s">
        <v>45</v>
      </c>
      <c r="C8" t="b">
        <f>FALSE()</f>
        <v>0</v>
      </c>
      <c r="E8" t="b">
        <f>FALSE()</f>
        <v>0</v>
      </c>
    </row>
    <row r="9" spans="1:5">
      <c r="A9" t="s">
        <v>46</v>
      </c>
      <c r="B9" t="s">
        <v>47</v>
      </c>
      <c r="C9" t="b">
        <f>TRUE()</f>
        <v>1</v>
      </c>
      <c r="E9" t="b">
        <f>TRUE()</f>
        <v>1</v>
      </c>
    </row>
    <row r="10" spans="1:5">
      <c r="A10" t="s">
        <v>48</v>
      </c>
      <c r="B10" t="s">
        <v>49</v>
      </c>
      <c r="C10" t="b">
        <f>TRUE()</f>
        <v>1</v>
      </c>
      <c r="E10" t="b">
        <f>TRUE()</f>
        <v>1</v>
      </c>
    </row>
    <row r="11" spans="1:5">
      <c r="A11" t="s">
        <v>50</v>
      </c>
      <c r="B11" t="s">
        <v>51</v>
      </c>
      <c r="C11" t="b">
        <f>TRUE()</f>
        <v>1</v>
      </c>
      <c r="E11" t="b">
        <f>TRUE()</f>
        <v>1</v>
      </c>
    </row>
    <row r="12" spans="1:5">
      <c r="A12" t="s">
        <v>30</v>
      </c>
      <c r="B12" t="s">
        <v>52</v>
      </c>
      <c r="C12" t="b">
        <f>FALSE()</f>
        <v>0</v>
      </c>
      <c r="E12" t="b">
        <f>FALSE()</f>
        <v>0</v>
      </c>
    </row>
    <row r="13" spans="1:5">
      <c r="A13" t="s">
        <v>32</v>
      </c>
      <c r="B13" t="s">
        <v>53</v>
      </c>
      <c r="C13" t="b">
        <f>TRUE()</f>
        <v>1</v>
      </c>
      <c r="E13" t="b">
        <f>TRUE()</f>
        <v>1</v>
      </c>
    </row>
    <row r="14" spans="1:5">
      <c r="A14" t="s">
        <v>34</v>
      </c>
      <c r="B14" t="s">
        <v>54</v>
      </c>
      <c r="C14" t="b">
        <f>TRUE()</f>
        <v>1</v>
      </c>
      <c r="E14" t="b">
        <f>TRUE()</f>
        <v>1</v>
      </c>
    </row>
    <row r="15" spans="1:5">
      <c r="A15" t="s">
        <v>36</v>
      </c>
      <c r="B15" t="s">
        <v>37</v>
      </c>
      <c r="C15" t="b">
        <f>TRUE()</f>
        <v>1</v>
      </c>
      <c r="E15" t="b">
        <f>TRUE()</f>
        <v>1</v>
      </c>
    </row>
    <row r="16" spans="1:5">
      <c r="A16" t="s">
        <v>38</v>
      </c>
      <c r="B16" t="s">
        <v>39</v>
      </c>
      <c r="C16" t="b">
        <f>TRUE()</f>
        <v>1</v>
      </c>
      <c r="E16" t="b">
        <f>TRUE()</f>
        <v>1</v>
      </c>
    </row>
    <row r="17" spans="1:5">
      <c r="A17" t="s">
        <v>40</v>
      </c>
      <c r="B17" t="s">
        <v>41</v>
      </c>
      <c r="C17" t="b">
        <f>TRUE()</f>
        <v>1</v>
      </c>
      <c r="E17" t="b">
        <f>TRUE()</f>
        <v>1</v>
      </c>
    </row>
    <row r="18" spans="1:5">
      <c r="A18" t="s">
        <v>55</v>
      </c>
      <c r="B18" t="s">
        <v>56</v>
      </c>
      <c r="C18" t="b">
        <f>TRUE()</f>
        <v>1</v>
      </c>
      <c r="E18" t="b">
        <f>TRUE()</f>
        <v>1</v>
      </c>
    </row>
    <row r="19" spans="1:5">
      <c r="A19" t="s">
        <v>57</v>
      </c>
      <c r="B19" t="s">
        <v>58</v>
      </c>
      <c r="C19" t="b">
        <f>TRUE()</f>
        <v>1</v>
      </c>
      <c r="E19" t="b">
        <f>TRUE()</f>
        <v>1</v>
      </c>
    </row>
    <row r="20" spans="1:5">
      <c r="A20" t="s">
        <v>59</v>
      </c>
      <c r="B20" t="s">
        <v>60</v>
      </c>
      <c r="C20" t="b">
        <f>FALSE()</f>
        <v>0</v>
      </c>
      <c r="E20" t="b">
        <f>FALSE()</f>
        <v>0</v>
      </c>
    </row>
    <row r="21" spans="1:5">
      <c r="A21" t="s">
        <v>61</v>
      </c>
      <c r="B21" t="s">
        <v>62</v>
      </c>
      <c r="C21" t="b">
        <f>TRUE()</f>
        <v>1</v>
      </c>
      <c r="E21" t="b">
        <f>TRUE()</f>
        <v>1</v>
      </c>
    </row>
  </sheetData>
  <pageMargins left="0.75" right="0.75" top="1" bottom="1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9"/>
  <sheetViews>
    <sheetView zoomScaleNormal="100" workbookViewId="0">
      <selection activeCell="E1" sqref="E1"/>
    </sheetView>
  </sheetViews>
  <sheetFormatPr defaultColWidth="8.5703125" defaultRowHeight="15"/>
  <cols>
    <col min="1" max="1" width="38.5703125" customWidth="1"/>
    <col min="2" max="2" width="83.28515625" customWidth="1"/>
    <col min="5" max="5" width="11.28515625" customWidth="1"/>
  </cols>
  <sheetData>
    <row r="1" spans="1:5">
      <c r="A1" s="1" t="s">
        <v>13</v>
      </c>
      <c r="B1" s="1" t="s">
        <v>14</v>
      </c>
      <c r="C1" t="s">
        <v>15</v>
      </c>
      <c r="D1" t="s">
        <v>16</v>
      </c>
      <c r="E1" t="s">
        <v>17</v>
      </c>
    </row>
    <row r="2" spans="1:5">
      <c r="A2" t="s">
        <v>18</v>
      </c>
      <c r="B2" t="s">
        <v>63</v>
      </c>
      <c r="C2" t="b">
        <f>FALSE()</f>
        <v>0</v>
      </c>
      <c r="E2" t="b">
        <f>FALSE()</f>
        <v>0</v>
      </c>
    </row>
    <row r="3" spans="1:5">
      <c r="A3" t="s">
        <v>20</v>
      </c>
      <c r="B3" t="s">
        <v>64</v>
      </c>
      <c r="C3" t="b">
        <f>TRUE()</f>
        <v>1</v>
      </c>
      <c r="E3" t="b">
        <f>TRUE()</f>
        <v>1</v>
      </c>
    </row>
    <row r="4" spans="1:5">
      <c r="A4" t="s">
        <v>22</v>
      </c>
      <c r="B4" t="s">
        <v>65</v>
      </c>
      <c r="C4" t="b">
        <f>TRUE()</f>
        <v>1</v>
      </c>
      <c r="E4" t="b">
        <f>TRUE()</f>
        <v>1</v>
      </c>
    </row>
    <row r="5" spans="1:5">
      <c r="A5" t="s">
        <v>24</v>
      </c>
      <c r="B5" t="s">
        <v>25</v>
      </c>
      <c r="C5" t="b">
        <f>TRUE()</f>
        <v>1</v>
      </c>
      <c r="E5" t="b">
        <f>TRUE()</f>
        <v>1</v>
      </c>
    </row>
    <row r="6" spans="1:5">
      <c r="A6" t="s">
        <v>26</v>
      </c>
      <c r="B6" t="s">
        <v>27</v>
      </c>
      <c r="C6" t="b">
        <f>TRUE()</f>
        <v>1</v>
      </c>
      <c r="E6" t="b">
        <f>TRUE()</f>
        <v>1</v>
      </c>
    </row>
    <row r="7" spans="1:5">
      <c r="A7" t="s">
        <v>28</v>
      </c>
      <c r="B7" t="s">
        <v>29</v>
      </c>
      <c r="C7" t="b">
        <f>TRUE()</f>
        <v>1</v>
      </c>
      <c r="E7" t="b">
        <f>TRUE()</f>
        <v>1</v>
      </c>
    </row>
    <row r="8" spans="1:5">
      <c r="A8" t="s">
        <v>44</v>
      </c>
      <c r="B8" t="s">
        <v>66</v>
      </c>
      <c r="C8" t="b">
        <f>FALSE()</f>
        <v>0</v>
      </c>
      <c r="E8" t="b">
        <f>FALSE()</f>
        <v>0</v>
      </c>
    </row>
    <row r="9" spans="1:5">
      <c r="A9" t="s">
        <v>46</v>
      </c>
      <c r="B9" t="s">
        <v>47</v>
      </c>
      <c r="C9" t="b">
        <f>TRUE()</f>
        <v>1</v>
      </c>
      <c r="E9" t="b">
        <f>TRUE()</f>
        <v>1</v>
      </c>
    </row>
    <row r="10" spans="1:5">
      <c r="A10" t="s">
        <v>48</v>
      </c>
      <c r="B10" t="s">
        <v>49</v>
      </c>
      <c r="C10" t="b">
        <f>TRUE()</f>
        <v>1</v>
      </c>
      <c r="E10" t="b">
        <f>TRUE()</f>
        <v>1</v>
      </c>
    </row>
    <row r="11" spans="1:5">
      <c r="A11" t="s">
        <v>50</v>
      </c>
      <c r="B11" t="s">
        <v>51</v>
      </c>
      <c r="C11" t="b">
        <f>TRUE()</f>
        <v>1</v>
      </c>
      <c r="E11" t="b">
        <f>TRUE()</f>
        <v>1</v>
      </c>
    </row>
    <row r="12" spans="1:5">
      <c r="A12" t="s">
        <v>67</v>
      </c>
      <c r="B12" t="s">
        <v>68</v>
      </c>
      <c r="C12" t="b">
        <f>FALSE()</f>
        <v>0</v>
      </c>
      <c r="E12" t="b">
        <f>FALSE()</f>
        <v>0</v>
      </c>
    </row>
    <row r="13" spans="1:5">
      <c r="A13" t="s">
        <v>69</v>
      </c>
      <c r="B13" t="s">
        <v>70</v>
      </c>
      <c r="C13" t="b">
        <f>TRUE()</f>
        <v>1</v>
      </c>
      <c r="E13" t="b">
        <f>TRUE()</f>
        <v>1</v>
      </c>
    </row>
    <row r="14" spans="1:5">
      <c r="A14" t="s">
        <v>71</v>
      </c>
      <c r="B14" t="s">
        <v>72</v>
      </c>
      <c r="C14" t="b">
        <f>TRUE()</f>
        <v>1</v>
      </c>
      <c r="E14" t="b">
        <f>TRUE()</f>
        <v>1</v>
      </c>
    </row>
    <row r="15" spans="1:5">
      <c r="A15" t="s">
        <v>73</v>
      </c>
      <c r="B15" t="s">
        <v>74</v>
      </c>
      <c r="C15" t="b">
        <f>TRUE()</f>
        <v>1</v>
      </c>
      <c r="E15" t="b">
        <f>TRUE()</f>
        <v>1</v>
      </c>
    </row>
    <row r="16" spans="1:5">
      <c r="A16" t="s">
        <v>30</v>
      </c>
      <c r="B16" t="s">
        <v>31</v>
      </c>
      <c r="C16" t="b">
        <f>TRUE()</f>
        <v>1</v>
      </c>
      <c r="E16" t="b">
        <f>TRUE()</f>
        <v>1</v>
      </c>
    </row>
    <row r="17" spans="1:5">
      <c r="A17" t="s">
        <v>32</v>
      </c>
      <c r="B17" t="s">
        <v>53</v>
      </c>
      <c r="C17" t="b">
        <f>TRUE()</f>
        <v>1</v>
      </c>
      <c r="E17" t="b">
        <f>TRUE()</f>
        <v>1</v>
      </c>
    </row>
    <row r="18" spans="1:5">
      <c r="A18" t="s">
        <v>34</v>
      </c>
      <c r="B18" t="s">
        <v>75</v>
      </c>
      <c r="C18" t="b">
        <f>FALSE()</f>
        <v>0</v>
      </c>
      <c r="E18" t="b">
        <f>FALSE()</f>
        <v>0</v>
      </c>
    </row>
    <row r="19" spans="1:5">
      <c r="A19" t="s">
        <v>36</v>
      </c>
      <c r="B19" t="s">
        <v>37</v>
      </c>
      <c r="C19" t="b">
        <f>TRUE()</f>
        <v>1</v>
      </c>
      <c r="E19" t="b">
        <f>TRUE()</f>
        <v>1</v>
      </c>
    </row>
    <row r="20" spans="1:5">
      <c r="A20" t="s">
        <v>38</v>
      </c>
      <c r="B20" t="s">
        <v>39</v>
      </c>
      <c r="C20" t="b">
        <f>TRUE()</f>
        <v>1</v>
      </c>
      <c r="E20" t="b">
        <f>TRUE()</f>
        <v>1</v>
      </c>
    </row>
    <row r="21" spans="1:5">
      <c r="A21" t="s">
        <v>40</v>
      </c>
      <c r="B21" t="s">
        <v>41</v>
      </c>
      <c r="C21" t="b">
        <f>TRUE()</f>
        <v>1</v>
      </c>
      <c r="E21" t="b">
        <f>TRUE()</f>
        <v>1</v>
      </c>
    </row>
    <row r="22" spans="1:5">
      <c r="A22" t="s">
        <v>55</v>
      </c>
      <c r="B22" t="s">
        <v>76</v>
      </c>
      <c r="C22" t="b">
        <f>FALSE()</f>
        <v>0</v>
      </c>
      <c r="E22" t="b">
        <f>FALSE()</f>
        <v>0</v>
      </c>
    </row>
    <row r="23" spans="1:5">
      <c r="A23" t="s">
        <v>57</v>
      </c>
      <c r="B23" t="s">
        <v>58</v>
      </c>
      <c r="C23" t="b">
        <f>TRUE()</f>
        <v>1</v>
      </c>
      <c r="E23" t="b">
        <f>TRUE()</f>
        <v>1</v>
      </c>
    </row>
    <row r="24" spans="1:5">
      <c r="A24" t="s">
        <v>59</v>
      </c>
      <c r="B24" t="s">
        <v>77</v>
      </c>
      <c r="C24" t="b">
        <f>FALSE()</f>
        <v>0</v>
      </c>
      <c r="E24" t="b">
        <f>FALSE()</f>
        <v>0</v>
      </c>
    </row>
    <row r="25" spans="1:5">
      <c r="A25" t="s">
        <v>61</v>
      </c>
      <c r="B25" t="s">
        <v>62</v>
      </c>
      <c r="C25" t="b">
        <f>TRUE()</f>
        <v>1</v>
      </c>
      <c r="E25" t="b">
        <f>TRUE()</f>
        <v>1</v>
      </c>
    </row>
    <row r="26" spans="1:5">
      <c r="A26" t="s">
        <v>78</v>
      </c>
      <c r="B26" t="s">
        <v>79</v>
      </c>
      <c r="C26" t="b">
        <f>TRUE()</f>
        <v>1</v>
      </c>
      <c r="E26" t="b">
        <f>TRUE()</f>
        <v>1</v>
      </c>
    </row>
    <row r="27" spans="1:5">
      <c r="A27" t="s">
        <v>80</v>
      </c>
      <c r="B27" t="s">
        <v>81</v>
      </c>
      <c r="C27" t="b">
        <f>TRUE()</f>
        <v>1</v>
      </c>
      <c r="E27" t="b">
        <f>TRUE()</f>
        <v>1</v>
      </c>
    </row>
    <row r="28" spans="1:5">
      <c r="A28" t="s">
        <v>82</v>
      </c>
      <c r="B28" t="s">
        <v>83</v>
      </c>
      <c r="C28" t="b">
        <f>FALSE()</f>
        <v>0</v>
      </c>
      <c r="E28" t="b">
        <f>FALSE()</f>
        <v>0</v>
      </c>
    </row>
    <row r="29" spans="1:5">
      <c r="A29" t="s">
        <v>84</v>
      </c>
      <c r="B29" t="s">
        <v>85</v>
      </c>
      <c r="C29" t="b">
        <f>TRUE()</f>
        <v>1</v>
      </c>
      <c r="E29" t="b">
        <f>TRUE()</f>
        <v>1</v>
      </c>
    </row>
  </sheetData>
  <pageMargins left="0.75" right="0.75" top="1" bottom="1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16"/>
  <sheetViews>
    <sheetView topLeftCell="B1" zoomScaleNormal="100" workbookViewId="0">
      <selection activeCell="B34" sqref="B34"/>
    </sheetView>
  </sheetViews>
  <sheetFormatPr defaultColWidth="8.5703125" defaultRowHeight="15"/>
  <cols>
    <col min="1" max="1" width="38.28515625" style="2" customWidth="1"/>
    <col min="2" max="2" width="81" style="2" customWidth="1"/>
    <col min="3" max="4" width="8.5703125" style="2"/>
    <col min="5" max="5" width="12.7109375" style="3" customWidth="1"/>
    <col min="6" max="16384" width="8.5703125" style="2"/>
  </cols>
  <sheetData>
    <row r="1" spans="1:5">
      <c r="A1" s="1" t="s">
        <v>13</v>
      </c>
      <c r="B1" s="1" t="s">
        <v>14</v>
      </c>
      <c r="C1" s="2" t="s">
        <v>15</v>
      </c>
      <c r="D1" s="2" t="s">
        <v>16</v>
      </c>
      <c r="E1" s="2" t="s">
        <v>17</v>
      </c>
    </row>
    <row r="2" spans="1:5">
      <c r="A2" s="2" t="s">
        <v>18</v>
      </c>
      <c r="B2" s="2" t="s">
        <v>86</v>
      </c>
      <c r="C2" s="2" t="b">
        <f>FALSE()</f>
        <v>0</v>
      </c>
      <c r="E2" s="2" t="b">
        <f>FALSE()</f>
        <v>0</v>
      </c>
    </row>
    <row r="3" spans="1:5">
      <c r="A3" s="2" t="s">
        <v>20</v>
      </c>
      <c r="B3" s="2" t="s">
        <v>21</v>
      </c>
      <c r="C3" s="2" t="b">
        <f>TRUE()</f>
        <v>1</v>
      </c>
      <c r="E3" s="2" t="b">
        <f>TRUE()</f>
        <v>1</v>
      </c>
    </row>
    <row r="4" spans="1:5">
      <c r="A4" s="2" t="s">
        <v>22</v>
      </c>
      <c r="B4" s="2" t="s">
        <v>65</v>
      </c>
      <c r="C4" s="2" t="b">
        <f>TRUE()</f>
        <v>1</v>
      </c>
      <c r="E4" s="2" t="b">
        <f>TRUE()</f>
        <v>1</v>
      </c>
    </row>
    <row r="5" spans="1:5">
      <c r="A5" s="2" t="s">
        <v>24</v>
      </c>
      <c r="B5" s="2" t="s">
        <v>25</v>
      </c>
      <c r="C5" s="2" t="b">
        <f>TRUE()</f>
        <v>1</v>
      </c>
      <c r="E5" s="2" t="b">
        <f>TRUE()</f>
        <v>1</v>
      </c>
    </row>
    <row r="6" spans="1:5">
      <c r="A6" s="2" t="s">
        <v>26</v>
      </c>
      <c r="B6" s="2" t="s">
        <v>87</v>
      </c>
      <c r="C6" s="2" t="b">
        <f>FALSE()</f>
        <v>0</v>
      </c>
      <c r="E6" s="2" t="b">
        <f>FALSE()</f>
        <v>0</v>
      </c>
    </row>
    <row r="7" spans="1:5">
      <c r="A7" s="2" t="s">
        <v>28</v>
      </c>
      <c r="B7" s="2" t="s">
        <v>29</v>
      </c>
      <c r="C7" s="2" t="b">
        <f>TRUE()</f>
        <v>1</v>
      </c>
      <c r="E7" s="2" t="b">
        <f>TRUE()</f>
        <v>1</v>
      </c>
    </row>
    <row r="8" spans="1:5">
      <c r="A8" s="2" t="s">
        <v>44</v>
      </c>
      <c r="B8" s="2" t="s">
        <v>88</v>
      </c>
      <c r="C8" s="2" t="b">
        <f>FALSE()</f>
        <v>0</v>
      </c>
      <c r="E8" s="2" t="b">
        <f>FALSE()</f>
        <v>0</v>
      </c>
    </row>
    <row r="9" spans="1:5">
      <c r="A9" s="2" t="s">
        <v>46</v>
      </c>
      <c r="B9" s="2" t="s">
        <v>47</v>
      </c>
      <c r="C9" s="2" t="b">
        <f>TRUE()</f>
        <v>1</v>
      </c>
      <c r="E9" s="2" t="b">
        <f>TRUE()</f>
        <v>1</v>
      </c>
    </row>
    <row r="10" spans="1:5">
      <c r="A10" s="2" t="s">
        <v>48</v>
      </c>
      <c r="B10" s="2" t="s">
        <v>49</v>
      </c>
      <c r="C10" s="2" t="b">
        <f>TRUE()</f>
        <v>1</v>
      </c>
      <c r="E10" s="2" t="b">
        <f>TRUE()</f>
        <v>1</v>
      </c>
    </row>
    <row r="11" spans="1:5">
      <c r="A11" s="2" t="s">
        <v>50</v>
      </c>
      <c r="B11" s="2" t="s">
        <v>51</v>
      </c>
      <c r="C11" s="2" t="b">
        <f>TRUE()</f>
        <v>1</v>
      </c>
      <c r="E11" s="2" t="b">
        <f>TRUE()</f>
        <v>1</v>
      </c>
    </row>
    <row r="12" spans="1:5">
      <c r="A12" s="2" t="s">
        <v>67</v>
      </c>
      <c r="B12" s="2" t="s">
        <v>89</v>
      </c>
      <c r="C12" s="2" t="b">
        <f>FALSE()</f>
        <v>0</v>
      </c>
      <c r="E12" s="2" t="b">
        <f>FALSE()</f>
        <v>0</v>
      </c>
    </row>
    <row r="13" spans="1:5">
      <c r="A13" s="2" t="s">
        <v>69</v>
      </c>
      <c r="B13" s="2" t="s">
        <v>70</v>
      </c>
      <c r="C13" s="2" t="b">
        <f>TRUE()</f>
        <v>1</v>
      </c>
      <c r="E13" s="2" t="b">
        <f>TRUE()</f>
        <v>1</v>
      </c>
    </row>
    <row r="14" spans="1:5">
      <c r="A14" s="2" t="s">
        <v>71</v>
      </c>
      <c r="B14" s="2" t="s">
        <v>72</v>
      </c>
      <c r="C14" s="2" t="b">
        <f>TRUE()</f>
        <v>1</v>
      </c>
      <c r="E14" s="2" t="b">
        <f>TRUE()</f>
        <v>1</v>
      </c>
    </row>
    <row r="15" spans="1:5">
      <c r="A15" s="2" t="s">
        <v>73</v>
      </c>
      <c r="B15" s="2" t="s">
        <v>74</v>
      </c>
      <c r="C15" s="2" t="b">
        <f>TRUE()</f>
        <v>1</v>
      </c>
      <c r="E15" s="2" t="b">
        <f>TRUE()</f>
        <v>1</v>
      </c>
    </row>
    <row r="16" spans="1:5">
      <c r="A16" s="2" t="s">
        <v>90</v>
      </c>
      <c r="B16" s="2" t="s">
        <v>91</v>
      </c>
      <c r="C16" s="2" t="b">
        <f>FALSE()</f>
        <v>0</v>
      </c>
      <c r="E16" s="2" t="b">
        <f>FALSE()</f>
        <v>0</v>
      </c>
    </row>
    <row r="17" spans="1:5">
      <c r="A17" s="2" t="s">
        <v>92</v>
      </c>
      <c r="B17" s="2" t="s">
        <v>93</v>
      </c>
      <c r="C17" s="2" t="b">
        <f>TRUE()</f>
        <v>1</v>
      </c>
      <c r="E17" s="2" t="b">
        <f>TRUE()</f>
        <v>1</v>
      </c>
    </row>
    <row r="18" spans="1:5">
      <c r="A18" s="2" t="s">
        <v>94</v>
      </c>
      <c r="B18" s="2" t="s">
        <v>95</v>
      </c>
      <c r="C18" s="2" t="b">
        <f>TRUE()</f>
        <v>1</v>
      </c>
      <c r="E18" s="2" t="b">
        <f>TRUE()</f>
        <v>1</v>
      </c>
    </row>
    <row r="19" spans="1:5">
      <c r="A19" s="2" t="s">
        <v>96</v>
      </c>
      <c r="B19" s="2" t="s">
        <v>97</v>
      </c>
      <c r="C19" s="2" t="b">
        <f>TRUE()</f>
        <v>1</v>
      </c>
      <c r="E19" s="2" t="b">
        <f>TRUE()</f>
        <v>1</v>
      </c>
    </row>
    <row r="20" spans="1:5">
      <c r="A20" s="2" t="s">
        <v>98</v>
      </c>
      <c r="B20" s="2" t="s">
        <v>99</v>
      </c>
      <c r="C20" s="2" t="b">
        <f>FALSE()</f>
        <v>0</v>
      </c>
      <c r="E20" s="2" t="b">
        <f>FALSE()</f>
        <v>0</v>
      </c>
    </row>
    <row r="21" spans="1:5">
      <c r="A21" s="2" t="s">
        <v>100</v>
      </c>
      <c r="B21" s="2" t="s">
        <v>101</v>
      </c>
      <c r="C21" s="2" t="b">
        <f>TRUE()</f>
        <v>1</v>
      </c>
      <c r="E21" s="2" t="b">
        <f>TRUE()</f>
        <v>1</v>
      </c>
    </row>
    <row r="22" spans="1:5">
      <c r="A22" s="2" t="s">
        <v>30</v>
      </c>
      <c r="B22" s="2" t="s">
        <v>52</v>
      </c>
      <c r="C22" s="2" t="b">
        <f>FALSE()</f>
        <v>0</v>
      </c>
      <c r="E22" s="2" t="b">
        <f>FALSE()</f>
        <v>0</v>
      </c>
    </row>
    <row r="23" spans="1:5">
      <c r="A23" s="2" t="s">
        <v>32</v>
      </c>
      <c r="B23" s="2" t="s">
        <v>53</v>
      </c>
      <c r="C23" s="2" t="b">
        <f>TRUE()</f>
        <v>1</v>
      </c>
      <c r="E23" s="2" t="b">
        <f>TRUE()</f>
        <v>1</v>
      </c>
    </row>
    <row r="24" spans="1:5">
      <c r="A24" s="2" t="s">
        <v>34</v>
      </c>
      <c r="B24" s="2" t="s">
        <v>35</v>
      </c>
      <c r="C24" s="2" t="b">
        <f>TRUE()</f>
        <v>1</v>
      </c>
      <c r="E24" s="2" t="b">
        <f>TRUE()</f>
        <v>1</v>
      </c>
    </row>
    <row r="25" spans="1:5">
      <c r="A25" s="2" t="s">
        <v>36</v>
      </c>
      <c r="B25" s="2" t="s">
        <v>37</v>
      </c>
      <c r="C25" s="2" t="b">
        <f>TRUE()</f>
        <v>1</v>
      </c>
      <c r="E25" s="2" t="b">
        <f>TRUE()</f>
        <v>1</v>
      </c>
    </row>
    <row r="26" spans="1:5">
      <c r="A26" s="2" t="s">
        <v>38</v>
      </c>
      <c r="B26" s="2" t="s">
        <v>102</v>
      </c>
      <c r="C26" s="2" t="b">
        <f>FALSE()</f>
        <v>0</v>
      </c>
      <c r="E26" s="2" t="b">
        <f>FALSE()</f>
        <v>0</v>
      </c>
    </row>
    <row r="27" spans="1:5">
      <c r="A27" s="2" t="s">
        <v>40</v>
      </c>
      <c r="B27" s="2" t="s">
        <v>41</v>
      </c>
      <c r="C27" s="2" t="b">
        <f>TRUE()</f>
        <v>1</v>
      </c>
      <c r="E27" s="2" t="b">
        <f>TRUE()</f>
        <v>1</v>
      </c>
    </row>
    <row r="28" spans="1:5">
      <c r="A28" s="2" t="s">
        <v>55</v>
      </c>
      <c r="B28" s="2" t="s">
        <v>103</v>
      </c>
      <c r="C28" s="2" t="b">
        <f>FALSE()</f>
        <v>0</v>
      </c>
      <c r="E28" s="2" t="b">
        <f>FALSE()</f>
        <v>0</v>
      </c>
    </row>
    <row r="29" spans="1:5">
      <c r="A29" s="2" t="s">
        <v>57</v>
      </c>
      <c r="B29" s="2" t="s">
        <v>58</v>
      </c>
      <c r="C29" s="2" t="b">
        <f>TRUE()</f>
        <v>1</v>
      </c>
      <c r="E29" s="2" t="b">
        <f>TRUE()</f>
        <v>1</v>
      </c>
    </row>
    <row r="30" spans="1:5">
      <c r="A30" s="2" t="s">
        <v>59</v>
      </c>
      <c r="B30" s="2" t="s">
        <v>104</v>
      </c>
      <c r="C30" s="2" t="b">
        <f>FALSE()</f>
        <v>0</v>
      </c>
      <c r="E30" s="2" t="b">
        <f>FALSE()</f>
        <v>0</v>
      </c>
    </row>
    <row r="31" spans="1:5">
      <c r="A31" s="2" t="s">
        <v>61</v>
      </c>
      <c r="B31" s="2" t="s">
        <v>62</v>
      </c>
      <c r="C31" s="2" t="b">
        <f>TRUE()</f>
        <v>1</v>
      </c>
      <c r="E31" s="2" t="b">
        <f>TRUE()</f>
        <v>1</v>
      </c>
    </row>
    <row r="32" spans="1:5">
      <c r="A32" s="2" t="s">
        <v>78</v>
      </c>
      <c r="B32" s="2" t="s">
        <v>79</v>
      </c>
      <c r="C32" s="2" t="b">
        <f>TRUE()</f>
        <v>1</v>
      </c>
      <c r="E32" s="2" t="b">
        <f>TRUE()</f>
        <v>1</v>
      </c>
    </row>
    <row r="33" spans="1:5">
      <c r="A33" s="2" t="s">
        <v>80</v>
      </c>
      <c r="B33" s="2" t="s">
        <v>81</v>
      </c>
      <c r="C33" s="2" t="b">
        <f>TRUE()</f>
        <v>1</v>
      </c>
      <c r="E33" s="2" t="b">
        <f>TRUE()</f>
        <v>1</v>
      </c>
    </row>
    <row r="34" spans="1:5">
      <c r="A34" s="2" t="s">
        <v>82</v>
      </c>
      <c r="B34" s="2" t="s">
        <v>105</v>
      </c>
      <c r="C34" s="2" t="b">
        <f>FALSE()</f>
        <v>0</v>
      </c>
      <c r="E34" s="2" t="b">
        <f>FALSE()</f>
        <v>0</v>
      </c>
    </row>
    <row r="35" spans="1:5">
      <c r="A35" s="2" t="s">
        <v>84</v>
      </c>
      <c r="B35" s="2" t="s">
        <v>85</v>
      </c>
      <c r="C35" s="2" t="b">
        <f>TRUE()</f>
        <v>1</v>
      </c>
      <c r="E35" s="2" t="b">
        <f>TRUE()</f>
        <v>1</v>
      </c>
    </row>
    <row r="36" spans="1:5">
      <c r="A36" s="2" t="s">
        <v>106</v>
      </c>
      <c r="B36" s="2" t="s">
        <v>107</v>
      </c>
      <c r="C36" s="2" t="b">
        <f>FALSE()</f>
        <v>0</v>
      </c>
      <c r="E36" s="2" t="b">
        <f>FALSE()</f>
        <v>0</v>
      </c>
    </row>
    <row r="37" spans="1:5">
      <c r="A37" s="2" t="s">
        <v>108</v>
      </c>
      <c r="B37" s="2" t="s">
        <v>109</v>
      </c>
      <c r="C37" s="2" t="b">
        <f>TRUE()</f>
        <v>1</v>
      </c>
      <c r="E37" s="2" t="b">
        <f>TRUE()</f>
        <v>1</v>
      </c>
    </row>
    <row r="38" spans="1:5">
      <c r="A38" s="2" t="s">
        <v>110</v>
      </c>
      <c r="B38" s="2" t="s">
        <v>111</v>
      </c>
      <c r="C38" s="2" t="b">
        <f>FALSE()</f>
        <v>0</v>
      </c>
      <c r="E38" s="2" t="b">
        <f>FALSE()</f>
        <v>0</v>
      </c>
    </row>
    <row r="39" spans="1:5">
      <c r="A39" s="2" t="s">
        <v>112</v>
      </c>
      <c r="B39" s="2" t="s">
        <v>113</v>
      </c>
      <c r="C39" s="2" t="b">
        <f>TRUE()</f>
        <v>1</v>
      </c>
      <c r="E39" s="2" t="b">
        <f>TRUE()</f>
        <v>1</v>
      </c>
    </row>
    <row r="40" spans="1:5">
      <c r="A40" s="2" t="s">
        <v>114</v>
      </c>
      <c r="B40" s="2" t="s">
        <v>115</v>
      </c>
      <c r="C40" s="2" t="b">
        <f>FALSE()</f>
        <v>0</v>
      </c>
      <c r="E40" s="2" t="b">
        <f>FALSE()</f>
        <v>0</v>
      </c>
    </row>
    <row r="41" spans="1:5">
      <c r="A41" s="2" t="s">
        <v>116</v>
      </c>
      <c r="B41" s="2" t="s">
        <v>117</v>
      </c>
      <c r="C41" s="2" t="b">
        <f>TRUE()</f>
        <v>1</v>
      </c>
      <c r="E41" s="2" t="b">
        <f>TRUE()</f>
        <v>1</v>
      </c>
    </row>
    <row r="59" s="2" customFormat="1"/>
    <row r="88" s="2" customFormat="1"/>
    <row r="117" s="2" customFormat="1"/>
    <row r="146" s="2" customFormat="1"/>
    <row r="175" s="2" customFormat="1"/>
    <row r="204" s="2" customFormat="1"/>
    <row r="233" s="2" customFormat="1"/>
    <row r="262" s="2" customFormat="1"/>
    <row r="291" s="2" customFormat="1"/>
    <row r="320" s="2" customFormat="1"/>
    <row r="349" s="2" customFormat="1"/>
    <row r="378" s="2" customFormat="1"/>
    <row r="407" s="2" customFormat="1"/>
    <row r="436" s="2" customFormat="1"/>
    <row r="465" s="2" customFormat="1"/>
    <row r="494" s="2" customFormat="1"/>
    <row r="523" s="2" customFormat="1"/>
    <row r="552" s="2" customFormat="1"/>
    <row r="581" s="2" customFormat="1"/>
    <row r="610" s="2" customFormat="1"/>
    <row r="639" s="2" customFormat="1"/>
    <row r="668" s="2" customFormat="1"/>
    <row r="697" s="2" customFormat="1"/>
    <row r="726" s="2" customFormat="1"/>
    <row r="755" s="2" customFormat="1"/>
    <row r="784" s="2" customFormat="1"/>
    <row r="813" s="2" customFormat="1"/>
    <row r="842" s="2" customFormat="1"/>
    <row r="871" s="2" customFormat="1"/>
    <row r="900" s="2" customFormat="1"/>
    <row r="929" s="2" customFormat="1"/>
    <row r="958" s="2" customFormat="1"/>
    <row r="987" s="2" customFormat="1"/>
    <row r="1016" s="2" customFormat="1"/>
  </sheetData>
  <pageMargins left="0.75" right="0.75" top="1" bottom="1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Sven-Leo Kupres</cp:lastModifiedBy>
  <cp:revision>2</cp:revision>
  <dcterms:created xsi:type="dcterms:W3CDTF">2026-04-27T13:19:03Z</dcterms:created>
  <dcterms:modified xsi:type="dcterms:W3CDTF">2026-09-16T12:00:40Z</dcterms:modified>
  <cp:category/>
  <cp:contentStatus/>
</cp:coreProperties>
</file>