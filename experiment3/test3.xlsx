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4" documentId="11_12BE9FBB9EA58C4AD59520A300802ACF3C6CD13C" xr6:coauthVersionLast="47" xr6:coauthVersionMax="47" xr10:uidLastSave="{4CDB429D-5322-4B82-9771-2BA839770682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E47" i="8"/>
  <c r="C47" i="8"/>
  <c r="E46" i="8"/>
  <c r="C46" i="8"/>
  <c r="E45" i="8"/>
  <c r="C45" i="8"/>
  <c r="E44" i="8"/>
  <c r="C44" i="8"/>
  <c r="E43" i="8"/>
  <c r="C43" i="8"/>
  <c r="C42" i="8"/>
  <c r="E41" i="8"/>
  <c r="C41" i="8"/>
  <c r="E40" i="8"/>
  <c r="C40" i="8"/>
  <c r="E39" i="8"/>
  <c r="C39" i="8"/>
  <c r="E38" i="8"/>
  <c r="C38" i="8"/>
  <c r="E37" i="8"/>
  <c r="C37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E11" i="8"/>
  <c r="C11" i="8"/>
  <c r="E10" i="8"/>
  <c r="C10" i="8"/>
  <c r="E9" i="8"/>
  <c r="C9" i="8"/>
  <c r="E8" i="8"/>
  <c r="C8" i="8"/>
  <c r="E7" i="8"/>
  <c r="C7" i="8"/>
  <c r="E6" i="8"/>
  <c r="E5" i="8"/>
  <c r="C5" i="8"/>
  <c r="E4" i="8"/>
  <c r="C4" i="8"/>
  <c r="E3" i="8"/>
  <c r="C3" i="8"/>
  <c r="E2" i="8"/>
  <c r="C2" i="8"/>
  <c r="E61" i="7"/>
  <c r="C61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5" i="6"/>
  <c r="C5" i="6"/>
  <c r="E4" i="6"/>
  <c r="C4" i="6"/>
  <c r="E3" i="6"/>
  <c r="C3" i="6"/>
  <c r="E2" i="6"/>
  <c r="C2" i="6"/>
  <c r="E61" i="5"/>
  <c r="C61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5" i="5"/>
  <c r="C35" i="5"/>
  <c r="E34" i="5"/>
  <c r="C34" i="5"/>
  <c r="E33" i="5"/>
  <c r="C33" i="5"/>
  <c r="E32" i="5"/>
  <c r="C32" i="5"/>
  <c r="E31" i="5"/>
  <c r="C31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7" i="5"/>
  <c r="C17" i="5"/>
  <c r="E16" i="5"/>
  <c r="C16" i="5"/>
  <c r="E15" i="5"/>
  <c r="C15" i="5"/>
  <c r="E14" i="5"/>
  <c r="C14" i="5"/>
  <c r="E13" i="5"/>
  <c r="C13" i="5"/>
  <c r="E11" i="5"/>
  <c r="C11" i="5"/>
  <c r="E10" i="5"/>
  <c r="C10" i="5"/>
  <c r="E9" i="5"/>
  <c r="C9" i="5"/>
  <c r="E8" i="5"/>
  <c r="C8" i="5"/>
  <c r="E7" i="5"/>
  <c r="C7" i="5"/>
  <c r="E5" i="5"/>
  <c r="C5" i="5"/>
  <c r="E4" i="5"/>
  <c r="C4" i="5"/>
  <c r="E3" i="5"/>
  <c r="C3" i="5"/>
  <c r="E2" i="5"/>
  <c r="C2" i="5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29" i="3"/>
  <c r="C29" i="3"/>
  <c r="E28" i="3"/>
  <c r="C28" i="3"/>
  <c r="E27" i="3"/>
  <c r="C27" i="3"/>
  <c r="E26" i="3"/>
  <c r="C26" i="3"/>
  <c r="E25" i="3"/>
  <c r="C25" i="3"/>
  <c r="E24" i="3"/>
  <c r="E23" i="3"/>
  <c r="C23" i="3"/>
  <c r="E22" i="3"/>
  <c r="C22" i="3"/>
  <c r="E21" i="3"/>
  <c r="C21" i="3"/>
  <c r="E20" i="3"/>
  <c r="C20" i="3"/>
  <c r="E19" i="3"/>
  <c r="C19" i="3"/>
  <c r="E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5" i="2"/>
  <c r="C35" i="2"/>
  <c r="E34" i="2"/>
  <c r="C34" i="2"/>
  <c r="E33" i="2"/>
  <c r="C33" i="2"/>
  <c r="E32" i="2"/>
  <c r="C32" i="2"/>
  <c r="E31" i="2"/>
  <c r="C31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5" i="2"/>
  <c r="C5" i="2"/>
  <c r="E4" i="2"/>
  <c r="C4" i="2"/>
  <c r="E3" i="2"/>
  <c r="C3" i="2"/>
  <c r="E2" i="2"/>
  <c r="C2" i="2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5" i="1"/>
  <c r="C5" i="1"/>
  <c r="E4" i="1"/>
  <c r="C4" i="1"/>
  <c r="E3" i="1"/>
  <c r="C3" i="1"/>
  <c r="E2" i="1"/>
  <c r="C2" i="1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<sst xmlns="http://schemas.openxmlformats.org/spreadsheetml/2006/main" count="1121" uniqueCount="237">
  <si>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</si>
  <si>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</si>
  <si>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</si>
  <si>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</si>
  <si>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</si>
  <si>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</si>
  <si>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</si>
  <si>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</si>
  <si>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</si>
  <si>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</si>
  <si>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</si>
  <si>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</si>
  <si>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</si>
  <si>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</si>
  <si>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</si>
  <si>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</si>
  <si>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</si>
  <si>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</si>
  <si>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</si>
  <si>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</si>
  <si>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</si>
  <si>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</si>
  <si>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</si>
  <si>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</si>
  <si>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</si>
  <si>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</si>
  <si>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</si>
  <si>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17</t>
  </si>
  <si>
    <t>What is Saša Škrtić's gender?</t>
  </si>
  <si>
    <t>MALE</t>
  </si>
  <si>
    <t>List all Saša Škrtić's friends.</t>
  </si>
  <si>
    <t>Friend 1, Friend 3, Friend</t>
  </si>
  <si>
    <t>How many friends does Saša Škrtić have?</t>
  </si>
  <si>
    <t>4</t>
  </si>
  <si>
    <t>What is Duje Ravlić's first name?</t>
  </si>
  <si>
    <t>Duje</t>
  </si>
  <si>
    <t>What is Duje Ravlić's last name?</t>
  </si>
  <si>
    <t>Ravlić.</t>
  </si>
  <si>
    <t>What is Duje Ravlić's age?</t>
  </si>
  <si>
    <t>18</t>
  </si>
  <si>
    <t>What is Duje Ravlić's gender?</t>
  </si>
  <si>
    <t>List all Duje Ravlić's friends.</t>
  </si>
  <si>
    <t>Duje Ravlić's friends: 
-</t>
  </si>
  <si>
    <t>How many friends does Duje Ravlić have?</t>
  </si>
  <si>
    <t>Duje has 3 friends.</t>
  </si>
  <si>
    <t>What is Eduard Tutić's first name?</t>
  </si>
  <si>
    <t>Eduard</t>
  </si>
  <si>
    <t>What is Eduard Tutić's last name?</t>
  </si>
  <si>
    <t>Tutić</t>
  </si>
  <si>
    <t>What is Eduard Tutić's age?</t>
  </si>
  <si>
    <t>21</t>
  </si>
  <si>
    <t>What is Eduard Tutić's gender?</t>
  </si>
  <si>
    <t>List all Eduard Tutić's friends.</t>
  </si>
  <si>
    <t>Eduard Tutić's friends are:</t>
  </si>
  <si>
    <t>How many friends does Eduard Tutić have?</t>
  </si>
  <si>
    <t>Eduard Tutić has 8 friends</t>
  </si>
  <si>
    <t>What is Zoran Goreta's first name?</t>
  </si>
  <si>
    <t>Zoran</t>
  </si>
  <si>
    <t>What is Zoran Goreta's last name?</t>
  </si>
  <si>
    <t>Goreta</t>
  </si>
  <si>
    <t>What is Zoran Goreta's age?</t>
  </si>
  <si>
    <t>39</t>
  </si>
  <si>
    <t>What is Zoran Goreta's gender?</t>
  </si>
  <si>
    <t>List all Zoran Goreta's friends.</t>
  </si>
  <si>
    <t>Duje Ravlić, Eduard Tuti</t>
  </si>
  <si>
    <t>How many friends does Zoran Goreta have?</t>
  </si>
  <si>
    <t>2</t>
  </si>
  <si>
    <t>What is Ivo Čelina's first name?</t>
  </si>
  <si>
    <t>Ivo</t>
  </si>
  <si>
    <t>What is Ivo Čelina's last name?</t>
  </si>
  <si>
    <t>Čelina</t>
  </si>
  <si>
    <t>What is Ivo Čelina's age?</t>
  </si>
  <si>
    <t>24</t>
  </si>
  <si>
    <t>What is Ivo Čelina's gender?</t>
  </si>
  <si>
    <t>MALE.</t>
  </si>
  <si>
    <t>List all Ivo Čelina's friends.</t>
  </si>
  <si>
    <t>Ivo Čelina's friends: 
-</t>
  </si>
  <si>
    <t>How many friends does Ivo Čelina have?</t>
  </si>
  <si>
    <t>3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</si>
  <si>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</si>
  <si>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</si>
  <si>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</si>
  <si>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</si>
  <si>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</si>
  <si>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11</t>
  </si>
  <si>
    <t>What is Jagoda Draženović's gender?</t>
  </si>
  <si>
    <t>FEMALE</t>
  </si>
  <si>
    <t>List all Jagoda Draženović's friends.</t>
  </si>
  <si>
    <t>Jagoda's friends: 
- Saš</t>
  </si>
  <si>
    <t>How many friends does Jagoda Draženović have?</t>
  </si>
  <si>
    <t>Jagoda has 2 friends.</t>
  </si>
  <si>
    <t>What is Monika Rimac's first name?</t>
  </si>
  <si>
    <t>Monika</t>
  </si>
  <si>
    <t>What is Monika Rimac's last name?</t>
  </si>
  <si>
    <t>Rimac.</t>
  </si>
  <si>
    <t>What is Monika Rimac's age?</t>
  </si>
  <si>
    <t>10</t>
  </si>
  <si>
    <t>What is Monika Rimac's gender?</t>
  </si>
  <si>
    <t>FEMALE.</t>
  </si>
  <si>
    <t>List all Monika Rimac's friends.</t>
  </si>
  <si>
    <t>Monika Rimac's friends:
- Human id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</si>
  <si>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</si>
  <si>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</si>
  <si>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</si>
  <si>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</si>
  <si>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</si>
  <si>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</si>
  <si>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What is Mia Popić's gender?</t>
  </si>
  <si>
    <t>List all Mia Popić's friends.</t>
  </si>
  <si>
    <t>Mirjam Devčić</t>
  </si>
  <si>
    <t>How many friends does Mia Popić have?</t>
  </si>
  <si>
    <t>1</t>
  </si>
  <si>
    <t>What is Nada Sudar's first name?</t>
  </si>
  <si>
    <t>Nada's first name is Nada.</t>
  </si>
  <si>
    <t>What is Nada Sudar's last name?</t>
  </si>
  <si>
    <t>Sudar</t>
  </si>
  <si>
    <t>What is Nada Sudar's age?</t>
  </si>
  <si>
    <t>19</t>
  </si>
  <si>
    <t>What is Nada Sudar's gender?</t>
  </si>
  <si>
    <t>List all Nada Sudar's friends.</t>
  </si>
  <si>
    <t>Human id="8" has no friends listed.</t>
  </si>
  <si>
    <t>How many friends does Nada Sudar have?</t>
  </si>
  <si>
    <t>What is Mirjam Devčić's first name?</t>
  </si>
  <si>
    <t>Mirjam</t>
  </si>
  <si>
    <t>What is Mirjam Devčić's last name?</t>
  </si>
  <si>
    <t>Devčić</t>
  </si>
  <si>
    <t>What is Mirjam Devčić's age?</t>
  </si>
  <si>
    <t>41</t>
  </si>
  <si>
    <t>What is Mirjam Devčić's gender?</t>
  </si>
  <si>
    <t>List all Mirjam Devčić's friends.</t>
  </si>
  <si>
    <t>Duje Ravlić, Mia Popić</t>
  </si>
  <si>
    <t>How many friends does Mirjam Devčić have?</t>
  </si>
  <si>
    <t>Duje Ravlić, Zoran Goreta</t>
  </si>
  <si>
    <t>Ravlić</t>
  </si>
  <si>
    <t>Duje Ravlić's friends:
1.</t>
  </si>
  <si>
    <t>6</t>
  </si>
  <si>
    <t>Eduard Tutić's friends:</t>
  </si>
  <si>
    <t>Goreta.</t>
  </si>
  <si>
    <t>Saša Škrtić, Eduard</t>
  </si>
  <si>
    <t>Duje Ravlić, Jagoda Dražen</t>
  </si>
  <si>
    <t>Ivo Čelina has 3 friends.</t>
  </si>
  <si>
    <t>Jagoda.</t>
  </si>
  <si>
    <t>Draženović.</t>
  </si>
  <si>
    <t>Ivo Čelina, Jagoda Dražen</t>
  </si>
  <si>
    <t>Rimac</t>
  </si>
  <si>
    <t>Mia.</t>
  </si>
  <si>
    <t>Popić.</t>
  </si>
  <si>
    <t>Nada</t>
  </si>
  <si>
    <t>Sudar.</t>
  </si>
  <si>
    <t>1. Eduard Tutić</t>
  </si>
  <si>
    <t>Saša.</t>
  </si>
  <si>
    <t>#person0</t>
  </si>
  <si>
    <t>Duje.</t>
  </si>
  <si>
    <t>Duje Ravlić knows: 
- person</t>
  </si>
  <si>
    <t>9</t>
  </si>
  <si>
    <t>Tutić.</t>
  </si>
  <si>
    <t>Person 2's friends:
- Person 3</t>
  </si>
  <si>
    <t>Zoran's first name is Zoran.</t>
  </si>
  <si>
    <t>Zoran Goreta knows person #0 and person</t>
  </si>
  <si>
    <t>Ivo.</t>
  </si>
  <si>
    <t>Ivo Čelina, Saša Š</t>
  </si>
  <si>
    <t>2.</t>
  </si>
  <si>
    <t>Monika.</t>
  </si>
  <si>
    <t>#person0 and #person2</t>
  </si>
  <si>
    <t>None, #person7 has no known friends.</t>
  </si>
  <si>
    <t>None, only knows one person.</t>
  </si>
  <si>
    <t>None, listed as a separate person.</t>
  </si>
  <si>
    <t>0</t>
  </si>
  <si>
    <t>Mirjam Devčić's friends: 
1</t>
  </si>
  <si>
    <t>ambiguous if that is the id or bullet point number</t>
  </si>
  <si>
    <t>Škrtić.</t>
  </si>
  <si>
    <t>Saša Škrtić knows:
1</t>
  </si>
  <si>
    <t>Duje Ravlić's friends: 
1</t>
  </si>
  <si>
    <t>7</t>
  </si>
  <si>
    <t>Zoran Goreta, Ivo Čelina</t>
  </si>
  <si>
    <t>Čelina.</t>
  </si>
  <si>
    <t>8</t>
  </si>
  <si>
    <t>Saša Škrtić, Ivo</t>
  </si>
  <si>
    <t>Eduard Tutić</t>
  </si>
  <si>
    <t>None, only 1.</t>
  </si>
  <si>
    <t>[0, 3, 5,</t>
  </si>
  <si>
    <t>Saša Škrtić has 4</t>
  </si>
  <si>
    <t>1, 4, 9</t>
  </si>
  <si>
    <t>Duje Ravlić has 3 friends.</t>
  </si>
  <si>
    <t>["3", "4", "6", "</t>
  </si>
  <si>
    <t>Eduard has 4 friends.</t>
  </si>
  <si>
    <t>Zoran Goreta's friends: 
- Du</t>
  </si>
  <si>
    <t>1, 2, 4, 5</t>
  </si>
  <si>
    <t>Ivo has 3 friends.</t>
  </si>
  <si>
    <t>0, 4</t>
  </si>
  <si>
    <t>{"friend": "0"}, {"friend": "</t>
  </si>
  <si>
    <t>Nada's first name is not provided in the</t>
  </si>
  <si>
    <t>None, only "2" is listed as friend</t>
  </si>
  <si>
    <t>Nada Sudar has 1 friend.</t>
  </si>
  <si>
    <t>Devčić.</t>
  </si>
  <si>
    <t>1, 7</t>
  </si>
  <si>
    <t>Mirjam has 2 friends.</t>
  </si>
  <si>
    <t>["Duje Ravlić", "Zoran</t>
  </si>
  <si>
    <t>Male</t>
  </si>
  <si>
    <t>Duje Ravlić's friends:
1.</t>
  </si>
  <si>
    <t>[
  {"friend": "Zoran Goreta</t>
  </si>
  <si>
    <t>["Duje Ravlić", "Edu</t>
  </si>
  <si>
    <t>["Duje Ravlić", "Mia</t>
  </si>
  <si>
    <t>Mirjam Devčić has 2 friends.</t>
  </si>
  <si>
    <t>Male.</t>
  </si>
  <si>
    <t>Saša Škrtić's friends:</t>
  </si>
  <si>
    <t>Data doesn't provide Duje Ravlić's</t>
  </si>
  <si>
    <t>Not mentioned in data.</t>
  </si>
  <si>
    <t>21 years old.</t>
  </si>
  <si>
    <t>Data doesn't mention Ivo Čelina's</t>
  </si>
  <si>
    <t>Not mentioned.</t>
  </si>
  <si>
    <t>Ivo Čelina's friends:
- Du</t>
  </si>
  <si>
    <t>11 years old.</t>
  </si>
  <si>
    <t>Female.</t>
  </si>
  <si>
    <t>10 years old.</t>
  </si>
  <si>
    <t>Mia Popić and Mirjam Devčić</t>
  </si>
  <si>
    <t>Not provided.</t>
  </si>
  <si>
    <t>Duje Ravlić, Mirjam Devč</t>
  </si>
  <si>
    <t>5</t>
  </si>
  <si>
    <t>Duje Ravlić
Jagoda Dra</t>
  </si>
  <si>
    <t>At least 7, including himself.</t>
  </si>
  <si>
    <t>1. Mirjam Devčić
2.</t>
  </si>
  <si>
    <t>1. Saša Škrtić</t>
  </si>
  <si>
    <t>Zoran's first name is not mentioned.</t>
  </si>
  <si>
    <t>Saša Škrtić, Duje</t>
  </si>
  <si>
    <t>At least 3 (Saša Šk</t>
  </si>
  <si>
    <t>Ivo Čelina's friends:
1.</t>
  </si>
  <si>
    <t>At least 6: 
- Eduard T</t>
  </si>
  <si>
    <t>Jagoda Draženović has 4</t>
  </si>
  <si>
    <t>We don't know Monika Rimac's first</t>
  </si>
  <si>
    <t>Saša Škrtić
Edu</t>
  </si>
  <si>
    <t>19 years old.</t>
  </si>
  <si>
    <t>Eduard Tutić, Mirjam Dev</t>
  </si>
  <si>
    <t>At least 3 (Eduard Tuti</t>
  </si>
  <si>
    <t>There is no information about Mirjam Devčić</t>
  </si>
  <si>
    <t>Duje Ravlić, Ivo Čel</t>
  </si>
  <si>
    <t>Mirjam Devčić has 4 friends.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</si>
</sst>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0E94-7899-4F89-AA61-E9D4FDE4725B}">
  <dimension ref="A1:T49"/>
  <sheetViews>
    <sheetView tabSelected="1" workbookViewId="0">
      <selection activeCell="O4" sqref="O4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10" bestFit="1" customWidth="1"/>
    <col min="13" max="13" width="12.5703125" bestFit="1" customWidth="1"/>
    <col min="14" max="14" width="15.28515625" bestFit="1" customWidth="1"/>
    <col min="15" max="15" width="10.28515625" bestFit="1" customWidth="1"/>
    <col min="16" max="16" width="11.5703125" bestFit="1" customWidth="1"/>
    <col min="17" max="17" width="7.7109375" bestFit="1" customWidth="1"/>
    <col min="18" max="18" width="14.7109375" bestFit="1" customWidth="1"/>
    <col min="19" max="19" width="8.710937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51</v>
      </c>
      <c r="N2">
        <f ca="1">G3+G4+G5</f>
        <v>54</v>
      </c>
      <c r="O2">
        <f ca="1">B13+B14+B15</f>
        <v>30</v>
      </c>
      <c r="P2">
        <f ca="1">G13+G14+G15</f>
        <v>40</v>
      </c>
      <c r="Q2">
        <f ca="1">B23+B24+B25</f>
        <v>46</v>
      </c>
      <c r="R2">
        <f ca="1">G23+G24+G25</f>
        <v>49</v>
      </c>
      <c r="S2">
        <f ca="1">B33+B34+B35</f>
        <v>49</v>
      </c>
      <c r="T2">
        <f ca="1">G33+G34+G35</f>
        <v>54</v>
      </c>
    </row>
    <row r="3" spans="1:20">
      <c r="A3" t="b">
        <v>1</v>
      </c>
      <c r="B3">
        <f ca="1">COUNTIFS(INDIRECT(A1 &amp; "!$C$2:$C$61"),TRUE, INDIRECT(A1 &amp; "!$E$2:$E$61"),TRUE)</f>
        <v>51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54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51</v>
      </c>
      <c r="N3">
        <f ca="1">SUM(G3:I3)</f>
        <v>54</v>
      </c>
      <c r="O3">
        <f ca="1">SUM(B13:D13)</f>
        <v>32</v>
      </c>
      <c r="P3">
        <f ca="1">SUM(G13:I13)</f>
        <v>40</v>
      </c>
      <c r="Q3">
        <f ca="1">SUM(B23:D23)</f>
        <v>46</v>
      </c>
      <c r="R3">
        <f ca="1">G23+H23+I23</f>
        <v>49</v>
      </c>
      <c r="S3">
        <f ca="1">B33+C33+D33</f>
        <v>49</v>
      </c>
      <c r="T3">
        <f ca="1">G33+H33+I33</f>
        <v>54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7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3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102</v>
      </c>
      <c r="N4">
        <f t="shared" ref="N4:T4" ca="1" si="0">SUM(N2:N3)</f>
        <v>108</v>
      </c>
      <c r="O4">
        <f t="shared" ca="1" si="0"/>
        <v>62</v>
      </c>
      <c r="P4">
        <f t="shared" ca="1" si="0"/>
        <v>80</v>
      </c>
      <c r="Q4">
        <f t="shared" ca="1" si="0"/>
        <v>92</v>
      </c>
      <c r="R4">
        <f t="shared" ca="1" si="0"/>
        <v>98</v>
      </c>
      <c r="S4">
        <f t="shared" ca="1" si="0"/>
        <v>98</v>
      </c>
      <c r="T4">
        <f t="shared" ca="1" si="0"/>
        <v>108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2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0</v>
      </c>
      <c r="I5">
        <f ca="1">COUNTIFS(INDIRECT(F1 &amp; "!$C$2:$C$61"),"half true", INDIRECT(F1 &amp; "!$E$2:$E$61"),"half true")</f>
        <v>3</v>
      </c>
    </row>
    <row r="6" spans="1:20">
      <c r="A6" t="s">
        <v>12</v>
      </c>
      <c r="B6">
        <f ca="1">SUM(B3:D5)</f>
        <v>60</v>
      </c>
      <c r="F6" t="s">
        <v>12</v>
      </c>
      <c r="G6">
        <f ca="1">SUM(G3:I5)</f>
        <v>60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0.73722222222222222</v>
      </c>
      <c r="F8" t="s">
        <v>14</v>
      </c>
      <c r="G8">
        <f ca="1">((SUM(G3:I3)*SUM(G3:G5))+(SUM(G4:I4)*SUM(H3:H5))+(SUM(G5:I5)*SUM(I3:I5)))/(G6^2)</f>
        <v>0.81499999999999995</v>
      </c>
    </row>
    <row r="9" spans="1:20">
      <c r="A9" t="s">
        <v>15</v>
      </c>
      <c r="B9">
        <f ca="1">(B7-B8)/(1-B8)</f>
        <v>1</v>
      </c>
      <c r="F9" t="s">
        <v>15</v>
      </c>
      <c r="G9">
        <f ca="1">(G7-G8)/(1-G8)</f>
        <v>1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30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2</v>
      </c>
      <c r="F13" t="b">
        <v>1</v>
      </c>
      <c r="G13">
        <f ca="1">COUNTIFS(INDIRECT(F11 &amp; "!$C$2:$C$61"),TRUE, INDIRECT(F11 &amp; "!$E$2:$E$61"),TRUE)</f>
        <v>40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25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17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3</v>
      </c>
      <c r="D15">
        <f ca="1">COUNTIFS(INDIRECT(A11 &amp; "!$C$2:$C$61"),"half true", INDIRECT(A11 &amp; "!$E$2:$E$61"),"half true")</f>
        <v>0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1</v>
      </c>
      <c r="I15">
        <f ca="1">COUNTIFS(INDIRECT(F11 &amp; "!$C$2:$C$61"),"half true", INDIRECT(F11 &amp; "!$E$2:$E$61"),"half true")</f>
        <v>2</v>
      </c>
    </row>
    <row r="16" spans="1:20">
      <c r="A16" t="s">
        <v>12</v>
      </c>
      <c r="B16">
        <f ca="1">SUM(B13:D15)</f>
        <v>60</v>
      </c>
      <c r="F16" t="s">
        <v>12</v>
      </c>
      <c r="G16">
        <f ca="1">SUM(G13:I15)</f>
        <v>60</v>
      </c>
    </row>
    <row r="17" spans="1:9">
      <c r="A17" t="s">
        <v>13</v>
      </c>
      <c r="B17">
        <f ca="1">(B13+C14+D15)/B16</f>
        <v>0.91666666666666663</v>
      </c>
      <c r="F17" t="s">
        <v>13</v>
      </c>
      <c r="G17">
        <f ca="1">(G13+H14+I15)/G16</f>
        <v>0.98333333333333328</v>
      </c>
    </row>
    <row r="18" spans="1:9">
      <c r="A18" t="s">
        <v>14</v>
      </c>
      <c r="B18">
        <f ca="1">((SUM(B13:D13)*SUM(B13:B15))+(SUM(B14:D14)*SUM(C13:C15))+(SUM(B15:D15)*SUM(D13:D15)))/(B16^2)</f>
        <v>0.46277777777777779</v>
      </c>
      <c r="F18" t="s">
        <v>14</v>
      </c>
      <c r="G18">
        <f ca="1">((SUM(G13:I13)*SUM(G13:G15))+(SUM(G14:I14)*SUM(H13:H15))+(SUM(G15:I15)*SUM(I13:I15)))/(G16^2)</f>
        <v>0.53111111111111109</v>
      </c>
    </row>
    <row r="19" spans="1:9">
      <c r="A19" t="s">
        <v>15</v>
      </c>
      <c r="B19">
        <f ca="1">(B17-B18)/(1-B18)</f>
        <v>0.84488107549120972</v>
      </c>
      <c r="F19" t="s">
        <v>15</v>
      </c>
      <c r="G19">
        <f ca="1">(G17-G18)/(1-G18)</f>
        <v>0.96445497630331745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46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49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10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9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2</v>
      </c>
      <c r="D25">
        <f ca="1">COUNTIFS(INDIRECT(A21 &amp; "!$C$2:$C$61"),"half true", INDIRECT(A21 &amp; "!$E$2:$E$61"),"half true")</f>
        <v>2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2</v>
      </c>
    </row>
    <row r="26" spans="1:9">
      <c r="A26" t="s">
        <v>12</v>
      </c>
      <c r="B26">
        <f ca="1">SUM(B23:D25)</f>
        <v>60</v>
      </c>
      <c r="F26" t="s">
        <v>12</v>
      </c>
      <c r="G26">
        <f ca="1">SUM(G23:I25)</f>
        <v>60</v>
      </c>
    </row>
    <row r="27" spans="1:9">
      <c r="A27" t="s">
        <v>13</v>
      </c>
      <c r="B27">
        <f ca="1">(B23+C24+D25)/B26</f>
        <v>0.96666666666666667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0.62333333333333329</v>
      </c>
      <c r="F28" t="s">
        <v>14</v>
      </c>
      <c r="G28">
        <f ca="1">((SUM(G23:I23)*SUM(G23:G25))+(SUM(G24:I24)*SUM(H23:H25))+(SUM(G25:I25)*SUM(I23:I25)))/(G26^2)</f>
        <v>0.69055555555555559</v>
      </c>
    </row>
    <row r="29" spans="1:9">
      <c r="A29" t="s">
        <v>15</v>
      </c>
      <c r="B29">
        <f ca="1">(B27-B28)/(1-B28)</f>
        <v>0.91150442477876104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49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54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5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4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6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2</v>
      </c>
    </row>
    <row r="36" spans="1:9">
      <c r="A36" t="s">
        <v>12</v>
      </c>
      <c r="B36">
        <f ca="1">SUM(B33:D35)</f>
        <v>60</v>
      </c>
      <c r="F36" t="s">
        <v>12</v>
      </c>
      <c r="G36">
        <f ca="1">SUM(G33:I35)</f>
        <v>60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0.68388888888888888</v>
      </c>
      <c r="F38" t="s">
        <v>14</v>
      </c>
      <c r="G38">
        <f ca="1">((SUM(G33:I33)*SUM(G33:G35))+(SUM(G34:I34)*SUM(H33:H35))+(SUM(G35:I35)*SUM(I33:I35)))/(G36^2)</f>
        <v>0.81555555555555559</v>
      </c>
    </row>
    <row r="39" spans="1:9">
      <c r="A39" t="s">
        <v>15</v>
      </c>
      <c r="B39">
        <f ca="1">(B37-B38)/(1-B38)</f>
        <v>1</v>
      </c>
      <c r="F39" t="s">
        <v>15</v>
      </c>
      <c r="G39">
        <f ca="1">(G37-G38)/(1-G38)</f>
        <v>1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373</v>
      </c>
      <c r="C43">
        <f t="shared" ref="C43:D45" ca="1" si="1">C3+H3+C13+H13+C23+H23+C33+H33</f>
        <v>0</v>
      </c>
      <c r="D43">
        <f t="shared" ca="1" si="1"/>
        <v>2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80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6</v>
      </c>
      <c r="D45">
        <f t="shared" ca="1" si="1"/>
        <v>19</v>
      </c>
    </row>
    <row r="46" spans="1:9">
      <c r="A46" t="s">
        <v>12</v>
      </c>
      <c r="B46">
        <f ca="1">SUM(B43:D45)</f>
        <v>480</v>
      </c>
    </row>
    <row r="47" spans="1:9">
      <c r="A47" t="s">
        <v>13</v>
      </c>
      <c r="B47">
        <f ca="1">(B43+C44+D45)/B46</f>
        <v>0.98333333333333328</v>
      </c>
    </row>
    <row r="48" spans="1:9">
      <c r="A48" t="s">
        <v>14</v>
      </c>
      <c r="B48">
        <f ca="1">((SUM(B43:D43)*SUM(B43:B45))+(SUM(B44:D44)*SUM(C43:C45))+(SUM(B45:D45)*SUM(D43:D45)))/(B46^2)</f>
        <v>0.63923611111111112</v>
      </c>
    </row>
    <row r="49" spans="1:2">
      <c r="A49" t="s">
        <v>15</v>
      </c>
      <c r="B49">
        <f ca="1">(B47-B48)/(1-B48)</f>
        <v>0.95380173243503352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opLeftCell="A25" zoomScale="90" zoomScaleNormal="90" workbookViewId="0">
      <selection activeCell="D38" sqref="D38"/>
    </sheetView>
  </sheetViews>
  <sheetFormatPr defaultColWidth="8.5703125" defaultRowHeight="15"/>
  <cols>
    <col min="1" max="1" width="43.5703125" customWidth="1"/>
    <col min="2" max="2" width="33.28515625" customWidth="1"/>
    <col min="5" max="5" width="10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33.6">
      <c r="A12" t="s">
        <v>41</v>
      </c>
      <c r="B12" s="2" t="s">
        <v>42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44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53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55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64</v>
      </c>
      <c r="C24" t="b">
        <f>FALSE()</f>
        <v>0</v>
      </c>
      <c r="E24" t="b">
        <f>FALSE()</f>
        <v>0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74</v>
      </c>
      <c r="C29" t="b">
        <f>TRUE()</f>
        <v>1</v>
      </c>
      <c r="E29" t="b">
        <f>TRUE()</f>
        <v>1</v>
      </c>
    </row>
    <row r="30" spans="1:5" ht="33.6">
      <c r="A30" t="s">
        <v>75</v>
      </c>
      <c r="B30" s="2" t="s">
        <v>76</v>
      </c>
      <c r="C30" t="b">
        <f>FALSE()</f>
        <v>0</v>
      </c>
      <c r="E30" t="b">
        <f>FALSE()</f>
        <v>0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 ht="33.6">
      <c r="A36" t="s">
        <v>87</v>
      </c>
      <c r="B36" s="2" t="s">
        <v>88</v>
      </c>
      <c r="C36" t="s">
        <v>8</v>
      </c>
      <c r="E36" t="s">
        <v>8</v>
      </c>
    </row>
    <row r="37" spans="1:5">
      <c r="A37" t="s">
        <v>89</v>
      </c>
      <c r="B37" t="s">
        <v>90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96</v>
      </c>
      <c r="C40" t="b">
        <f>TRUE()</f>
        <v>1</v>
      </c>
      <c r="E40" t="b">
        <f>TRUE()</f>
        <v>1</v>
      </c>
    </row>
    <row r="41" spans="1:5">
      <c r="A41" t="s">
        <v>97</v>
      </c>
      <c r="B41" t="s">
        <v>98</v>
      </c>
      <c r="C41" t="b">
        <f>TRUE()</f>
        <v>1</v>
      </c>
      <c r="E41" t="b">
        <f>TRUE()</f>
        <v>1</v>
      </c>
    </row>
    <row r="42" spans="1:5" ht="33.6">
      <c r="A42" t="s">
        <v>99</v>
      </c>
      <c r="B42" s="2" t="s">
        <v>100</v>
      </c>
      <c r="C42" t="b">
        <f>FALSE()</f>
        <v>0</v>
      </c>
      <c r="E42" t="b">
        <f>FALSE()</f>
        <v>0</v>
      </c>
    </row>
    <row r="43" spans="1:5">
      <c r="A43" t="s">
        <v>101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102</v>
      </c>
      <c r="B44" t="s">
        <v>103</v>
      </c>
      <c r="C44" t="b">
        <f>TRUE()</f>
        <v>1</v>
      </c>
      <c r="E44" t="b">
        <f>TRUE()</f>
        <v>1</v>
      </c>
    </row>
    <row r="45" spans="1:5">
      <c r="A45" t="s">
        <v>104</v>
      </c>
      <c r="B45" t="s">
        <v>105</v>
      </c>
      <c r="C45" t="b">
        <f>TRUE()</f>
        <v>1</v>
      </c>
      <c r="E45" t="b">
        <f>TRUE()</f>
        <v>1</v>
      </c>
    </row>
    <row r="46" spans="1:5">
      <c r="A46" t="s">
        <v>106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107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108</v>
      </c>
      <c r="B48" t="s">
        <v>109</v>
      </c>
      <c r="C48" t="b">
        <f>TRUE()</f>
        <v>1</v>
      </c>
      <c r="E48" t="b">
        <f>TRUE()</f>
        <v>1</v>
      </c>
    </row>
    <row r="49" spans="1:5">
      <c r="A49" t="s">
        <v>110</v>
      </c>
      <c r="B49" t="s">
        <v>111</v>
      </c>
      <c r="C49" t="b">
        <f>TRUE()</f>
        <v>1</v>
      </c>
      <c r="E49" t="b">
        <f>TRUE()</f>
        <v>1</v>
      </c>
    </row>
    <row r="50" spans="1:5">
      <c r="A50" t="s">
        <v>112</v>
      </c>
      <c r="B50" t="s">
        <v>113</v>
      </c>
      <c r="C50" t="b">
        <f>TRUE()</f>
        <v>1</v>
      </c>
      <c r="E50" t="b">
        <f>TRUE()</f>
        <v>1</v>
      </c>
    </row>
    <row r="51" spans="1:5">
      <c r="A51" t="s">
        <v>114</v>
      </c>
      <c r="B51" t="s">
        <v>115</v>
      </c>
      <c r="C51" t="b">
        <f>TRUE()</f>
        <v>1</v>
      </c>
      <c r="E51" t="b">
        <f>TRUE()</f>
        <v>1</v>
      </c>
    </row>
    <row r="52" spans="1:5">
      <c r="A52" t="s">
        <v>116</v>
      </c>
      <c r="B52" t="s">
        <v>117</v>
      </c>
      <c r="C52" t="b">
        <f>TRUE()</f>
        <v>1</v>
      </c>
      <c r="E52" t="b">
        <f>TRUE()</f>
        <v>1</v>
      </c>
    </row>
    <row r="53" spans="1:5">
      <c r="A53" t="s">
        <v>118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119</v>
      </c>
      <c r="B54" t="s">
        <v>120</v>
      </c>
      <c r="C54" t="b">
        <f>FALSE()</f>
        <v>0</v>
      </c>
      <c r="E54" t="b">
        <f>FALSE()</f>
        <v>0</v>
      </c>
    </row>
    <row r="55" spans="1:5">
      <c r="A55" t="s">
        <v>121</v>
      </c>
      <c r="B55" t="s">
        <v>111</v>
      </c>
      <c r="C55" t="b">
        <f>TRUE()</f>
        <v>1</v>
      </c>
      <c r="E55" t="b">
        <f>TRUE()</f>
        <v>1</v>
      </c>
    </row>
    <row r="56" spans="1:5">
      <c r="A56" t="s">
        <v>122</v>
      </c>
      <c r="B56" t="s">
        <v>123</v>
      </c>
      <c r="C56" t="b">
        <f>TRUE()</f>
        <v>1</v>
      </c>
      <c r="E56" t="b">
        <f>TRUE()</f>
        <v>1</v>
      </c>
    </row>
    <row r="57" spans="1:5">
      <c r="A57" t="s">
        <v>124</v>
      </c>
      <c r="B57" t="s">
        <v>125</v>
      </c>
      <c r="C57" t="b">
        <f>TRUE()</f>
        <v>1</v>
      </c>
      <c r="E57" t="b">
        <f>TRUE()</f>
        <v>1</v>
      </c>
    </row>
    <row r="58" spans="1:5">
      <c r="A58" t="s">
        <v>126</v>
      </c>
      <c r="B58" t="s">
        <v>127</v>
      </c>
      <c r="C58" t="b">
        <f>TRUE()</f>
        <v>1</v>
      </c>
      <c r="E58" t="b">
        <f>TRUE()</f>
        <v>1</v>
      </c>
    </row>
    <row r="59" spans="1:5">
      <c r="A59" t="s">
        <v>128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129</v>
      </c>
      <c r="B60" t="s">
        <v>130</v>
      </c>
      <c r="C60" t="b">
        <f>TRUE()</f>
        <v>1</v>
      </c>
      <c r="E60" t="b">
        <f>TRUE()</f>
        <v>1</v>
      </c>
    </row>
    <row r="61" spans="1:5">
      <c r="A61" t="s">
        <v>131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topLeftCell="A51" zoomScale="90" zoomScaleNormal="90" workbookViewId="0">
      <selection activeCell="E88" sqref="E88"/>
    </sheetView>
  </sheetViews>
  <sheetFormatPr defaultColWidth="8.5703125" defaultRowHeight="15"/>
  <cols>
    <col min="1" max="1" width="42.42578125" customWidth="1"/>
    <col min="2" max="2" width="30.5703125" customWidth="1"/>
    <col min="5" max="5" width="16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3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132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31.35">
      <c r="A12" t="s">
        <v>41</v>
      </c>
      <c r="B12" s="2" t="s">
        <v>134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135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136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33</v>
      </c>
      <c r="C19" t="b">
        <f>TRUE()</f>
        <v>1</v>
      </c>
      <c r="E19" t="b">
        <f>TRUE()</f>
        <v>1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137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138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139</v>
      </c>
      <c r="C30" t="s">
        <v>8</v>
      </c>
      <c r="E30" t="s">
        <v>8</v>
      </c>
    </row>
    <row r="31" spans="1:5">
      <c r="A31" t="s">
        <v>77</v>
      </c>
      <c r="B31" t="s">
        <v>140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141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142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98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143</v>
      </c>
      <c r="C36" t="s">
        <v>8</v>
      </c>
      <c r="E36" t="s">
        <v>8</v>
      </c>
    </row>
    <row r="37" spans="1:5">
      <c r="A37" t="s">
        <v>89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144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96</v>
      </c>
      <c r="C40" t="b">
        <f>TRUE()</f>
        <v>1</v>
      </c>
      <c r="E40" t="b">
        <f>TRUE()</f>
        <v>1</v>
      </c>
    </row>
    <row r="41" spans="1:5">
      <c r="A41" t="s">
        <v>97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101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102</v>
      </c>
      <c r="B44" t="s">
        <v>145</v>
      </c>
      <c r="C44" t="b">
        <f>TRUE()</f>
        <v>1</v>
      </c>
      <c r="E44" t="b">
        <f>TRUE()</f>
        <v>1</v>
      </c>
    </row>
    <row r="45" spans="1:5">
      <c r="A45" t="s">
        <v>104</v>
      </c>
      <c r="B45" t="s">
        <v>146</v>
      </c>
      <c r="C45" t="b">
        <f>TRUE()</f>
        <v>1</v>
      </c>
      <c r="E45" t="b">
        <f>TRUE()</f>
        <v>1</v>
      </c>
    </row>
    <row r="46" spans="1:5">
      <c r="A46" t="s">
        <v>106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107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108</v>
      </c>
      <c r="B48" t="s">
        <v>109</v>
      </c>
      <c r="C48" t="b">
        <f>TRUE()</f>
        <v>1</v>
      </c>
      <c r="E48" t="b">
        <f>TRUE()</f>
        <v>1</v>
      </c>
    </row>
    <row r="49" spans="1:5">
      <c r="A49" t="s">
        <v>110</v>
      </c>
      <c r="B49" t="s">
        <v>111</v>
      </c>
      <c r="C49" t="b">
        <f>TRUE()</f>
        <v>1</v>
      </c>
      <c r="E49" t="b">
        <f>TRUE()</f>
        <v>1</v>
      </c>
    </row>
    <row r="50" spans="1:5">
      <c r="A50" t="s">
        <v>112</v>
      </c>
      <c r="B50" t="s">
        <v>147</v>
      </c>
      <c r="C50" t="b">
        <f>TRUE()</f>
        <v>1</v>
      </c>
      <c r="E50" t="b">
        <f>TRUE()</f>
        <v>1</v>
      </c>
    </row>
    <row r="51" spans="1:5">
      <c r="A51" t="s">
        <v>114</v>
      </c>
      <c r="B51" t="s">
        <v>148</v>
      </c>
      <c r="C51" t="b">
        <f>TRUE()</f>
        <v>1</v>
      </c>
      <c r="E51" t="b">
        <f>TRUE()</f>
        <v>1</v>
      </c>
    </row>
    <row r="52" spans="1:5">
      <c r="A52" t="s">
        <v>116</v>
      </c>
      <c r="B52" t="s">
        <v>117</v>
      </c>
      <c r="C52" t="b">
        <f>TRUE()</f>
        <v>1</v>
      </c>
      <c r="E52" t="b">
        <f>TRUE()</f>
        <v>1</v>
      </c>
    </row>
    <row r="53" spans="1:5">
      <c r="A53" t="s">
        <v>118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119</v>
      </c>
      <c r="B54" t="s">
        <v>149</v>
      </c>
      <c r="C54" t="b">
        <f>TRUE()</f>
        <v>1</v>
      </c>
      <c r="E54" t="b">
        <f>TRUE()</f>
        <v>1</v>
      </c>
    </row>
    <row r="55" spans="1:5">
      <c r="A55" t="s">
        <v>121</v>
      </c>
      <c r="B55" t="s">
        <v>111</v>
      </c>
      <c r="C55" t="b">
        <f>TRUE()</f>
        <v>1</v>
      </c>
      <c r="E55" t="b">
        <f>TRUE()</f>
        <v>1</v>
      </c>
    </row>
    <row r="56" spans="1:5">
      <c r="A56" t="s">
        <v>122</v>
      </c>
      <c r="B56" t="s">
        <v>123</v>
      </c>
      <c r="C56" t="b">
        <f>TRUE()</f>
        <v>1</v>
      </c>
      <c r="E56" t="b">
        <f>TRUE()</f>
        <v>1</v>
      </c>
    </row>
    <row r="57" spans="1:5">
      <c r="A57" t="s">
        <v>124</v>
      </c>
      <c r="B57" t="s">
        <v>125</v>
      </c>
      <c r="C57" t="b">
        <f>TRUE()</f>
        <v>1</v>
      </c>
      <c r="E57" t="b">
        <f>TRUE()</f>
        <v>1</v>
      </c>
    </row>
    <row r="58" spans="1:5">
      <c r="A58" t="s">
        <v>126</v>
      </c>
      <c r="B58" t="s">
        <v>127</v>
      </c>
      <c r="C58" t="b">
        <f>TRUE()</f>
        <v>1</v>
      </c>
      <c r="E58" t="b">
        <f>TRUE()</f>
        <v>1</v>
      </c>
    </row>
    <row r="59" spans="1:5">
      <c r="A59" t="s">
        <v>128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129</v>
      </c>
      <c r="B60" t="s">
        <v>130</v>
      </c>
      <c r="C60" t="b">
        <f>TRUE()</f>
        <v>1</v>
      </c>
      <c r="E60" t="b">
        <f>TRUE()</f>
        <v>1</v>
      </c>
    </row>
    <row r="61" spans="1:5">
      <c r="A61" t="s">
        <v>131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topLeftCell="A44" zoomScale="90" zoomScaleNormal="90" workbookViewId="0">
      <selection activeCell="E1" sqref="E1"/>
    </sheetView>
  </sheetViews>
  <sheetFormatPr defaultColWidth="8.5703125" defaultRowHeight="15"/>
  <cols>
    <col min="1" max="1" width="41" customWidth="1"/>
    <col min="2" max="2" width="37.42578125" customWidth="1"/>
    <col min="4" max="4" width="13" customWidth="1"/>
    <col min="5" max="5" width="20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3" t="s">
        <v>21</v>
      </c>
    </row>
    <row r="2" spans="1:5">
      <c r="A2" t="s">
        <v>22</v>
      </c>
      <c r="B2" t="s">
        <v>150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151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135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152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74</v>
      </c>
      <c r="C11" t="b">
        <f>TRUE()</f>
        <v>1</v>
      </c>
      <c r="E11" t="b">
        <f>TRUE()</f>
        <v>1</v>
      </c>
    </row>
    <row r="12" spans="1:5" ht="31.35">
      <c r="A12" t="s">
        <v>41</v>
      </c>
      <c r="B12" s="2" t="s">
        <v>153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154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155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 ht="31.35">
      <c r="A18" t="s">
        <v>52</v>
      </c>
      <c r="B18" s="2" t="s">
        <v>156</v>
      </c>
      <c r="C18" t="s">
        <v>8</v>
      </c>
      <c r="E18" t="b">
        <f>FALSE()</f>
        <v>0</v>
      </c>
    </row>
    <row r="19" spans="1:5">
      <c r="A19" t="s">
        <v>54</v>
      </c>
      <c r="B19" t="s">
        <v>154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157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137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 ht="31.35">
      <c r="A24" t="s">
        <v>63</v>
      </c>
      <c r="B24" s="2" t="s">
        <v>158</v>
      </c>
      <c r="C24" t="s">
        <v>8</v>
      </c>
      <c r="E24" t="b">
        <f>FALSE()</f>
        <v>0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159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64</v>
      </c>
      <c r="C30" t="s">
        <v>8</v>
      </c>
      <c r="E30" t="s">
        <v>8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141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160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161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162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96</v>
      </c>
      <c r="C40" t="b">
        <f>TRUE()</f>
        <v>1</v>
      </c>
      <c r="E40" t="b">
        <f>TRUE()</f>
        <v>1</v>
      </c>
    </row>
    <row r="41" spans="1:5">
      <c r="A41" t="s">
        <v>97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163</v>
      </c>
      <c r="C42" t="s">
        <v>8</v>
      </c>
      <c r="E42" t="s">
        <v>8</v>
      </c>
    </row>
    <row r="43" spans="1:5">
      <c r="A43" t="s">
        <v>101</v>
      </c>
      <c r="B43" t="s">
        <v>161</v>
      </c>
      <c r="C43" t="b">
        <f>TRUE()</f>
        <v>1</v>
      </c>
      <c r="E43" t="b">
        <f>TRUE()</f>
        <v>1</v>
      </c>
    </row>
    <row r="44" spans="1:5">
      <c r="A44" t="s">
        <v>102</v>
      </c>
      <c r="B44" t="s">
        <v>103</v>
      </c>
      <c r="C44" t="b">
        <f>TRUE()</f>
        <v>1</v>
      </c>
      <c r="E44" t="b">
        <f>TRUE()</f>
        <v>1</v>
      </c>
    </row>
    <row r="45" spans="1:5">
      <c r="A45" t="s">
        <v>104</v>
      </c>
      <c r="B45" t="s">
        <v>105</v>
      </c>
      <c r="C45" t="b">
        <f>TRUE()</f>
        <v>1</v>
      </c>
      <c r="E45" t="b">
        <f>TRUE()</f>
        <v>1</v>
      </c>
    </row>
    <row r="46" spans="1:5">
      <c r="A46" t="s">
        <v>106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107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108</v>
      </c>
      <c r="B48" t="s">
        <v>164</v>
      </c>
      <c r="C48" t="b">
        <f>FALSE()</f>
        <v>0</v>
      </c>
      <c r="E48" t="b">
        <f>FALSE()</f>
        <v>0</v>
      </c>
    </row>
    <row r="49" spans="1:5">
      <c r="A49" t="s">
        <v>110</v>
      </c>
      <c r="B49" t="s">
        <v>165</v>
      </c>
      <c r="C49" t="b">
        <f>FALSE()</f>
        <v>0</v>
      </c>
      <c r="E49" t="b">
        <f>FALSE()</f>
        <v>0</v>
      </c>
    </row>
    <row r="50" spans="1:5">
      <c r="A50" t="s">
        <v>112</v>
      </c>
      <c r="B50" t="s">
        <v>113</v>
      </c>
      <c r="C50" t="b">
        <f>TRUE()</f>
        <v>1</v>
      </c>
      <c r="E50" t="b">
        <f>TRUE()</f>
        <v>1</v>
      </c>
    </row>
    <row r="51" spans="1:5">
      <c r="A51" t="s">
        <v>114</v>
      </c>
      <c r="B51" t="s">
        <v>148</v>
      </c>
      <c r="C51" t="b">
        <f>TRUE()</f>
        <v>1</v>
      </c>
      <c r="E51" t="b">
        <f>TRUE()</f>
        <v>1</v>
      </c>
    </row>
    <row r="52" spans="1:5">
      <c r="A52" t="s">
        <v>116</v>
      </c>
      <c r="B52" t="s">
        <v>117</v>
      </c>
      <c r="C52" t="b">
        <f>TRUE()</f>
        <v>1</v>
      </c>
      <c r="E52" t="b">
        <f>TRUE()</f>
        <v>1</v>
      </c>
    </row>
    <row r="53" spans="1:5">
      <c r="A53" t="s">
        <v>118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119</v>
      </c>
      <c r="B54" t="s">
        <v>166</v>
      </c>
      <c r="C54" t="b">
        <f>FALSE()</f>
        <v>0</v>
      </c>
      <c r="E54" t="b">
        <f>FALSE()</f>
        <v>0</v>
      </c>
    </row>
    <row r="55" spans="1:5">
      <c r="A55" t="s">
        <v>121</v>
      </c>
      <c r="B55" t="s">
        <v>167</v>
      </c>
      <c r="C55" t="b">
        <f>FALSE()</f>
        <v>0</v>
      </c>
      <c r="E55" t="b">
        <f>FALSE()</f>
        <v>0</v>
      </c>
    </row>
    <row r="56" spans="1:5">
      <c r="A56" t="s">
        <v>122</v>
      </c>
      <c r="B56" t="s">
        <v>123</v>
      </c>
      <c r="C56" t="b">
        <f>TRUE()</f>
        <v>1</v>
      </c>
      <c r="E56" t="b">
        <f>TRUE()</f>
        <v>1</v>
      </c>
    </row>
    <row r="57" spans="1:5">
      <c r="A57" t="s">
        <v>124</v>
      </c>
      <c r="B57" t="s">
        <v>125</v>
      </c>
      <c r="C57" t="b">
        <f>TRUE()</f>
        <v>1</v>
      </c>
      <c r="E57" t="b">
        <f>TRUE()</f>
        <v>1</v>
      </c>
    </row>
    <row r="58" spans="1:5">
      <c r="A58" t="s">
        <v>126</v>
      </c>
      <c r="B58" t="s">
        <v>127</v>
      </c>
      <c r="C58" t="b">
        <f>TRUE()</f>
        <v>1</v>
      </c>
      <c r="E58" t="b">
        <f>TRUE()</f>
        <v>1</v>
      </c>
    </row>
    <row r="59" spans="1:5">
      <c r="A59" t="s">
        <v>128</v>
      </c>
      <c r="B59" t="s">
        <v>86</v>
      </c>
      <c r="C59" t="b">
        <f>TRUE()</f>
        <v>1</v>
      </c>
      <c r="E59" t="b">
        <f>TRUE()</f>
        <v>1</v>
      </c>
    </row>
    <row r="60" spans="1:5" ht="61.15">
      <c r="A60" t="s">
        <v>129</v>
      </c>
      <c r="B60" s="2" t="s">
        <v>168</v>
      </c>
      <c r="C60" t="b">
        <f>FALSE()</f>
        <v>0</v>
      </c>
      <c r="D60" s="2" t="s">
        <v>169</v>
      </c>
      <c r="E60" t="b">
        <f>FALSE()</f>
        <v>0</v>
      </c>
    </row>
    <row r="61" spans="1:5">
      <c r="A61" t="s">
        <v>131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topLeftCell="B1" zoomScale="90" zoomScaleNormal="90" workbookViewId="0">
      <selection activeCell="E1" sqref="E1"/>
    </sheetView>
  </sheetViews>
  <sheetFormatPr defaultColWidth="8.5703125" defaultRowHeight="15"/>
  <cols>
    <col min="1" max="1" width="43.140625" customWidth="1"/>
    <col min="2" max="2" width="27.28515625" customWidth="1"/>
    <col min="5" max="5" width="12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3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170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74</v>
      </c>
      <c r="C5" t="b">
        <f>TRUE()</f>
        <v>1</v>
      </c>
      <c r="E5" t="b">
        <f>TRUE()</f>
        <v>1</v>
      </c>
    </row>
    <row r="6" spans="1:5" ht="46.35">
      <c r="A6" t="s">
        <v>30</v>
      </c>
      <c r="B6" s="2" t="s">
        <v>171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135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46.35">
      <c r="A12" t="s">
        <v>41</v>
      </c>
      <c r="B12" s="2" t="s">
        <v>172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173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155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174</v>
      </c>
      <c r="C18" t="s">
        <v>8</v>
      </c>
      <c r="E18" t="s">
        <v>8</v>
      </c>
    </row>
    <row r="19" spans="1:5">
      <c r="A19" t="s">
        <v>54</v>
      </c>
      <c r="B19" t="s">
        <v>135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137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74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138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78</v>
      </c>
      <c r="C25" t="b">
        <f>FALSE()</f>
        <v>0</v>
      </c>
      <c r="E25" t="b">
        <f>FALSE()</f>
        <v>0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175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64</v>
      </c>
      <c r="C30" t="s">
        <v>8</v>
      </c>
      <c r="E30" t="s">
        <v>8</v>
      </c>
    </row>
    <row r="31" spans="1:5">
      <c r="A31" t="s">
        <v>77</v>
      </c>
      <c r="B31" t="s">
        <v>176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141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177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96</v>
      </c>
      <c r="C40" t="b">
        <f>TRUE()</f>
        <v>1</v>
      </c>
      <c r="E40" t="b">
        <f>TRUE()</f>
        <v>1</v>
      </c>
    </row>
    <row r="41" spans="1:5">
      <c r="A41" t="s">
        <v>97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101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102</v>
      </c>
      <c r="B44" t="s">
        <v>145</v>
      </c>
      <c r="C44" t="b">
        <f>TRUE()</f>
        <v>1</v>
      </c>
      <c r="E44" t="b">
        <f>TRUE()</f>
        <v>1</v>
      </c>
    </row>
    <row r="45" spans="1:5">
      <c r="A45" t="s">
        <v>104</v>
      </c>
      <c r="B45" t="s">
        <v>105</v>
      </c>
      <c r="C45" t="b">
        <f>TRUE()</f>
        <v>1</v>
      </c>
      <c r="E45" t="b">
        <f>TRUE()</f>
        <v>1</v>
      </c>
    </row>
    <row r="46" spans="1:5">
      <c r="A46" t="s">
        <v>106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107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108</v>
      </c>
      <c r="B48" t="s">
        <v>109</v>
      </c>
      <c r="C48" t="b">
        <f>TRUE()</f>
        <v>1</v>
      </c>
      <c r="E48" t="b">
        <f>TRUE()</f>
        <v>1</v>
      </c>
    </row>
    <row r="49" spans="1:5">
      <c r="A49" t="s">
        <v>110</v>
      </c>
      <c r="B49" t="s">
        <v>66</v>
      </c>
      <c r="C49" t="b">
        <f>FALSE()</f>
        <v>0</v>
      </c>
      <c r="E49" t="b">
        <f>FALSE()</f>
        <v>0</v>
      </c>
    </row>
    <row r="50" spans="1:5">
      <c r="A50" t="s">
        <v>112</v>
      </c>
      <c r="B50" t="s">
        <v>147</v>
      </c>
      <c r="C50" t="b">
        <f>TRUE()</f>
        <v>1</v>
      </c>
      <c r="E50" t="b">
        <f>TRUE()</f>
        <v>1</v>
      </c>
    </row>
    <row r="51" spans="1:5">
      <c r="A51" t="s">
        <v>114</v>
      </c>
      <c r="B51" t="s">
        <v>148</v>
      </c>
      <c r="C51" t="b">
        <f>TRUE()</f>
        <v>1</v>
      </c>
      <c r="E51" t="b">
        <f>TRUE()</f>
        <v>1</v>
      </c>
    </row>
    <row r="52" spans="1:5">
      <c r="A52" t="s">
        <v>116</v>
      </c>
      <c r="B52" t="s">
        <v>117</v>
      </c>
      <c r="C52" t="b">
        <f>TRUE()</f>
        <v>1</v>
      </c>
      <c r="E52" t="b">
        <f>TRUE()</f>
        <v>1</v>
      </c>
    </row>
    <row r="53" spans="1:5">
      <c r="A53" t="s">
        <v>118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119</v>
      </c>
      <c r="B54" t="s">
        <v>178</v>
      </c>
      <c r="C54" t="b">
        <f>TRUE()</f>
        <v>1</v>
      </c>
      <c r="E54" t="b">
        <f>TRUE()</f>
        <v>1</v>
      </c>
    </row>
    <row r="55" spans="1:5">
      <c r="A55" t="s">
        <v>121</v>
      </c>
      <c r="B55" t="s">
        <v>179</v>
      </c>
      <c r="C55" t="b">
        <f>FALSE()</f>
        <v>0</v>
      </c>
      <c r="E55" t="b">
        <f>FALSE()</f>
        <v>0</v>
      </c>
    </row>
    <row r="56" spans="1:5">
      <c r="A56" t="s">
        <v>122</v>
      </c>
      <c r="B56" t="s">
        <v>123</v>
      </c>
      <c r="C56" t="b">
        <f>TRUE()</f>
        <v>1</v>
      </c>
      <c r="E56" t="b">
        <f>TRUE()</f>
        <v>1</v>
      </c>
    </row>
    <row r="57" spans="1:5">
      <c r="A57" t="s">
        <v>124</v>
      </c>
      <c r="B57" t="s">
        <v>125</v>
      </c>
      <c r="C57" t="b">
        <f>TRUE()</f>
        <v>1</v>
      </c>
      <c r="E57" t="b">
        <f>TRUE()</f>
        <v>1</v>
      </c>
    </row>
    <row r="58" spans="1:5">
      <c r="A58" t="s">
        <v>126</v>
      </c>
      <c r="B58" t="s">
        <v>127</v>
      </c>
      <c r="C58" t="b">
        <f>TRUE()</f>
        <v>1</v>
      </c>
      <c r="E58" t="b">
        <f>TRUE()</f>
        <v>1</v>
      </c>
    </row>
    <row r="59" spans="1:5">
      <c r="A59" t="s">
        <v>128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129</v>
      </c>
      <c r="B60" t="s">
        <v>130</v>
      </c>
      <c r="C60" t="b">
        <f>TRUE()</f>
        <v>1</v>
      </c>
      <c r="E60" t="b">
        <f>TRUE()</f>
        <v>1</v>
      </c>
    </row>
    <row r="61" spans="1:5">
      <c r="A61" t="s">
        <v>131</v>
      </c>
      <c r="B61" t="s">
        <v>66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zoomScale="90" zoomScaleNormal="90" workbookViewId="0">
      <selection activeCell="C25" sqref="C25"/>
    </sheetView>
  </sheetViews>
  <sheetFormatPr defaultColWidth="8.5703125" defaultRowHeight="15"/>
  <cols>
    <col min="1" max="1" width="43" customWidth="1"/>
    <col min="2" max="2" width="35.28515625" customWidth="1"/>
    <col min="5" max="5" width="14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3" t="s">
        <v>21</v>
      </c>
    </row>
    <row r="2" spans="1:5">
      <c r="A2" t="s">
        <v>22</v>
      </c>
      <c r="B2" t="s">
        <v>150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180</v>
      </c>
      <c r="C6" t="s">
        <v>8</v>
      </c>
      <c r="E6" t="s">
        <v>8</v>
      </c>
    </row>
    <row r="7" spans="1:5">
      <c r="A7" t="s">
        <v>32</v>
      </c>
      <c r="B7" t="s">
        <v>181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182</v>
      </c>
      <c r="C12" t="s">
        <v>8</v>
      </c>
      <c r="E12" t="s">
        <v>8</v>
      </c>
    </row>
    <row r="13" spans="1:5">
      <c r="A13" t="s">
        <v>43</v>
      </c>
      <c r="B13" t="s">
        <v>183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184</v>
      </c>
      <c r="C18" t="s">
        <v>8</v>
      </c>
      <c r="E18" t="s">
        <v>8</v>
      </c>
    </row>
    <row r="19" spans="1:5">
      <c r="A19" t="s">
        <v>54</v>
      </c>
      <c r="B19" t="s">
        <v>185</v>
      </c>
      <c r="C19" t="b">
        <f>TRUE()</f>
        <v>1</v>
      </c>
      <c r="E19" t="b">
        <f>TRUE()</f>
        <v>1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137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 ht="31.35">
      <c r="A24" t="s">
        <v>63</v>
      </c>
      <c r="B24" s="2" t="s">
        <v>186</v>
      </c>
      <c r="C24" t="b">
        <f>FALSE()</f>
        <v>0</v>
      </c>
      <c r="E24" t="b">
        <f>FALSE()</f>
        <v>0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159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187</v>
      </c>
      <c r="C30" t="s">
        <v>8</v>
      </c>
      <c r="E30" t="s">
        <v>8</v>
      </c>
    </row>
    <row r="31" spans="1:5">
      <c r="A31" t="s">
        <v>77</v>
      </c>
      <c r="B31" t="s">
        <v>188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189</v>
      </c>
      <c r="C36" t="s">
        <v>8</v>
      </c>
      <c r="E36" t="s">
        <v>8</v>
      </c>
    </row>
    <row r="37" spans="1:5">
      <c r="A37" t="s">
        <v>89</v>
      </c>
      <c r="B37" t="s">
        <v>90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144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96</v>
      </c>
      <c r="C40" t="b">
        <f>TRUE()</f>
        <v>1</v>
      </c>
      <c r="E40" t="b">
        <f>TRUE()</f>
        <v>1</v>
      </c>
    </row>
    <row r="41" spans="1:5">
      <c r="A41" t="s">
        <v>97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190</v>
      </c>
      <c r="C42" t="b">
        <f>FALSE()</f>
        <v>0</v>
      </c>
      <c r="E42" t="b">
        <f>FALSE()</f>
        <v>0</v>
      </c>
    </row>
    <row r="43" spans="1:5">
      <c r="A43" t="s">
        <v>101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102</v>
      </c>
      <c r="B44" t="s">
        <v>103</v>
      </c>
      <c r="C44" t="b">
        <f>TRUE()</f>
        <v>1</v>
      </c>
      <c r="E44" t="b">
        <f>TRUE()</f>
        <v>1</v>
      </c>
    </row>
    <row r="45" spans="1:5">
      <c r="A45" t="s">
        <v>104</v>
      </c>
      <c r="B45" t="s">
        <v>105</v>
      </c>
      <c r="C45" t="b">
        <f>TRUE()</f>
        <v>1</v>
      </c>
      <c r="E45" t="b">
        <f>TRUE()</f>
        <v>1</v>
      </c>
    </row>
    <row r="46" spans="1:5">
      <c r="A46" t="s">
        <v>106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107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108</v>
      </c>
      <c r="B48" t="s">
        <v>111</v>
      </c>
      <c r="C48" t="b">
        <f>FALSE()</f>
        <v>0</v>
      </c>
      <c r="E48" t="b">
        <f>FALSE()</f>
        <v>0</v>
      </c>
    </row>
    <row r="49" spans="1:5">
      <c r="A49" t="s">
        <v>110</v>
      </c>
      <c r="B49" t="s">
        <v>111</v>
      </c>
      <c r="C49" t="b">
        <f>TRUE()</f>
        <v>1</v>
      </c>
      <c r="E49" t="b">
        <f>TRUE()</f>
        <v>1</v>
      </c>
    </row>
    <row r="50" spans="1:5">
      <c r="A50" t="s">
        <v>112</v>
      </c>
      <c r="B50" t="s">
        <v>191</v>
      </c>
      <c r="C50" t="b">
        <f>FALSE()</f>
        <v>0</v>
      </c>
      <c r="E50" t="b">
        <f>FALSE()</f>
        <v>0</v>
      </c>
    </row>
    <row r="51" spans="1:5">
      <c r="A51" t="s">
        <v>114</v>
      </c>
      <c r="B51" t="s">
        <v>148</v>
      </c>
      <c r="C51" t="b">
        <f>TRUE()</f>
        <v>1</v>
      </c>
      <c r="E51" t="b">
        <f>TRUE()</f>
        <v>1</v>
      </c>
    </row>
    <row r="52" spans="1:5">
      <c r="A52" t="s">
        <v>116</v>
      </c>
      <c r="B52" t="s">
        <v>117</v>
      </c>
      <c r="C52" t="b">
        <f>TRUE()</f>
        <v>1</v>
      </c>
      <c r="E52" t="b">
        <f>TRUE()</f>
        <v>1</v>
      </c>
    </row>
    <row r="53" spans="1:5">
      <c r="A53" t="s">
        <v>118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119</v>
      </c>
      <c r="B54" t="s">
        <v>192</v>
      </c>
      <c r="C54" t="b">
        <f>FALSE()</f>
        <v>0</v>
      </c>
      <c r="E54" t="b">
        <f>FALSE()</f>
        <v>0</v>
      </c>
    </row>
    <row r="55" spans="1:5">
      <c r="A55" t="s">
        <v>121</v>
      </c>
      <c r="B55" t="s">
        <v>193</v>
      </c>
      <c r="C55" t="b">
        <f>TRUE()</f>
        <v>1</v>
      </c>
      <c r="E55" t="b">
        <f>TRUE()</f>
        <v>1</v>
      </c>
    </row>
    <row r="56" spans="1:5">
      <c r="A56" t="s">
        <v>122</v>
      </c>
      <c r="B56" t="s">
        <v>123</v>
      </c>
      <c r="C56" t="b">
        <f>TRUE()</f>
        <v>1</v>
      </c>
      <c r="E56" t="b">
        <f>TRUE()</f>
        <v>1</v>
      </c>
    </row>
    <row r="57" spans="1:5">
      <c r="A57" t="s">
        <v>124</v>
      </c>
      <c r="B57" t="s">
        <v>194</v>
      </c>
      <c r="C57" t="b">
        <f>TRUE()</f>
        <v>1</v>
      </c>
      <c r="E57" t="b">
        <f>TRUE()</f>
        <v>1</v>
      </c>
    </row>
    <row r="58" spans="1:5">
      <c r="A58" t="s">
        <v>126</v>
      </c>
      <c r="B58" t="s">
        <v>127</v>
      </c>
      <c r="C58" t="b">
        <f>TRUE()</f>
        <v>1</v>
      </c>
      <c r="E58" t="b">
        <f>TRUE()</f>
        <v>1</v>
      </c>
    </row>
    <row r="59" spans="1:5">
      <c r="A59" t="s">
        <v>128</v>
      </c>
      <c r="B59" t="s">
        <v>98</v>
      </c>
      <c r="C59" t="b">
        <f>TRUE()</f>
        <v>1</v>
      </c>
      <c r="E59" t="b">
        <f>TRUE()</f>
        <v>1</v>
      </c>
    </row>
    <row r="60" spans="1:5">
      <c r="A60" t="s">
        <v>129</v>
      </c>
      <c r="B60" t="s">
        <v>195</v>
      </c>
      <c r="C60" t="s">
        <v>8</v>
      </c>
      <c r="E60" t="s">
        <v>8</v>
      </c>
    </row>
    <row r="61" spans="1:5">
      <c r="A61" t="s">
        <v>131</v>
      </c>
      <c r="B61" t="s">
        <v>196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topLeftCell="A41" zoomScale="90" zoomScaleNormal="90" workbookViewId="0">
      <selection activeCell="E1" sqref="E1"/>
    </sheetView>
  </sheetViews>
  <sheetFormatPr defaultColWidth="8.5703125" defaultRowHeight="15"/>
  <cols>
    <col min="1" max="1" width="45.140625" customWidth="1"/>
    <col min="2" max="2" width="25.28515625" customWidth="1"/>
    <col min="5" max="5" width="13.28515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3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197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198</v>
      </c>
      <c r="C11" t="b">
        <f>TRUE()</f>
        <v>1</v>
      </c>
      <c r="E11" t="b">
        <f>TRUE()</f>
        <v>1</v>
      </c>
    </row>
    <row r="12" spans="1:5" ht="46.35">
      <c r="A12" t="s">
        <v>41</v>
      </c>
      <c r="B12" s="2" t="s">
        <v>199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66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 ht="31.35">
      <c r="A18" t="s">
        <v>52</v>
      </c>
      <c r="B18" s="2" t="s">
        <v>200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33</v>
      </c>
      <c r="C19" t="b">
        <f>TRUE()</f>
        <v>1</v>
      </c>
      <c r="E19" t="b">
        <f>TRUE()</f>
        <v>1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137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138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66</v>
      </c>
      <c r="C25" t="b">
        <f>TRUE()</f>
        <v>1</v>
      </c>
      <c r="E25" t="b">
        <f>TRUE()</f>
        <v>1</v>
      </c>
    </row>
    <row r="26" spans="1:5">
      <c r="A26" t="s">
        <v>67</v>
      </c>
      <c r="B26" t="s">
        <v>159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74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201</v>
      </c>
      <c r="C30" t="s">
        <v>8</v>
      </c>
      <c r="E30" t="s">
        <v>8</v>
      </c>
    </row>
    <row r="31" spans="1:5">
      <c r="A31" t="s">
        <v>77</v>
      </c>
      <c r="B31" t="s">
        <v>140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141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160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144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96</v>
      </c>
      <c r="C40" t="b">
        <f>TRUE()</f>
        <v>1</v>
      </c>
      <c r="E40" t="b">
        <f>TRUE()</f>
        <v>1</v>
      </c>
    </row>
    <row r="41" spans="1:5">
      <c r="A41" t="s">
        <v>97</v>
      </c>
      <c r="B41" t="s">
        <v>98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101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102</v>
      </c>
      <c r="B44" t="s">
        <v>103</v>
      </c>
      <c r="C44" t="b">
        <f>TRUE()</f>
        <v>1</v>
      </c>
      <c r="E44" t="b">
        <f>TRUE()</f>
        <v>1</v>
      </c>
    </row>
    <row r="45" spans="1:5">
      <c r="A45" t="s">
        <v>104</v>
      </c>
      <c r="B45" t="s">
        <v>105</v>
      </c>
      <c r="C45" t="b">
        <f>TRUE()</f>
        <v>1</v>
      </c>
      <c r="E45" t="b">
        <f>TRUE()</f>
        <v>1</v>
      </c>
    </row>
    <row r="46" spans="1:5">
      <c r="A46" t="s">
        <v>106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107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108</v>
      </c>
      <c r="B48" t="s">
        <v>109</v>
      </c>
      <c r="C48" t="b">
        <f>TRUE()</f>
        <v>1</v>
      </c>
      <c r="E48" t="b">
        <f>TRUE()</f>
        <v>1</v>
      </c>
    </row>
    <row r="49" spans="1:5">
      <c r="A49" t="s">
        <v>110</v>
      </c>
      <c r="B49" t="s">
        <v>111</v>
      </c>
      <c r="C49" t="b">
        <f>TRUE()</f>
        <v>1</v>
      </c>
      <c r="E49" t="b">
        <f>TRUE()</f>
        <v>1</v>
      </c>
    </row>
    <row r="50" spans="1:5">
      <c r="A50" t="s">
        <v>112</v>
      </c>
      <c r="B50" t="s">
        <v>147</v>
      </c>
      <c r="C50" t="b">
        <f>TRUE()</f>
        <v>1</v>
      </c>
      <c r="E50" t="b">
        <f>TRUE()</f>
        <v>1</v>
      </c>
    </row>
    <row r="51" spans="1:5">
      <c r="A51" t="s">
        <v>114</v>
      </c>
      <c r="B51" t="s">
        <v>115</v>
      </c>
      <c r="C51" t="b">
        <f>TRUE()</f>
        <v>1</v>
      </c>
      <c r="E51" t="b">
        <f>TRUE()</f>
        <v>1</v>
      </c>
    </row>
    <row r="52" spans="1:5">
      <c r="A52" t="s">
        <v>116</v>
      </c>
      <c r="B52" t="s">
        <v>117</v>
      </c>
      <c r="C52" t="b">
        <f>TRUE()</f>
        <v>1</v>
      </c>
      <c r="E52" t="b">
        <f>TRUE()</f>
        <v>1</v>
      </c>
    </row>
    <row r="53" spans="1:5">
      <c r="A53" t="s">
        <v>118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119</v>
      </c>
      <c r="B54" t="s">
        <v>178</v>
      </c>
      <c r="C54" t="b">
        <f>TRUE()</f>
        <v>1</v>
      </c>
      <c r="E54" t="b">
        <f>TRUE()</f>
        <v>1</v>
      </c>
    </row>
    <row r="55" spans="1:5">
      <c r="A55" t="s">
        <v>121</v>
      </c>
      <c r="B55" t="s">
        <v>111</v>
      </c>
      <c r="C55" t="b">
        <f>FALSE()</f>
        <v>0</v>
      </c>
      <c r="E55" t="b">
        <f>FALSE()</f>
        <v>0</v>
      </c>
    </row>
    <row r="56" spans="1:5">
      <c r="A56" t="s">
        <v>122</v>
      </c>
      <c r="B56" t="s">
        <v>123</v>
      </c>
      <c r="C56" t="b">
        <f>TRUE()</f>
        <v>1</v>
      </c>
      <c r="E56" t="b">
        <f>TRUE()</f>
        <v>1</v>
      </c>
    </row>
    <row r="57" spans="1:5">
      <c r="A57" t="s">
        <v>124</v>
      </c>
      <c r="B57" t="s">
        <v>125</v>
      </c>
      <c r="C57" t="b">
        <f>TRUE()</f>
        <v>1</v>
      </c>
      <c r="E57" t="b">
        <f>TRUE()</f>
        <v>1</v>
      </c>
    </row>
    <row r="58" spans="1:5">
      <c r="A58" t="s">
        <v>126</v>
      </c>
      <c r="B58" t="s">
        <v>127</v>
      </c>
      <c r="C58" t="b">
        <f>TRUE()</f>
        <v>1</v>
      </c>
      <c r="E58" t="b">
        <f>TRUE()</f>
        <v>1</v>
      </c>
    </row>
    <row r="59" spans="1:5">
      <c r="A59" t="s">
        <v>128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129</v>
      </c>
      <c r="B60" t="s">
        <v>202</v>
      </c>
      <c r="C60" t="b">
        <f>TRUE()</f>
        <v>1</v>
      </c>
      <c r="E60" t="b">
        <f>TRUE()</f>
        <v>1</v>
      </c>
    </row>
    <row r="61" spans="1:5">
      <c r="A61" t="s">
        <v>131</v>
      </c>
      <c r="B61" t="s">
        <v>203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zoomScale="90" zoomScaleNormal="90" workbookViewId="0">
      <selection activeCell="B35" sqref="B35"/>
    </sheetView>
  </sheetViews>
  <sheetFormatPr defaultColWidth="8.5703125" defaultRowHeight="15"/>
  <cols>
    <col min="1" max="1" width="42.140625" customWidth="1"/>
    <col min="2" max="2" width="33.85546875" customWidth="1"/>
    <col min="5" max="5" width="13.28515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3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204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205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206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204</v>
      </c>
      <c r="C11" t="b">
        <f>TRUE()</f>
        <v>1</v>
      </c>
      <c r="E11" t="b">
        <f>TRUE()</f>
        <v>1</v>
      </c>
    </row>
    <row r="12" spans="1:5" ht="31.35">
      <c r="A12" t="s">
        <v>41</v>
      </c>
      <c r="B12" s="2" t="s">
        <v>42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176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207</v>
      </c>
      <c r="C14" t="b">
        <f>FALSE()</f>
        <v>0</v>
      </c>
      <c r="E14" t="b">
        <f>FALSE()</f>
        <v>0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208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204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53</v>
      </c>
      <c r="C18" t="b">
        <f>FALSE()</f>
        <v>0</v>
      </c>
      <c r="E18" t="b">
        <f>FALSE()</f>
        <v>0</v>
      </c>
    </row>
    <row r="19" spans="1:5">
      <c r="A19" t="s">
        <v>54</v>
      </c>
      <c r="B19" t="s">
        <v>135</v>
      </c>
      <c r="C19" t="b">
        <f>FALSE()</f>
        <v>0</v>
      </c>
      <c r="E19" t="b">
        <f>FALSE()</f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137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204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138</v>
      </c>
      <c r="C24" t="b">
        <f>TRUE()</f>
        <v>1</v>
      </c>
      <c r="E24" t="b">
        <f>TRUE()</f>
        <v>1</v>
      </c>
    </row>
    <row r="25" spans="1:5">
      <c r="A25" t="s">
        <v>65</v>
      </c>
      <c r="B25" t="s">
        <v>33</v>
      </c>
      <c r="C25" t="b">
        <f>FALSE()</f>
        <v>0</v>
      </c>
      <c r="E25" t="b">
        <f>FALSE()</f>
        <v>0</v>
      </c>
    </row>
    <row r="26" spans="1:5">
      <c r="A26" t="s">
        <v>67</v>
      </c>
      <c r="B26" t="s">
        <v>209</v>
      </c>
      <c r="C26" t="b">
        <f>FALSE()</f>
        <v>0</v>
      </c>
      <c r="E26" t="b">
        <f>FALSE()</f>
        <v>0</v>
      </c>
    </row>
    <row r="27" spans="1:5">
      <c r="A27" t="s">
        <v>69</v>
      </c>
      <c r="B27" t="s">
        <v>210</v>
      </c>
      <c r="C27" t="b">
        <f>FALSE()</f>
        <v>0</v>
      </c>
      <c r="E27" t="b">
        <f>FALSE()</f>
        <v>0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204</v>
      </c>
      <c r="C29" t="b">
        <f>TRUE()</f>
        <v>1</v>
      </c>
      <c r="E29" t="b">
        <f>TRUE()</f>
        <v>1</v>
      </c>
    </row>
    <row r="30" spans="1:5" ht="31.35">
      <c r="A30" t="s">
        <v>75</v>
      </c>
      <c r="B30" s="2" t="s">
        <v>211</v>
      </c>
      <c r="C30" t="s">
        <v>8</v>
      </c>
      <c r="E30" t="b">
        <f>FALSE()</f>
        <v>0</v>
      </c>
    </row>
    <row r="31" spans="1:5">
      <c r="A31" t="s">
        <v>77</v>
      </c>
      <c r="B31" t="s">
        <v>154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212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213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177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78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144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214</v>
      </c>
      <c r="C40" t="b">
        <f>TRUE()</f>
        <v>1</v>
      </c>
      <c r="E40" t="b">
        <f>TRUE()</f>
        <v>1</v>
      </c>
    </row>
    <row r="41" spans="1:5">
      <c r="A41" t="s">
        <v>97</v>
      </c>
      <c r="B41" t="s">
        <v>213</v>
      </c>
      <c r="C41" t="b">
        <f>TRUE()</f>
        <v>1</v>
      </c>
      <c r="E41" t="b">
        <f>TRUE()</f>
        <v>1</v>
      </c>
    </row>
    <row r="42" spans="1:5">
      <c r="A42" t="s">
        <v>99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101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102</v>
      </c>
      <c r="B44" t="s">
        <v>103</v>
      </c>
      <c r="C44" t="b">
        <f>TRUE()</f>
        <v>1</v>
      </c>
      <c r="E44" t="b">
        <f>TRUE()</f>
        <v>1</v>
      </c>
    </row>
    <row r="45" spans="1:5">
      <c r="A45" t="s">
        <v>104</v>
      </c>
      <c r="B45" t="s">
        <v>105</v>
      </c>
      <c r="C45" t="b">
        <f>TRUE()</f>
        <v>1</v>
      </c>
      <c r="E45" t="b">
        <f>TRUE()</f>
        <v>1</v>
      </c>
    </row>
    <row r="46" spans="1:5">
      <c r="A46" t="s">
        <v>106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107</v>
      </c>
      <c r="B47" t="s">
        <v>213</v>
      </c>
      <c r="C47" t="b">
        <f>TRUE()</f>
        <v>1</v>
      </c>
      <c r="E47" t="b">
        <f>TRUE()</f>
        <v>1</v>
      </c>
    </row>
    <row r="48" spans="1:5">
      <c r="A48" t="s">
        <v>108</v>
      </c>
      <c r="B48" t="s">
        <v>215</v>
      </c>
      <c r="C48" t="s">
        <v>8</v>
      </c>
      <c r="E48" t="s">
        <v>8</v>
      </c>
    </row>
    <row r="49" spans="1:5">
      <c r="A49" t="s">
        <v>110</v>
      </c>
      <c r="B49" t="s">
        <v>66</v>
      </c>
      <c r="C49" t="b">
        <f>FALSE()</f>
        <v>0</v>
      </c>
      <c r="E49" t="b">
        <f>FALSE()</f>
        <v>0</v>
      </c>
    </row>
    <row r="50" spans="1:5">
      <c r="A50" t="s">
        <v>112</v>
      </c>
      <c r="B50" t="s">
        <v>216</v>
      </c>
      <c r="C50" t="b">
        <f>FALSE()</f>
        <v>0</v>
      </c>
      <c r="E50" t="b">
        <f>FALSE()</f>
        <v>0</v>
      </c>
    </row>
    <row r="51" spans="1:5">
      <c r="A51" t="s">
        <v>114</v>
      </c>
      <c r="B51" t="s">
        <v>115</v>
      </c>
      <c r="C51" t="b">
        <f>TRUE()</f>
        <v>1</v>
      </c>
      <c r="E51" t="b">
        <f>TRUE()</f>
        <v>1</v>
      </c>
    </row>
    <row r="52" spans="1:5">
      <c r="A52" t="s">
        <v>116</v>
      </c>
      <c r="B52" t="s">
        <v>117</v>
      </c>
      <c r="C52" t="b">
        <f>TRUE()</f>
        <v>1</v>
      </c>
      <c r="E52" t="b">
        <f>TRUE()</f>
        <v>1</v>
      </c>
    </row>
    <row r="53" spans="1:5">
      <c r="A53" t="s">
        <v>118</v>
      </c>
      <c r="B53" t="s">
        <v>213</v>
      </c>
      <c r="C53" t="b">
        <f>TRUE()</f>
        <v>1</v>
      </c>
      <c r="E53" t="b">
        <f>TRUE()</f>
        <v>1</v>
      </c>
    </row>
    <row r="54" spans="1:5">
      <c r="A54" t="s">
        <v>119</v>
      </c>
      <c r="B54" t="s">
        <v>178</v>
      </c>
      <c r="C54" t="b">
        <f>TRUE()</f>
        <v>1</v>
      </c>
      <c r="E54" t="b">
        <f>TRUE()</f>
        <v>1</v>
      </c>
    </row>
    <row r="55" spans="1:5">
      <c r="A55" t="s">
        <v>121</v>
      </c>
      <c r="B55" t="s">
        <v>33</v>
      </c>
      <c r="C55" t="b">
        <f>FALSE()</f>
        <v>0</v>
      </c>
      <c r="E55" t="b">
        <f>FALSE()</f>
        <v>0</v>
      </c>
    </row>
    <row r="56" spans="1:5">
      <c r="A56" t="s">
        <v>122</v>
      </c>
      <c r="B56" t="s">
        <v>216</v>
      </c>
      <c r="C56" t="b">
        <f>FALSE()</f>
        <v>0</v>
      </c>
      <c r="E56" t="b">
        <f>FALSE()</f>
        <v>0</v>
      </c>
    </row>
    <row r="57" spans="1:5">
      <c r="A57" t="s">
        <v>124</v>
      </c>
      <c r="B57" t="s">
        <v>125</v>
      </c>
      <c r="C57" t="b">
        <f>TRUE()</f>
        <v>1</v>
      </c>
      <c r="E57" t="b">
        <f>TRUE()</f>
        <v>1</v>
      </c>
    </row>
    <row r="58" spans="1:5">
      <c r="A58" t="s">
        <v>126</v>
      </c>
      <c r="B58" t="s">
        <v>127</v>
      </c>
      <c r="C58" t="b">
        <f>TRUE()</f>
        <v>1</v>
      </c>
      <c r="E58" t="b">
        <f>TRUE()</f>
        <v>1</v>
      </c>
    </row>
    <row r="59" spans="1:5">
      <c r="A59" t="s">
        <v>128</v>
      </c>
      <c r="B59" t="s">
        <v>213</v>
      </c>
      <c r="C59" t="b">
        <f>TRUE()</f>
        <v>1</v>
      </c>
      <c r="E59" t="b">
        <f>TRUE()</f>
        <v>1</v>
      </c>
    </row>
    <row r="60" spans="1:5">
      <c r="A60" t="s">
        <v>129</v>
      </c>
      <c r="B60" t="s">
        <v>217</v>
      </c>
      <c r="C60" t="s">
        <v>8</v>
      </c>
      <c r="E60" t="s">
        <v>8</v>
      </c>
    </row>
    <row r="61" spans="1:5">
      <c r="A61" t="s">
        <v>131</v>
      </c>
      <c r="B61" t="s">
        <v>218</v>
      </c>
      <c r="C61" t="b">
        <f>FALSE()</f>
        <v>0</v>
      </c>
      <c r="E6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topLeftCell="A26" zoomScale="90" zoomScaleNormal="90" workbookViewId="0">
      <selection activeCell="E37" sqref="E37"/>
    </sheetView>
  </sheetViews>
  <sheetFormatPr defaultColWidth="8.5703125" defaultRowHeight="15"/>
  <cols>
    <col min="1" max="1" width="42.7109375" style="3" customWidth="1"/>
    <col min="2" max="2" width="39.140625" style="3" customWidth="1"/>
    <col min="3" max="4" width="8.5703125" style="3"/>
    <col min="5" max="5" width="12.7109375" style="3" customWidth="1"/>
    <col min="6" max="16384" width="8.5703125" style="3"/>
  </cols>
  <sheetData>
    <row r="1" spans="1:5">
      <c r="A1" s="1" t="s">
        <v>17</v>
      </c>
      <c r="B1" s="1" t="s">
        <v>18</v>
      </c>
      <c r="C1" s="3" t="s">
        <v>19</v>
      </c>
      <c r="D1" s="3" t="s">
        <v>20</v>
      </c>
      <c r="E1" s="3" t="s">
        <v>21</v>
      </c>
    </row>
    <row r="2" spans="1:5">
      <c r="A2" s="3" t="s">
        <v>22</v>
      </c>
      <c r="B2" s="3" t="s">
        <v>23</v>
      </c>
      <c r="C2" s="3" t="b">
        <f>TRUE()</f>
        <v>1</v>
      </c>
      <c r="E2" s="3" t="b">
        <f>TRUE()</f>
        <v>1</v>
      </c>
    </row>
    <row r="3" spans="1:5">
      <c r="A3" s="3" t="s">
        <v>24</v>
      </c>
      <c r="B3" s="3" t="s">
        <v>25</v>
      </c>
      <c r="C3" s="3" t="b">
        <f>TRUE()</f>
        <v>1</v>
      </c>
      <c r="E3" s="3" t="b">
        <f>TRUE()</f>
        <v>1</v>
      </c>
    </row>
    <row r="4" spans="1:5">
      <c r="A4" s="3" t="s">
        <v>26</v>
      </c>
      <c r="B4" s="3" t="s">
        <v>27</v>
      </c>
      <c r="C4" s="3" t="b">
        <f>TRUE()</f>
        <v>1</v>
      </c>
      <c r="E4" s="3" t="b">
        <f>TRUE()</f>
        <v>1</v>
      </c>
    </row>
    <row r="5" spans="1:5">
      <c r="A5" s="3" t="s">
        <v>28</v>
      </c>
      <c r="B5" s="3" t="s">
        <v>204</v>
      </c>
      <c r="C5" s="3" t="b">
        <f>TRUE()</f>
        <v>1</v>
      </c>
      <c r="E5" s="3" t="b">
        <f>TRUE()</f>
        <v>1</v>
      </c>
    </row>
    <row r="6" spans="1:5" ht="31.35">
      <c r="A6" s="3" t="s">
        <v>30</v>
      </c>
      <c r="B6" s="4" t="s">
        <v>219</v>
      </c>
      <c r="C6" s="3" t="s">
        <v>8</v>
      </c>
      <c r="E6" s="3" t="b">
        <f>FALSE()</f>
        <v>0</v>
      </c>
    </row>
    <row r="7" spans="1:5">
      <c r="A7" s="3" t="s">
        <v>32</v>
      </c>
      <c r="B7" s="3" t="s">
        <v>220</v>
      </c>
      <c r="C7" s="3" t="b">
        <f>FALSE()</f>
        <v>0</v>
      </c>
      <c r="E7" s="3" t="b">
        <f>FALSE()</f>
        <v>0</v>
      </c>
    </row>
    <row r="8" spans="1:5">
      <c r="A8" s="3" t="s">
        <v>34</v>
      </c>
      <c r="B8" s="3" t="s">
        <v>210</v>
      </c>
      <c r="C8" s="3" t="b">
        <f>FALSE()</f>
        <v>0</v>
      </c>
      <c r="E8" s="3" t="b">
        <f>FALSE()</f>
        <v>0</v>
      </c>
    </row>
    <row r="9" spans="1:5">
      <c r="A9" s="3" t="s">
        <v>36</v>
      </c>
      <c r="B9" s="3" t="s">
        <v>37</v>
      </c>
      <c r="C9" s="3" t="b">
        <f>TRUE()</f>
        <v>1</v>
      </c>
      <c r="E9" s="3" t="b">
        <f>TRUE()</f>
        <v>1</v>
      </c>
    </row>
    <row r="10" spans="1:5">
      <c r="A10" s="3" t="s">
        <v>38</v>
      </c>
      <c r="B10" s="3" t="s">
        <v>210</v>
      </c>
      <c r="C10" s="3" t="b">
        <f>FALSE()</f>
        <v>0</v>
      </c>
      <c r="E10" s="3" t="b">
        <f>FALSE()</f>
        <v>0</v>
      </c>
    </row>
    <row r="11" spans="1:5">
      <c r="A11" s="3" t="s">
        <v>40</v>
      </c>
      <c r="B11" s="3" t="s">
        <v>204</v>
      </c>
      <c r="C11" s="3" t="b">
        <f>TRUE()</f>
        <v>1</v>
      </c>
      <c r="E11" s="3" t="b">
        <f>TRUE()</f>
        <v>1</v>
      </c>
    </row>
    <row r="12" spans="1:5" ht="31.35">
      <c r="A12" s="3" t="s">
        <v>41</v>
      </c>
      <c r="B12" s="4" t="s">
        <v>221</v>
      </c>
      <c r="C12" s="3" t="s">
        <v>8</v>
      </c>
      <c r="E12" s="3" t="b">
        <f>FALSE()</f>
        <v>0</v>
      </c>
    </row>
    <row r="13" spans="1:5">
      <c r="A13" s="3" t="s">
        <v>43</v>
      </c>
      <c r="B13" s="3" t="s">
        <v>135</v>
      </c>
      <c r="C13" s="3" t="b">
        <f>FALSE()</f>
        <v>0</v>
      </c>
      <c r="E13" s="3" t="b">
        <f>FALSE()</f>
        <v>0</v>
      </c>
    </row>
    <row r="14" spans="1:5">
      <c r="A14" s="3" t="s">
        <v>45</v>
      </c>
      <c r="B14" s="3" t="s">
        <v>46</v>
      </c>
      <c r="C14" s="3" t="b">
        <f>TRUE()</f>
        <v>1</v>
      </c>
      <c r="E14" s="3" t="b">
        <f>TRUE()</f>
        <v>1</v>
      </c>
    </row>
    <row r="15" spans="1:5">
      <c r="A15" s="3" t="s">
        <v>47</v>
      </c>
      <c r="B15" s="3" t="s">
        <v>155</v>
      </c>
      <c r="C15" s="3" t="b">
        <f>TRUE()</f>
        <v>1</v>
      </c>
      <c r="E15" s="3" t="b">
        <f>TRUE()</f>
        <v>1</v>
      </c>
    </row>
    <row r="16" spans="1:5">
      <c r="A16" s="3" t="s">
        <v>49</v>
      </c>
      <c r="B16" s="3" t="s">
        <v>208</v>
      </c>
      <c r="C16" s="3" t="b">
        <f>TRUE()</f>
        <v>1</v>
      </c>
      <c r="E16" s="3" t="b">
        <f>TRUE()</f>
        <v>1</v>
      </c>
    </row>
    <row r="17" spans="1:5">
      <c r="A17" s="3" t="s">
        <v>51</v>
      </c>
      <c r="B17" s="3" t="s">
        <v>204</v>
      </c>
      <c r="C17" s="3" t="b">
        <f>TRUE()</f>
        <v>1</v>
      </c>
      <c r="E17" s="3" t="b">
        <f>TRUE()</f>
        <v>1</v>
      </c>
    </row>
    <row r="18" spans="1:5">
      <c r="A18" s="3" t="s">
        <v>52</v>
      </c>
      <c r="B18" s="3" t="s">
        <v>222</v>
      </c>
      <c r="C18" s="3" t="b">
        <f>FALSE()</f>
        <v>0</v>
      </c>
      <c r="E18" s="3" t="b">
        <f>FALSE()</f>
        <v>0</v>
      </c>
    </row>
    <row r="19" spans="1:5">
      <c r="A19" s="3" t="s">
        <v>54</v>
      </c>
      <c r="B19" s="3" t="s">
        <v>173</v>
      </c>
      <c r="C19" s="3" t="b">
        <f>FALSE()</f>
        <v>0</v>
      </c>
      <c r="E19" s="3" t="b">
        <f>FALSE()</f>
        <v>0</v>
      </c>
    </row>
    <row r="20" spans="1:5">
      <c r="A20" s="3" t="s">
        <v>56</v>
      </c>
      <c r="B20" s="3" t="s">
        <v>223</v>
      </c>
      <c r="C20" s="3" t="b">
        <f>FALSE()</f>
        <v>0</v>
      </c>
      <c r="E20" s="3" t="b">
        <f>FALSE()</f>
        <v>0</v>
      </c>
    </row>
    <row r="21" spans="1:5">
      <c r="A21" s="3" t="s">
        <v>58</v>
      </c>
      <c r="B21" s="3" t="s">
        <v>59</v>
      </c>
      <c r="C21" s="3" t="b">
        <f>TRUE()</f>
        <v>1</v>
      </c>
      <c r="E21" s="3" t="b">
        <f>TRUE()</f>
        <v>1</v>
      </c>
    </row>
    <row r="22" spans="1:5">
      <c r="A22" s="3" t="s">
        <v>60</v>
      </c>
      <c r="B22" s="3" t="s">
        <v>61</v>
      </c>
      <c r="C22" s="3" t="b">
        <f>TRUE()</f>
        <v>1</v>
      </c>
      <c r="E22" s="3" t="b">
        <f>TRUE()</f>
        <v>1</v>
      </c>
    </row>
    <row r="23" spans="1:5">
      <c r="A23" s="3" t="s">
        <v>62</v>
      </c>
      <c r="B23" s="3" t="s">
        <v>204</v>
      </c>
      <c r="C23" s="3" t="b">
        <f>TRUE()</f>
        <v>1</v>
      </c>
      <c r="E23" s="3" t="b">
        <f>TRUE()</f>
        <v>1</v>
      </c>
    </row>
    <row r="24" spans="1:5">
      <c r="A24" s="3" t="s">
        <v>63</v>
      </c>
      <c r="B24" s="3" t="s">
        <v>224</v>
      </c>
      <c r="C24" s="3" t="b">
        <f>FALSE()</f>
        <v>0</v>
      </c>
      <c r="E24" s="3" t="b">
        <f>FALSE()</f>
        <v>0</v>
      </c>
    </row>
    <row r="25" spans="1:5">
      <c r="A25" s="3" t="s">
        <v>65</v>
      </c>
      <c r="B25" s="3" t="s">
        <v>225</v>
      </c>
      <c r="C25" s="3" t="b">
        <f>FALSE()</f>
        <v>0</v>
      </c>
      <c r="E25" s="3" t="b">
        <f>FALSE()</f>
        <v>0</v>
      </c>
    </row>
    <row r="26" spans="1:5">
      <c r="A26" s="3" t="s">
        <v>67</v>
      </c>
      <c r="B26" s="3" t="s">
        <v>210</v>
      </c>
      <c r="C26" s="3" t="b">
        <f>FALSE()</f>
        <v>0</v>
      </c>
      <c r="E26" s="3" t="b">
        <f>FALSE()</f>
        <v>0</v>
      </c>
    </row>
    <row r="27" spans="1:5">
      <c r="A27" s="3" t="s">
        <v>69</v>
      </c>
      <c r="B27" s="3" t="s">
        <v>210</v>
      </c>
      <c r="C27" s="3" t="b">
        <f>FALSE()</f>
        <v>0</v>
      </c>
      <c r="E27" s="3" t="b">
        <f>FALSE()</f>
        <v>0</v>
      </c>
    </row>
    <row r="28" spans="1:5">
      <c r="A28" s="3" t="s">
        <v>71</v>
      </c>
      <c r="B28" s="3" t="s">
        <v>72</v>
      </c>
      <c r="C28" s="3" t="b">
        <f>TRUE()</f>
        <v>1</v>
      </c>
      <c r="E28" s="3" t="b">
        <f>TRUE()</f>
        <v>1</v>
      </c>
    </row>
    <row r="29" spans="1:5">
      <c r="A29" s="3" t="s">
        <v>73</v>
      </c>
      <c r="B29" s="3" t="s">
        <v>204</v>
      </c>
      <c r="C29" s="3" t="b">
        <f>TRUE()</f>
        <v>1</v>
      </c>
      <c r="E29" s="3" t="b">
        <f>TRUE()</f>
        <v>1</v>
      </c>
    </row>
    <row r="30" spans="1:5" ht="31.35">
      <c r="A30" s="3" t="s">
        <v>75</v>
      </c>
      <c r="B30" s="4" t="s">
        <v>226</v>
      </c>
      <c r="C30" s="3" t="b">
        <f>FALSE()</f>
        <v>0</v>
      </c>
      <c r="E30" s="3" t="b">
        <f>FALSE()</f>
        <v>0</v>
      </c>
    </row>
    <row r="31" spans="1:5" ht="31.35">
      <c r="A31" s="3" t="s">
        <v>77</v>
      </c>
      <c r="B31" s="4" t="s">
        <v>227</v>
      </c>
      <c r="C31" s="3" t="b">
        <f>FALSE()</f>
        <v>0</v>
      </c>
      <c r="E31" s="3" t="b">
        <f>FALSE()</f>
        <v>0</v>
      </c>
    </row>
    <row r="32" spans="1:5">
      <c r="A32" s="3" t="s">
        <v>79</v>
      </c>
      <c r="B32" s="3" t="s">
        <v>80</v>
      </c>
      <c r="C32" s="3" t="b">
        <f>TRUE()</f>
        <v>1</v>
      </c>
      <c r="E32" s="3" t="b">
        <f>TRUE()</f>
        <v>1</v>
      </c>
    </row>
    <row r="33" spans="1:5">
      <c r="A33" s="3" t="s">
        <v>81</v>
      </c>
      <c r="B33" s="3" t="s">
        <v>82</v>
      </c>
      <c r="C33" s="3" t="b">
        <f>TRUE()</f>
        <v>1</v>
      </c>
      <c r="E33" s="3" t="b">
        <f>TRUE()</f>
        <v>1</v>
      </c>
    </row>
    <row r="34" spans="1:5">
      <c r="A34" s="3" t="s">
        <v>83</v>
      </c>
      <c r="B34" s="3" t="s">
        <v>84</v>
      </c>
      <c r="C34" s="3" t="b">
        <f>TRUE()</f>
        <v>1</v>
      </c>
      <c r="E34" s="3" t="b">
        <f>TRUE()</f>
        <v>1</v>
      </c>
    </row>
    <row r="35" spans="1:5">
      <c r="A35" s="3" t="s">
        <v>85</v>
      </c>
      <c r="B35" s="3" t="s">
        <v>213</v>
      </c>
      <c r="C35" s="3" t="b">
        <f>TRUE()</f>
        <v>1</v>
      </c>
      <c r="E35" s="3" t="b">
        <f>TRUE()</f>
        <v>1</v>
      </c>
    </row>
    <row r="36" spans="1:5">
      <c r="A36" s="3" t="s">
        <v>87</v>
      </c>
      <c r="B36" s="3" t="s">
        <v>160</v>
      </c>
      <c r="C36" s="3" t="b">
        <f>TRUE()</f>
        <v>1</v>
      </c>
      <c r="E36" s="3" t="s">
        <v>8</v>
      </c>
    </row>
    <row r="37" spans="1:5">
      <c r="A37" s="3" t="s">
        <v>89</v>
      </c>
      <c r="B37" s="3" t="s">
        <v>228</v>
      </c>
      <c r="C37" s="3" t="b">
        <f>FALSE()</f>
        <v>0</v>
      </c>
      <c r="E37" s="3" t="b">
        <f>FALSE()</f>
        <v>0</v>
      </c>
    </row>
    <row r="38" spans="1:5">
      <c r="A38" s="3" t="s">
        <v>91</v>
      </c>
      <c r="B38" s="3" t="s">
        <v>229</v>
      </c>
      <c r="C38" s="3" t="b">
        <f>FALSE()</f>
        <v>0</v>
      </c>
      <c r="E38" s="3" t="b">
        <f>FALSE()</f>
        <v>0</v>
      </c>
    </row>
    <row r="39" spans="1:5">
      <c r="A39" s="3" t="s">
        <v>93</v>
      </c>
      <c r="B39" s="3" t="s">
        <v>210</v>
      </c>
      <c r="C39" s="3" t="b">
        <f>FALSE()</f>
        <v>0</v>
      </c>
      <c r="E39" s="3" t="b">
        <f>FALSE()</f>
        <v>0</v>
      </c>
    </row>
    <row r="40" spans="1:5">
      <c r="A40" s="3" t="s">
        <v>95</v>
      </c>
      <c r="B40" s="3" t="s">
        <v>214</v>
      </c>
      <c r="C40" s="3" t="b">
        <f>TRUE()</f>
        <v>1</v>
      </c>
      <c r="E40" s="3" t="b">
        <f>TRUE()</f>
        <v>1</v>
      </c>
    </row>
    <row r="41" spans="1:5">
      <c r="A41" s="3" t="s">
        <v>97</v>
      </c>
      <c r="B41" s="3" t="s">
        <v>213</v>
      </c>
      <c r="C41" s="3" t="b">
        <f>TRUE()</f>
        <v>1</v>
      </c>
      <c r="E41" s="3" t="b">
        <f>TRUE()</f>
        <v>1</v>
      </c>
    </row>
    <row r="42" spans="1:5" ht="31.35">
      <c r="A42" s="3" t="s">
        <v>99</v>
      </c>
      <c r="B42" s="4" t="s">
        <v>230</v>
      </c>
      <c r="C42" s="3" t="b">
        <f>TRUE()</f>
        <v>1</v>
      </c>
      <c r="E42" s="3" t="s">
        <v>8</v>
      </c>
    </row>
    <row r="43" spans="1:5">
      <c r="A43" s="3" t="s">
        <v>101</v>
      </c>
      <c r="B43" s="3" t="s">
        <v>66</v>
      </c>
      <c r="C43" s="3" t="b">
        <f>TRUE()</f>
        <v>1</v>
      </c>
      <c r="E43" s="3" t="b">
        <f>TRUE()</f>
        <v>1</v>
      </c>
    </row>
    <row r="44" spans="1:5">
      <c r="A44" s="3" t="s">
        <v>102</v>
      </c>
      <c r="B44" s="3" t="s">
        <v>145</v>
      </c>
      <c r="C44" s="3" t="b">
        <f>TRUE()</f>
        <v>1</v>
      </c>
      <c r="E44" s="3" t="b">
        <f>TRUE()</f>
        <v>1</v>
      </c>
    </row>
    <row r="45" spans="1:5">
      <c r="A45" s="3" t="s">
        <v>104</v>
      </c>
      <c r="B45" s="3" t="s">
        <v>210</v>
      </c>
      <c r="C45" s="3" t="b">
        <f>FALSE()</f>
        <v>0</v>
      </c>
      <c r="E45" s="3" t="b">
        <f>FALSE()</f>
        <v>0</v>
      </c>
    </row>
    <row r="46" spans="1:5">
      <c r="A46" s="3" t="s">
        <v>106</v>
      </c>
      <c r="B46" s="3" t="s">
        <v>39</v>
      </c>
      <c r="C46" s="3" t="b">
        <f>TRUE()</f>
        <v>1</v>
      </c>
      <c r="E46" s="3" t="b">
        <f>TRUE()</f>
        <v>1</v>
      </c>
    </row>
    <row r="47" spans="1:5">
      <c r="A47" s="3" t="s">
        <v>107</v>
      </c>
      <c r="B47" s="3" t="s">
        <v>213</v>
      </c>
      <c r="C47" s="3" t="b">
        <f>TRUE()</f>
        <v>1</v>
      </c>
      <c r="E47" s="3" t="b">
        <f>TRUE()</f>
        <v>1</v>
      </c>
    </row>
    <row r="48" spans="1:5">
      <c r="A48" s="3" t="s">
        <v>108</v>
      </c>
      <c r="B48" s="3" t="s">
        <v>215</v>
      </c>
      <c r="C48" s="3" t="s">
        <v>8</v>
      </c>
      <c r="E48" s="3" t="b">
        <f>FALSE()</f>
        <v>0</v>
      </c>
    </row>
    <row r="49" spans="1:5">
      <c r="A49" s="3" t="s">
        <v>110</v>
      </c>
      <c r="B49" s="3" t="s">
        <v>66</v>
      </c>
      <c r="C49" s="3" t="b">
        <f>FALSE()</f>
        <v>0</v>
      </c>
      <c r="E49" s="3" t="b">
        <f>FALSE()</f>
        <v>0</v>
      </c>
    </row>
    <row r="50" spans="1:5">
      <c r="A50" s="3" t="s">
        <v>112</v>
      </c>
      <c r="B50" s="3" t="s">
        <v>210</v>
      </c>
      <c r="C50" s="3" t="b">
        <f>FALSE()</f>
        <v>0</v>
      </c>
      <c r="E50" s="3" t="b">
        <f>FALSE()</f>
        <v>0</v>
      </c>
    </row>
    <row r="51" spans="1:5">
      <c r="A51" s="3" t="s">
        <v>114</v>
      </c>
      <c r="B51" s="3" t="s">
        <v>210</v>
      </c>
      <c r="C51" s="3" t="b">
        <f>FALSE()</f>
        <v>0</v>
      </c>
      <c r="E51" s="3" t="b">
        <f>FALSE()</f>
        <v>0</v>
      </c>
    </row>
    <row r="52" spans="1:5">
      <c r="A52" s="3" t="s">
        <v>116</v>
      </c>
      <c r="B52" s="3" t="s">
        <v>231</v>
      </c>
      <c r="C52" s="3" t="b">
        <f>TRUE()</f>
        <v>1</v>
      </c>
      <c r="E52" s="3" t="b">
        <f>TRUE()</f>
        <v>1</v>
      </c>
    </row>
    <row r="53" spans="1:5">
      <c r="A53" s="3" t="s">
        <v>118</v>
      </c>
      <c r="B53" s="3" t="s">
        <v>213</v>
      </c>
      <c r="C53" s="3" t="b">
        <f>TRUE()</f>
        <v>1</v>
      </c>
      <c r="E53" s="3" t="b">
        <f>TRUE()</f>
        <v>1</v>
      </c>
    </row>
    <row r="54" spans="1:5">
      <c r="A54" s="3" t="s">
        <v>119</v>
      </c>
      <c r="B54" s="3" t="s">
        <v>232</v>
      </c>
      <c r="C54" s="3" t="b">
        <f>FALSE()</f>
        <v>0</v>
      </c>
      <c r="E54" s="3" t="b">
        <f>FALSE()</f>
        <v>0</v>
      </c>
    </row>
    <row r="55" spans="1:5">
      <c r="A55" s="3" t="s">
        <v>121</v>
      </c>
      <c r="B55" s="3" t="s">
        <v>233</v>
      </c>
      <c r="C55" s="3" t="b">
        <f>FALSE()</f>
        <v>0</v>
      </c>
      <c r="E55" s="3" t="b">
        <f>FALSE()</f>
        <v>0</v>
      </c>
    </row>
    <row r="56" spans="1:5">
      <c r="A56" s="3" t="s">
        <v>122</v>
      </c>
      <c r="B56" s="3" t="s">
        <v>234</v>
      </c>
      <c r="C56" s="3" t="b">
        <f>FALSE()</f>
        <v>0</v>
      </c>
      <c r="E56" s="3" t="b">
        <f>FALSE()</f>
        <v>0</v>
      </c>
    </row>
    <row r="57" spans="1:5">
      <c r="A57" s="3" t="s">
        <v>124</v>
      </c>
      <c r="B57" s="3" t="s">
        <v>125</v>
      </c>
      <c r="C57" s="3" t="b">
        <f>TRUE()</f>
        <v>1</v>
      </c>
      <c r="E57" s="3" t="b">
        <f>TRUE()</f>
        <v>1</v>
      </c>
    </row>
    <row r="58" spans="1:5">
      <c r="A58" s="3" t="s">
        <v>126</v>
      </c>
      <c r="B58" s="3" t="s">
        <v>127</v>
      </c>
      <c r="C58" s="3" t="b">
        <f>TRUE()</f>
        <v>1</v>
      </c>
      <c r="E58" s="3" t="b">
        <f>TRUE()</f>
        <v>1</v>
      </c>
    </row>
    <row r="59" spans="1:5">
      <c r="A59" s="3" t="s">
        <v>128</v>
      </c>
      <c r="B59" s="3" t="s">
        <v>213</v>
      </c>
      <c r="C59" s="3" t="b">
        <f>TRUE()</f>
        <v>1</v>
      </c>
      <c r="E59" s="3" t="b">
        <f>TRUE()</f>
        <v>1</v>
      </c>
    </row>
    <row r="60" spans="1:5">
      <c r="A60" s="3" t="s">
        <v>129</v>
      </c>
      <c r="B60" s="3" t="s">
        <v>235</v>
      </c>
      <c r="C60" s="3" t="b">
        <f>FALSE()</f>
        <v>0</v>
      </c>
      <c r="E60" s="3" t="b">
        <f>FALSE()</f>
        <v>0</v>
      </c>
    </row>
    <row r="61" spans="1:5">
      <c r="A61" s="3" t="s">
        <v>131</v>
      </c>
      <c r="B61" s="3" t="s">
        <v>236</v>
      </c>
      <c r="C61" s="3" t="b">
        <f>FALSE()</f>
        <v>0</v>
      </c>
      <c r="E61" s="3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10</cp:revision>
  <dcterms:created xsi:type="dcterms:W3CDTF">2026-06-18T10:45:27Z</dcterms:created>
  <dcterms:modified xsi:type="dcterms:W3CDTF">2026-09-16T08:01:49Z</dcterms:modified>
  <cp:category/>
  <cp:contentStatus/>
</cp:coreProperties>
</file>