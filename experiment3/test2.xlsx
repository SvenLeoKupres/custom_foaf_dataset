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163" documentId="11_8994C8C22FA60762326BE6D68DCC95F8613BD5E1" xr6:coauthVersionLast="47" xr6:coauthVersionMax="47" xr10:uidLastSave="{EAB66C24-EF0E-4802-9E03-97B3A4973E6B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I34" i="9"/>
  <c r="H34" i="9"/>
  <c r="G34" i="9"/>
  <c r="I33" i="9"/>
  <c r="H33" i="9"/>
  <c r="G33" i="9"/>
  <c r="D35" i="9"/>
  <c r="C35" i="9"/>
  <c r="B35" i="9"/>
  <c r="D34" i="9"/>
  <c r="C34" i="9"/>
  <c r="B34" i="9"/>
  <c r="D33" i="9"/>
  <c r="C33" i="9"/>
  <c r="B33" i="9"/>
  <c r="I25" i="9"/>
  <c r="H25" i="9"/>
  <c r="G25" i="9"/>
  <c r="I24" i="9"/>
  <c r="H24" i="9"/>
  <c r="G24" i="9"/>
  <c r="I23" i="9"/>
  <c r="H23" i="9"/>
  <c r="G23" i="9"/>
  <c r="D25" i="9"/>
  <c r="C25" i="9"/>
  <c r="B25" i="9"/>
  <c r="D24" i="9"/>
  <c r="C24" i="9"/>
  <c r="B24" i="9"/>
  <c r="D23" i="9"/>
  <c r="C23" i="9"/>
  <c r="B23" i="9"/>
  <c r="I15" i="9"/>
  <c r="H15" i="9"/>
  <c r="G15" i="9"/>
  <c r="I14" i="9"/>
  <c r="H14" i="9"/>
  <c r="G14" i="9"/>
  <c r="I13" i="9"/>
  <c r="H13" i="9"/>
  <c r="G13" i="9"/>
  <c r="D15" i="9"/>
  <c r="C15" i="9"/>
  <c r="B15" i="9"/>
  <c r="D14" i="9"/>
  <c r="C14" i="9"/>
  <c r="B14" i="9"/>
  <c r="D13" i="9"/>
  <c r="C13" i="9"/>
  <c r="B13" i="9"/>
  <c r="I5" i="9"/>
  <c r="H5" i="9"/>
  <c r="G5" i="9"/>
  <c r="I4" i="9"/>
  <c r="H4" i="9"/>
  <c r="G4" i="9"/>
  <c r="I3" i="9"/>
  <c r="H3" i="9"/>
  <c r="G3" i="9"/>
  <c r="D5" i="9"/>
  <c r="D45" i="9" s="1"/>
  <c r="D4" i="9"/>
  <c r="D44" i="9" s="1"/>
  <c r="C4" i="9"/>
  <c r="C44" i="9" s="1"/>
  <c r="C5" i="9"/>
  <c r="C45" i="9" s="1"/>
  <c r="B5" i="9"/>
  <c r="B45" i="9" s="1"/>
  <c r="B4" i="9"/>
  <c r="B44" i="9" s="1"/>
  <c r="D3" i="9"/>
  <c r="D43" i="9" s="1"/>
  <c r="C3" i="9"/>
  <c r="C43" i="9" s="1"/>
  <c r="B3" i="9"/>
  <c r="B6" i="9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C48" i="8"/>
  <c r="C47" i="8"/>
  <c r="C46" i="8"/>
  <c r="C45" i="8"/>
  <c r="C44" i="8"/>
  <c r="C43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5" i="7"/>
  <c r="C34" i="7"/>
  <c r="C33" i="7"/>
  <c r="C32" i="7"/>
  <c r="C31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1" i="7"/>
  <c r="C10" i="7"/>
  <c r="C9" i="7"/>
  <c r="C8" i="7"/>
  <c r="C7" i="7"/>
  <c r="C6" i="7"/>
  <c r="E5" i="7"/>
  <c r="C5" i="7"/>
  <c r="E4" i="7"/>
  <c r="C4" i="7"/>
  <c r="E3" i="7"/>
  <c r="C3" i="7"/>
  <c r="C2" i="7"/>
  <c r="C61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1" i="6"/>
  <c r="C10" i="6"/>
  <c r="C9" i="6"/>
  <c r="C8" i="6"/>
  <c r="C7" i="6"/>
  <c r="C5" i="6"/>
  <c r="C4" i="6"/>
  <c r="C3" i="6"/>
  <c r="C2" i="6"/>
  <c r="C61" i="5"/>
  <c r="C59" i="5"/>
  <c r="C58" i="5"/>
  <c r="C57" i="5"/>
  <c r="C56" i="5"/>
  <c r="C55" i="5"/>
  <c r="C54" i="5"/>
  <c r="C53" i="5"/>
  <c r="C52" i="5"/>
  <c r="C51" i="5"/>
  <c r="C50" i="5"/>
  <c r="C49" i="5"/>
  <c r="C47" i="5"/>
  <c r="C46" i="5"/>
  <c r="C45" i="5"/>
  <c r="C44" i="5"/>
  <c r="C43" i="5"/>
  <c r="C42" i="5"/>
  <c r="C41" i="5"/>
  <c r="C40" i="5"/>
  <c r="C39" i="5"/>
  <c r="C38" i="5"/>
  <c r="C37" i="5"/>
  <c r="C35" i="5"/>
  <c r="C34" i="5"/>
  <c r="C33" i="5"/>
  <c r="C32" i="5"/>
  <c r="C31" i="5"/>
  <c r="C29" i="5"/>
  <c r="C28" i="5"/>
  <c r="C27" i="5"/>
  <c r="C26" i="5"/>
  <c r="C25" i="5"/>
  <c r="C24" i="5"/>
  <c r="C23" i="5"/>
  <c r="C22" i="5"/>
  <c r="C21" i="5"/>
  <c r="C20" i="5"/>
  <c r="C19" i="5"/>
  <c r="C17" i="5"/>
  <c r="C16" i="5"/>
  <c r="C15" i="5"/>
  <c r="C14" i="5"/>
  <c r="C13" i="5"/>
  <c r="C12" i="5"/>
  <c r="C11" i="5"/>
  <c r="C10" i="5"/>
  <c r="C9" i="5"/>
  <c r="C8" i="5"/>
  <c r="C7" i="5"/>
  <c r="C5" i="5"/>
  <c r="C4" i="5"/>
  <c r="C3" i="5"/>
  <c r="C2" i="5"/>
  <c r="C61" i="4"/>
  <c r="C60" i="4"/>
  <c r="E59" i="4"/>
  <c r="C59" i="4"/>
  <c r="E58" i="4"/>
  <c r="C58" i="4"/>
  <c r="E57" i="4"/>
  <c r="C57" i="4"/>
  <c r="E56" i="4"/>
  <c r="C56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C31" i="4"/>
  <c r="E29" i="4"/>
  <c r="C29" i="4"/>
  <c r="E28" i="4"/>
  <c r="C28" i="4"/>
  <c r="E27" i="4"/>
  <c r="C27" i="4"/>
  <c r="E26" i="4"/>
  <c r="C26" i="4"/>
  <c r="C25" i="4"/>
  <c r="C24" i="4"/>
  <c r="E23" i="4"/>
  <c r="C23" i="4"/>
  <c r="E22" i="4"/>
  <c r="C22" i="4"/>
  <c r="E21" i="4"/>
  <c r="C21" i="4"/>
  <c r="E20" i="4"/>
  <c r="C20" i="4"/>
  <c r="C19" i="4"/>
  <c r="E17" i="4"/>
  <c r="C17" i="4"/>
  <c r="E16" i="4"/>
  <c r="C16" i="4"/>
  <c r="E15" i="4"/>
  <c r="C15" i="4"/>
  <c r="E14" i="4"/>
  <c r="C14" i="4"/>
  <c r="C13" i="4"/>
  <c r="C12" i="4"/>
  <c r="E11" i="4"/>
  <c r="C11" i="4"/>
  <c r="E10" i="4"/>
  <c r="C10" i="4"/>
  <c r="E9" i="4"/>
  <c r="C9" i="4"/>
  <c r="E8" i="4"/>
  <c r="C8" i="4"/>
  <c r="C7" i="4"/>
  <c r="E5" i="4"/>
  <c r="C5" i="4"/>
  <c r="E4" i="4"/>
  <c r="C4" i="4"/>
  <c r="E3" i="4"/>
  <c r="C3" i="4"/>
  <c r="E2" i="4"/>
  <c r="C2" i="4"/>
  <c r="C61" i="3"/>
  <c r="C60" i="3"/>
  <c r="E59" i="3"/>
  <c r="C59" i="3"/>
  <c r="E58" i="3"/>
  <c r="C58" i="3"/>
  <c r="E57" i="3"/>
  <c r="C57" i="3"/>
  <c r="E56" i="3"/>
  <c r="C56" i="3"/>
  <c r="C55" i="3"/>
  <c r="E53" i="3"/>
  <c r="C53" i="3"/>
  <c r="E52" i="3"/>
  <c r="C52" i="3"/>
  <c r="E51" i="3"/>
  <c r="C51" i="3"/>
  <c r="E50" i="3"/>
  <c r="C50" i="3"/>
  <c r="C49" i="3"/>
  <c r="C48" i="3"/>
  <c r="E47" i="3"/>
  <c r="C47" i="3"/>
  <c r="E46" i="3"/>
  <c r="C46" i="3"/>
  <c r="E45" i="3"/>
  <c r="C45" i="3"/>
  <c r="E44" i="3"/>
  <c r="C44" i="3"/>
  <c r="C43" i="3"/>
  <c r="E41" i="3"/>
  <c r="C41" i="3"/>
  <c r="E40" i="3"/>
  <c r="C40" i="3"/>
  <c r="E39" i="3"/>
  <c r="C39" i="3"/>
  <c r="E38" i="3"/>
  <c r="C38" i="3"/>
  <c r="C37" i="3"/>
  <c r="C36" i="3"/>
  <c r="E35" i="3"/>
  <c r="C35" i="3"/>
  <c r="E34" i="3"/>
  <c r="C34" i="3"/>
  <c r="E33" i="3"/>
  <c r="C33" i="3"/>
  <c r="E32" i="3"/>
  <c r="C32" i="3"/>
  <c r="C31" i="3"/>
  <c r="E29" i="3"/>
  <c r="C29" i="3"/>
  <c r="E28" i="3"/>
  <c r="C28" i="3"/>
  <c r="E27" i="3"/>
  <c r="C27" i="3"/>
  <c r="E26" i="3"/>
  <c r="C26" i="3"/>
  <c r="C25" i="3"/>
  <c r="E23" i="3"/>
  <c r="C23" i="3"/>
  <c r="E22" i="3"/>
  <c r="C22" i="3"/>
  <c r="E21" i="3"/>
  <c r="C21" i="3"/>
  <c r="E20" i="3"/>
  <c r="C20" i="3"/>
  <c r="C19" i="3"/>
  <c r="C18" i="3"/>
  <c r="E17" i="3"/>
  <c r="C17" i="3"/>
  <c r="E16" i="3"/>
  <c r="C16" i="3"/>
  <c r="E15" i="3"/>
  <c r="C15" i="3"/>
  <c r="E14" i="3"/>
  <c r="C14" i="3"/>
  <c r="C13" i="3"/>
  <c r="E11" i="3"/>
  <c r="C11" i="3"/>
  <c r="E10" i="3"/>
  <c r="C10" i="3"/>
  <c r="E9" i="3"/>
  <c r="C9" i="3"/>
  <c r="E8" i="3"/>
  <c r="C8" i="3"/>
  <c r="C7" i="3"/>
  <c r="E5" i="3"/>
  <c r="C5" i="3"/>
  <c r="E4" i="3"/>
  <c r="C4" i="3"/>
  <c r="E3" i="3"/>
  <c r="C3" i="3"/>
  <c r="E2" i="3"/>
  <c r="C2" i="3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3" i="1"/>
  <c r="C22" i="1"/>
  <c r="C21" i="1"/>
  <c r="C20" i="1"/>
  <c r="C19" i="1"/>
  <c r="C17" i="1"/>
  <c r="C16" i="1"/>
  <c r="C15" i="1"/>
  <c r="C14" i="1"/>
  <c r="C13" i="1"/>
  <c r="C11" i="1"/>
  <c r="C10" i="1"/>
  <c r="C9" i="1"/>
  <c r="C8" i="1"/>
  <c r="C7" i="1"/>
  <c r="C5" i="1"/>
  <c r="C4" i="1"/>
  <c r="C3" i="1"/>
  <c r="C2" i="1"/>
  <c r="C61" i="2"/>
  <c r="C60" i="2"/>
  <c r="E59" i="2"/>
  <c r="C59" i="2"/>
  <c r="E58" i="2"/>
  <c r="C58" i="2"/>
  <c r="E57" i="2"/>
  <c r="C57" i="2"/>
  <c r="E56" i="2"/>
  <c r="C56" i="2"/>
  <c r="C55" i="2"/>
  <c r="C54" i="2"/>
  <c r="E53" i="2"/>
  <c r="C53" i="2"/>
  <c r="E52" i="2"/>
  <c r="C52" i="2"/>
  <c r="E51" i="2"/>
  <c r="C51" i="2"/>
  <c r="E50" i="2"/>
  <c r="C50" i="2"/>
  <c r="C49" i="2"/>
  <c r="C48" i="2"/>
  <c r="E47" i="2"/>
  <c r="C47" i="2"/>
  <c r="E46" i="2"/>
  <c r="C46" i="2"/>
  <c r="E45" i="2"/>
  <c r="C45" i="2"/>
  <c r="E44" i="2"/>
  <c r="C44" i="2"/>
  <c r="C43" i="2"/>
  <c r="C42" i="2"/>
  <c r="E41" i="2"/>
  <c r="C41" i="2"/>
  <c r="E40" i="2"/>
  <c r="C40" i="2"/>
  <c r="E39" i="2"/>
  <c r="C39" i="2"/>
  <c r="E38" i="2"/>
  <c r="C38" i="2"/>
  <c r="C37" i="2"/>
  <c r="C36" i="2"/>
  <c r="E35" i="2"/>
  <c r="C35" i="2"/>
  <c r="E34" i="2"/>
  <c r="C34" i="2"/>
  <c r="E33" i="2"/>
  <c r="C33" i="2"/>
  <c r="E32" i="2"/>
  <c r="C32" i="2"/>
  <c r="C31" i="2"/>
  <c r="E29" i="2"/>
  <c r="C29" i="2"/>
  <c r="E28" i="2"/>
  <c r="C28" i="2"/>
  <c r="E27" i="2"/>
  <c r="C27" i="2"/>
  <c r="E26" i="2"/>
  <c r="C26" i="2"/>
  <c r="C25" i="2"/>
  <c r="C24" i="2"/>
  <c r="E23" i="2"/>
  <c r="C23" i="2"/>
  <c r="E22" i="2"/>
  <c r="C22" i="2"/>
  <c r="E21" i="2"/>
  <c r="C21" i="2"/>
  <c r="E20" i="2"/>
  <c r="C20" i="2"/>
  <c r="C19" i="2"/>
  <c r="C18" i="2"/>
  <c r="E17" i="2"/>
  <c r="C17" i="2"/>
  <c r="E16" i="2"/>
  <c r="C16" i="2"/>
  <c r="E15" i="2"/>
  <c r="C15" i="2"/>
  <c r="E14" i="2"/>
  <c r="C14" i="2"/>
  <c r="C13" i="2"/>
  <c r="E11" i="2"/>
  <c r="C11" i="2"/>
  <c r="E10" i="2"/>
  <c r="C10" i="2"/>
  <c r="E9" i="2"/>
  <c r="C9" i="2"/>
  <c r="E8" i="2"/>
  <c r="C8" i="2"/>
  <c r="C7" i="2"/>
  <c r="C6" i="2"/>
  <c r="E5" i="2"/>
  <c r="C5" i="2"/>
  <c r="E4" i="2"/>
  <c r="C4" i="2"/>
  <c r="E3" i="2"/>
  <c r="C3" i="2"/>
  <c r="E2" i="2"/>
  <c r="C2" i="2"/>
  <c r="B43" i="9" l="1"/>
  <c r="M3" i="9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6" i="9"/>
  <c r="G36" i="9"/>
  <c r="B36" i="9"/>
  <c r="G26" i="9"/>
  <c r="B26" i="9"/>
  <c r="G16" i="9"/>
  <c r="B16" i="9"/>
  <c r="G6" i="9"/>
  <c r="B8" i="9"/>
  <c r="B7" i="9"/>
  <c r="B9" i="9" s="1"/>
  <c r="B48" i="9" l="1"/>
  <c r="B47" i="9"/>
  <c r="B49" i="9" s="1"/>
  <c r="G38" i="9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</calcChain>
</file>

<file path=xl/sharedStrings.xml><?xml version="1.0" encoding="utf-8"?>
<sst xmlns="http://schemas.openxmlformats.org/spreadsheetml/2006/main" count="1127" uniqueCount="231">
  <si>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</si>
  <si>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</si>
  <si>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</si>
  <si>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</si>
  <si>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</si>
  <si>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</si>
  <si>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</si>
  <si>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</si>
  <si>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</si>
  <si>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</si>
  <si>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</si>
  <si>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</si>
  <si>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</si>
  <si>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</si>
  <si>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</si>
  <si>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</si>
  <si>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</si>
  <si>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</si>
  <si>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</si>
  <si>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</si>
  <si>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</si>
  <si>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</si>
  <si>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</si>
  <si>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</si>
  <si>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</si>
  <si>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Škrtić.</t>
  </si>
  <si>
    <t>What is Saša Škrtić's age?</t>
  </si>
  <si>
    <t>17</t>
  </si>
  <si>
    <t>What is Saša Škrtić's gender?</t>
  </si>
  <si>
    <t>MALE</t>
  </si>
  <si>
    <t>List all Saša Škrtić's friends.</t>
  </si>
  <si>
    <t>0, 1, 3, 5</t>
  </si>
  <si>
    <t>How many friends does Saša Škrtić have?</t>
  </si>
  <si>
    <t>4</t>
  </si>
  <si>
    <t>What is Duje Ravlić's first name?</t>
  </si>
  <si>
    <t>Duje.</t>
  </si>
  <si>
    <t>What is Duje Ravlić's last name?</t>
  </si>
  <si>
    <t>Ravlić</t>
  </si>
  <si>
    <t>What is Duje Ravlić's age?</t>
  </si>
  <si>
    <t>18</t>
  </si>
  <si>
    <t>What is Duje Ravlić's gender?</t>
  </si>
  <si>
    <t>List all Duje Ravlić's friends.</t>
  </si>
  <si>
    <t>0, 4, 9</t>
  </si>
  <si>
    <t>How many friends does Duje Ravlić have?</t>
  </si>
  <si>
    <t>Duje has 3 friends.</t>
  </si>
  <si>
    <t>What is Eduard Tutić's first name?</t>
  </si>
  <si>
    <t>Eduard</t>
  </si>
  <si>
    <t>What is Eduard Tutić's last name?</t>
  </si>
  <si>
    <t>Tutić</t>
  </si>
  <si>
    <t>What is Eduard Tutić's age?</t>
  </si>
  <si>
    <t>21</t>
  </si>
  <si>
    <t>What is Eduard Tutić's gender?</t>
  </si>
  <si>
    <t>List all Eduard Tutić's friends.</t>
  </si>
  <si>
    <t>Friend 3, 4, 6,</t>
  </si>
  <si>
    <t>How many friends does Eduard Tutić have?</t>
  </si>
  <si>
    <t>Eduard Tutić has 8 friends</t>
  </si>
  <si>
    <t>What is Zoran Goreta's first name?</t>
  </si>
  <si>
    <t>Zoran</t>
  </si>
  <si>
    <t>What is Zoran Goreta's last name?</t>
  </si>
  <si>
    <t>Goreta</t>
  </si>
  <si>
    <t>What is Zoran Goreta's age?</t>
  </si>
  <si>
    <t>39</t>
  </si>
  <si>
    <t>What is Zoran Goreta's gender?</t>
  </si>
  <si>
    <t>List all Zoran Goreta's friends.</t>
  </si>
  <si>
    <t>0, 2</t>
  </si>
  <si>
    <t>How many friends does Zoran Goreta have?</t>
  </si>
  <si>
    <t>2</t>
  </si>
  <si>
    <t>What is Ivo Čelina's first name?</t>
  </si>
  <si>
    <t>Ivo</t>
  </si>
  <si>
    <t>What is Ivo Čelina's last name?</t>
  </si>
  <si>
    <t>Čelina</t>
  </si>
  <si>
    <t>What is Ivo Čelina's age?</t>
  </si>
  <si>
    <t>24</t>
  </si>
  <si>
    <t>What is Ivo Čelina's gender?</t>
  </si>
  <si>
    <t>List all Ivo Čelina's friends.</t>
  </si>
  <si>
    <t>Duje Ravlić, Ivo Čel</t>
  </si>
  <si>
    <t>How many friends does Ivo Čelina have?</t>
  </si>
  <si>
    <t>Ivo has 3 friends.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</si>
  <si>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</si>
  <si>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</si>
  <si>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</si>
  <si>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</si>
  <si>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</si>
  <si>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11</t>
  </si>
  <si>
    <t>What is Jagoda Draženović's gender?</t>
  </si>
  <si>
    <t>FEMALE.</t>
  </si>
  <si>
    <t>List all Jagoda Draženović's friends.</t>
  </si>
  <si>
    <t>Saša, Ivo, Jagoda</t>
  </si>
  <si>
    <t>How many friends does Jagoda Draženović have?</t>
  </si>
  <si>
    <t>What is Monika Rimac's first name?</t>
  </si>
  <si>
    <t>Monika</t>
  </si>
  <si>
    <t>What is Monika Rimac's last name?</t>
  </si>
  <si>
    <t>Rimac</t>
  </si>
  <si>
    <t>What is Monika Rimac's age?</t>
  </si>
  <si>
    <t>10</t>
  </si>
  <si>
    <t>What is Monika Rimac's gender?</t>
  </si>
  <si>
    <t>FEMALE</t>
  </si>
  <si>
    <t>List all Monika Rimac's friends.</t>
  </si>
  <si>
    <t>&lt;friend ref="2"/&gt;
&lt;friend ref="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</si>
  <si>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</si>
  <si>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</si>
  <si>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</si>
  <si>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</si>
  <si>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</si>
  <si>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</si>
  <si>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What is Mia Popić's gender?</t>
  </si>
  <si>
    <t>List all Mia Popić's friends.</t>
  </si>
  <si>
    <t>Mirjam Devčić</t>
  </si>
  <si>
    <t>How many friends does Mia Popić have?</t>
  </si>
  <si>
    <t>1</t>
  </si>
  <si>
    <t>What is Nada Sudar's first name?</t>
  </si>
  <si>
    <t>Nada</t>
  </si>
  <si>
    <t>What is Nada Sudar's last name?</t>
  </si>
  <si>
    <t>Sudar</t>
  </si>
  <si>
    <t>What is Nada Sudar's age?</t>
  </si>
  <si>
    <t>19</t>
  </si>
  <si>
    <t>What is Nada Sudar's gender?</t>
  </si>
  <si>
    <t>List all Nada Sudar's friends.</t>
  </si>
  <si>
    <t>&lt;friend ref="2"/&gt;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</si>
  <si>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</si>
  <si>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</si>
  <si>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</si>
  <si>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</si>
  <si>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</si>
  <si>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</si>
  <si>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41</t>
  </si>
  <si>
    <t>What is Mirjam Devčić's gender?</t>
  </si>
  <si>
    <t>List all Mirjam Devčić's friends.</t>
  </si>
  <si>
    <t>Duje Ravlić, Mia Popić</t>
  </si>
  <si>
    <t>How many friends does Mirjam Devčić have?</t>
  </si>
  <si>
    <t>Škrtić</t>
  </si>
  <si>
    <t>Duje Ravlić, Zoran Goreta</t>
  </si>
  <si>
    <t>Duje</t>
  </si>
  <si>
    <t>Ravlić.</t>
  </si>
  <si>
    <t>Saša Škrtić, Ivo</t>
  </si>
  <si>
    <t>8</t>
  </si>
  <si>
    <t>Tutić.</t>
  </si>
  <si>
    <t>Eduard Tutić's friends:</t>
  </si>
  <si>
    <t>6</t>
  </si>
  <si>
    <t>Saša Škrtić, Eduard</t>
  </si>
  <si>
    <t>Čelina.</t>
  </si>
  <si>
    <t>Duje Ravlić, Eduard Tuti</t>
  </si>
  <si>
    <t>7</t>
  </si>
  <si>
    <t>Jagoda.</t>
  </si>
  <si>
    <t>Sudar.</t>
  </si>
  <si>
    <t>Eduard Tutić</t>
  </si>
  <si>
    <t>MALE.</t>
  </si>
  <si>
    <t>Duje Ravlić, Jagoda Dražen</t>
  </si>
  <si>
    <t>person1: 
- person0 (#Saš</t>
  </si>
  <si>
    <t>9</t>
  </si>
  <si>
    <t>Eduard.</t>
  </si>
  <si>
    <t>Person #2 (Eduard Tutić</t>
  </si>
  <si>
    <t>Zoran's first name is Zoran.</t>
  </si>
  <si>
    <t>Goreta.</t>
  </si>
  <si>
    <t>Zoran Goreta knows person 0 and person</t>
  </si>
  <si>
    <t>3</t>
  </si>
  <si>
    <t>2.</t>
  </si>
  <si>
    <t>Monika Rimac knows person 0 (#person</t>
  </si>
  <si>
    <t>Popić.</t>
  </si>
  <si>
    <t>None, only knows person 9 (Mirjam</t>
  </si>
  <si>
    <t>Nada's first name is Nada, however</t>
  </si>
  <si>
    <t>Person 2.</t>
  </si>
  <si>
    <t>None, only 1 person (person2)</t>
  </si>
  <si>
    <t>Devčić.</t>
  </si>
  <si>
    <t>Saša.</t>
  </si>
  <si>
    <t>Duje Ravlić's friends:
1.</t>
  </si>
  <si>
    <t>1. Zoran Goreta
2. I</t>
  </si>
  <si>
    <t>Ivo.</t>
  </si>
  <si>
    <t>24.</t>
  </si>
  <si>
    <t>Rimac.</t>
  </si>
  <si>
    <t>None, only Eduard Tutić.</t>
  </si>
  <si>
    <t>0, 3, 5, 6</t>
  </si>
  <si>
    <t>Duje Ravlić's friends: 
-</t>
  </si>
  <si>
    <t>Duje Ravlić has 3 friends.</t>
  </si>
  <si>
    <t>3, 4, 6, 8</t>
  </si>
  <si>
    <t>Eduard Tutić has 4 friends</t>
  </si>
  <si>
    <t>Zoran Goreta's friends: Duje Rav</t>
  </si>
  <si>
    <t>Zoran has 2 friends.</t>
  </si>
  <si>
    <t>1, 2, 5</t>
  </si>
  <si>
    <t>Draženović.</t>
  </si>
  <si>
    <t>0, 4</t>
  </si>
  <si>
    <t>Jagoda has 2 friends.</t>
  </si>
  <si>
    <t>{"friend": "0"}, {"friend": "</t>
  </si>
  <si>
    <t>Mia.</t>
  </si>
  <si>
    <t>Mia Popić's friend is "9".</t>
  </si>
  <si>
    <t>None, "friends" key is missing in the</t>
  </si>
  <si>
    <t>1, 7</t>
  </si>
  <si>
    <t>Mirjam has 2 friends.</t>
  </si>
  <si>
    <t>Duje Ravlić's friends:
- Sa</t>
  </si>
  <si>
    <t>["Saša Škrtić", "</t>
  </si>
  <si>
    <t>["Duje Ravlić", "Edu</t>
  </si>
  <si>
    <t>Ivo Čelina has 3 friends.</t>
  </si>
  <si>
    <t>None, only "Eduard Tutić</t>
  </si>
  <si>
    <t>Mirjam Devčić's friends:
- Du</t>
  </si>
  <si>
    <t>Male.</t>
  </si>
  <si>
    <t>Saša Škrtić's friends:</t>
  </si>
  <si>
    <t>Data does not mention Duje Ravlić's</t>
  </si>
  <si>
    <t>Not mentioned.</t>
  </si>
  <si>
    <t>21 years old.</t>
  </si>
  <si>
    <t>Data does not mention Zoran Goreta's first</t>
  </si>
  <si>
    <t>3 (Saša Škrtić,</t>
  </si>
  <si>
    <t>The data does not mention Ivo Čelina</t>
  </si>
  <si>
    <t>Not available.</t>
  </si>
  <si>
    <t>Female.</t>
  </si>
  <si>
    <t>Ivo Čelina, Jagoda Dražen</t>
  </si>
  <si>
    <t>5</t>
  </si>
  <si>
    <t>Monika.</t>
  </si>
  <si>
    <t>10 years old.</t>
  </si>
  <si>
    <t>I don't have that information.</t>
  </si>
  <si>
    <t>17 years old.</t>
  </si>
  <si>
    <t>At least 6.</t>
  </si>
  <si>
    <t>There is no information about Duje Ravlić</t>
  </si>
  <si>
    <t>Not specified.</t>
  </si>
  <si>
    <t>Duje Ravlić's friends:
1.</t>
  </si>
  <si>
    <t>Duje Ravlić has 4 friends:</t>
  </si>
  <si>
    <t>Eduard Tutić's friends:
1</t>
  </si>
  <si>
    <t>Saša Škrtić, Duje</t>
  </si>
  <si>
    <t>At least 5 friends.</t>
  </si>
  <si>
    <t>The data does not provide Ivo Čelina</t>
  </si>
  <si>
    <t>There is no information about Ivo Čelina</t>
  </si>
  <si>
    <t>24 years old.</t>
  </si>
  <si>
    <t>Ivo Čelina's friends: 
1</t>
  </si>
  <si>
    <t>11 years old.</t>
  </si>
  <si>
    <t>Ivo Čelina, Duje Ravli</t>
  </si>
  <si>
    <t>There is no information about Monika Rimac's</t>
  </si>
  <si>
    <t>Monika Rimac's friends are:
1.</t>
  </si>
  <si>
    <t>Data does not mention Mia Popić's last name</t>
  </si>
  <si>
    <t>Mia Popić's friends: Mirjam Dev</t>
  </si>
  <si>
    <t>There is no information about Nada Sudar's</t>
  </si>
  <si>
    <t>Nada Sudar's friends: 
1.</t>
  </si>
  <si>
    <t>2 (Eduard Tutić and herself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</si>
</sst>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2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152E-00A0-4192-8A68-E38C01F41C23}">
  <dimension ref="A1:T49"/>
  <sheetViews>
    <sheetView tabSelected="1" workbookViewId="0">
      <selection activeCell="M4" sqref="M4:T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" bestFit="1" customWidth="1"/>
    <col min="13" max="13" width="12.57031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51</v>
      </c>
      <c r="N2">
        <f ca="1">G3+G4+G5</f>
        <v>49</v>
      </c>
      <c r="O2">
        <f ca="1">B13+B14+B15</f>
        <v>30</v>
      </c>
      <c r="P2">
        <f ca="1">G13+G14+G15</f>
        <v>41</v>
      </c>
      <c r="Q2">
        <f ca="1">B23+B24+B25</f>
        <v>48</v>
      </c>
      <c r="R2">
        <f ca="1">G23+G24+G25</f>
        <v>50</v>
      </c>
      <c r="S2">
        <f ca="1">B33+B34+B35</f>
        <v>51</v>
      </c>
      <c r="T2">
        <f ca="1">G33+G34+G35</f>
        <v>53</v>
      </c>
    </row>
    <row r="3" spans="1:20">
      <c r="A3" t="b">
        <v>1</v>
      </c>
      <c r="B3">
        <f ca="1">COUNTIFS(INDIRECT(A1 &amp; "!$C$2:$C$61"),TRUE, INDIRECT(A1 &amp; "!$E$2:$E$61"),TRUE)</f>
        <v>51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48</v>
      </c>
      <c r="H3">
        <f ca="1">COUNTIFS(INDIRECT(F1 &amp; "!$C$2:$C$61"),TRUE, INDIRECT(F1 &amp; "!$E$2:$E$61"),FALSE)</f>
        <v>4</v>
      </c>
      <c r="I3">
        <f ca="1">COUNTIFS(INDIRECT(F1 &amp; "!$C$2:$C$61"),TRUE, INDIRECT(F1 &amp; "!$E$2:$E$61"),"half true")</f>
        <v>2</v>
      </c>
      <c r="L3" t="s">
        <v>10</v>
      </c>
      <c r="M3">
        <f ca="1">SUM(B3:D3)</f>
        <v>51</v>
      </c>
      <c r="N3">
        <f ca="1">SUM(G3:I3)</f>
        <v>54</v>
      </c>
      <c r="O3">
        <f ca="1">SUM(B13:D13)</f>
        <v>31</v>
      </c>
      <c r="P3">
        <f ca="1">SUM(G13:I13)</f>
        <v>41</v>
      </c>
      <c r="Q3">
        <f ca="1">SUM(B23:D23)</f>
        <v>48</v>
      </c>
      <c r="R3">
        <f ca="1">G23+H23+I23</f>
        <v>50</v>
      </c>
      <c r="S3">
        <f ca="1">B33+C33+D33</f>
        <v>50</v>
      </c>
      <c r="T3">
        <f ca="1">G33+H33+I33</f>
        <v>53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4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1</v>
      </c>
      <c r="H4">
        <f ca="1">COUNTIFS(INDIRECT(F1 &amp; "!$C$2:$C$61"),FALSE, INDIRECT(F1 &amp; "!$E$2:$E$61"),FALSE)</f>
        <v>3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102</v>
      </c>
      <c r="N4">
        <f t="shared" ref="N4:T4" ca="1" si="0">SUM(N2:N3)</f>
        <v>103</v>
      </c>
      <c r="O4">
        <f t="shared" ca="1" si="0"/>
        <v>61</v>
      </c>
      <c r="P4">
        <f t="shared" ca="1" si="0"/>
        <v>82</v>
      </c>
      <c r="Q4">
        <f t="shared" ca="1" si="0"/>
        <v>96</v>
      </c>
      <c r="R4">
        <f t="shared" ca="1" si="0"/>
        <v>100</v>
      </c>
      <c r="S4">
        <f t="shared" ca="1" si="0"/>
        <v>101</v>
      </c>
      <c r="T4">
        <f t="shared" ca="1" si="0"/>
        <v>106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5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1</v>
      </c>
      <c r="I5">
        <f ca="1">COUNTIFS(INDIRECT(F1 &amp; "!$C$2:$C$61"),"half true", INDIRECT(F1 &amp; "!$E$2:$E$61"),"half true")</f>
        <v>1</v>
      </c>
    </row>
    <row r="6" spans="1:20">
      <c r="A6" t="s">
        <v>12</v>
      </c>
      <c r="B6">
        <f ca="1">SUM(B3:D5)</f>
        <v>60</v>
      </c>
      <c r="F6" t="s">
        <v>12</v>
      </c>
      <c r="G6">
        <f ca="1">SUM(G3:I5)</f>
        <v>60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0.8666666666666667</v>
      </c>
    </row>
    <row r="8" spans="1:20">
      <c r="A8" t="s">
        <v>14</v>
      </c>
      <c r="B8">
        <f ca="1">((SUM(B3:D3)*SUM(B3:B5))+(SUM(B4:D4)*SUM(C3:C5))+(SUM(B5:D5)*SUM(D3:D5)))/(B6^2)</f>
        <v>0.73388888888888892</v>
      </c>
      <c r="F8" t="s">
        <v>14</v>
      </c>
      <c r="G8">
        <f ca="1">((SUM(G3:I3)*SUM(G3:G5))+(SUM(G4:I4)*SUM(H3:H5))+(SUM(G5:I5)*SUM(I3:I5)))/(G6^2)</f>
        <v>0.74555555555555553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0.47598253275109187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30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1</v>
      </c>
      <c r="F13" t="b">
        <v>1</v>
      </c>
      <c r="G13">
        <f ca="1">COUNTIFS(INDIRECT(F11 &amp; "!$C$2:$C$61"),TRUE, INDIRECT(F11 &amp; "!$E$2:$E$61"),TRUE)</f>
        <v>40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1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29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1</v>
      </c>
      <c r="H14">
        <f ca="1">COUNTIFS(INDIRECT(F11 &amp; "!$C$2:$C$61"),FALSE, INDIRECT(F11 &amp; "!$E$2:$E$61"),FALSE)</f>
        <v>15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0</v>
      </c>
      <c r="D15">
        <f ca="1">COUNTIFS(INDIRECT(A11 &amp; "!$C$2:$C$61"),"half true", INDIRECT(A11 &amp; "!$E$2:$E$61"),"half true")</f>
        <v>0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3</v>
      </c>
    </row>
    <row r="16" spans="1:20">
      <c r="A16" t="s">
        <v>12</v>
      </c>
      <c r="B16">
        <f ca="1">SUM(B13:D15)</f>
        <v>60</v>
      </c>
      <c r="F16" t="s">
        <v>12</v>
      </c>
      <c r="G16">
        <f ca="1">SUM(G13:I15)</f>
        <v>60</v>
      </c>
    </row>
    <row r="17" spans="1:9">
      <c r="A17" t="s">
        <v>13</v>
      </c>
      <c r="B17">
        <f ca="1">(B13+C14+D15)/B16</f>
        <v>0.98333333333333328</v>
      </c>
      <c r="F17" t="s">
        <v>13</v>
      </c>
      <c r="G17">
        <f ca="1">(G13+H14+I15)/G16</f>
        <v>0.96666666666666667</v>
      </c>
    </row>
    <row r="18" spans="1:9">
      <c r="A18" t="s">
        <v>14</v>
      </c>
      <c r="B18">
        <f ca="1">((SUM(B13:D13)*SUM(B13:B15))+(SUM(B14:D14)*SUM(C13:C15))+(SUM(B15:D15)*SUM(D13:D15)))/(B16^2)</f>
        <v>0.49194444444444446</v>
      </c>
      <c r="F18" t="s">
        <v>14</v>
      </c>
      <c r="G18">
        <f ca="1">((SUM(G13:I13)*SUM(G13:G15))+(SUM(G14:I14)*SUM(H13:H15))+(SUM(G15:I15)*SUM(I13:I15)))/(G16^2)</f>
        <v>0.53694444444444445</v>
      </c>
    </row>
    <row r="19" spans="1:9">
      <c r="A19" t="s">
        <v>15</v>
      </c>
      <c r="B19">
        <f ca="1">(B17-B18)/(1-B18)</f>
        <v>0.9671951886276654</v>
      </c>
      <c r="F19" t="s">
        <v>15</v>
      </c>
      <c r="G19">
        <f ca="1">(G17-G18)/(1-G18)</f>
        <v>0.92801439712057587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48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50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6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7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2</v>
      </c>
      <c r="D25">
        <f ca="1">COUNTIFS(INDIRECT(A21 &amp; "!$C$2:$C$61"),"half true", INDIRECT(A21 &amp; "!$E$2:$E$61"),"half true")</f>
        <v>4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2</v>
      </c>
      <c r="I25">
        <f ca="1">COUNTIFS(INDIRECT(F21 &amp; "!$C$2:$C$61"),"half true", INDIRECT(F21 &amp; "!$E$2:$E$61"),"half true")</f>
        <v>1</v>
      </c>
    </row>
    <row r="26" spans="1:9">
      <c r="A26" t="s">
        <v>12</v>
      </c>
      <c r="B26">
        <f ca="1">SUM(B23:D25)</f>
        <v>60</v>
      </c>
      <c r="F26" t="s">
        <v>12</v>
      </c>
      <c r="G26">
        <f ca="1">SUM(G23:I25)</f>
        <v>60</v>
      </c>
    </row>
    <row r="27" spans="1:9">
      <c r="A27" t="s">
        <v>13</v>
      </c>
      <c r="B27">
        <f ca="1">(B23+C24+D25)/B26</f>
        <v>0.96666666666666667</v>
      </c>
      <c r="F27" t="s">
        <v>13</v>
      </c>
      <c r="G27">
        <f ca="1">(G23+H24+I25)/G26</f>
        <v>0.96666666666666667</v>
      </c>
    </row>
    <row r="28" spans="1:9">
      <c r="A28" t="s">
        <v>14</v>
      </c>
      <c r="B28">
        <f ca="1">((SUM(B23:D23)*SUM(B23:B25))+(SUM(B24:D24)*SUM(C23:C25))+(SUM(B25:D25)*SUM(D23:D25)))/(B26^2)</f>
        <v>0.66</v>
      </c>
      <c r="F28" t="s">
        <v>14</v>
      </c>
      <c r="G28">
        <f ca="1">((SUM(G23:I23)*SUM(G23:G25))+(SUM(G24:I24)*SUM(H23:H25))+(SUM(G25:I25)*SUM(I23:I25)))/(G26^2)</f>
        <v>0.71277777777777773</v>
      </c>
    </row>
    <row r="29" spans="1:9">
      <c r="A29" t="s">
        <v>15</v>
      </c>
      <c r="B29">
        <f ca="1">(B27-B28)/(1-B28)</f>
        <v>0.90196078431372551</v>
      </c>
      <c r="F29" t="s">
        <v>15</v>
      </c>
      <c r="G29">
        <f ca="1">(G27-G28)/(1-G28)</f>
        <v>0.88394584139264998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50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53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4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3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1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5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3</v>
      </c>
      <c r="I35">
        <f ca="1">COUNTIFS(INDIRECT(F31 &amp; "!$C$2:$C$61"),"half true", INDIRECT(F31 &amp; "!$E$2:$E$61"),"half true")</f>
        <v>1</v>
      </c>
    </row>
    <row r="36" spans="1:9">
      <c r="A36" t="s">
        <v>12</v>
      </c>
      <c r="B36">
        <f ca="1">SUM(B33:D35)</f>
        <v>60</v>
      </c>
      <c r="F36" t="s">
        <v>12</v>
      </c>
      <c r="G36">
        <f ca="1">SUM(G33:I35)</f>
        <v>60</v>
      </c>
    </row>
    <row r="37" spans="1:9">
      <c r="A37" t="s">
        <v>13</v>
      </c>
      <c r="B37">
        <f ca="1">(B33+C34+D35)/B36</f>
        <v>0.98333333333333328</v>
      </c>
      <c r="F37" t="s">
        <v>13</v>
      </c>
      <c r="G37">
        <f ca="1">(G33+H34+I35)/G36</f>
        <v>0.95</v>
      </c>
    </row>
    <row r="38" spans="1:9">
      <c r="A38" t="s">
        <v>14</v>
      </c>
      <c r="B38">
        <f ca="1">((SUM(B33:D33)*SUM(B33:B35))+(SUM(B34:D34)*SUM(C33:C35))+(SUM(B35:D35)*SUM(D33:D35)))/(B36^2)</f>
        <v>0.72111111111111115</v>
      </c>
      <c r="F38" t="s">
        <v>14</v>
      </c>
      <c r="G38">
        <f ca="1">((SUM(G33:I33)*SUM(G33:G35))+(SUM(G34:I34)*SUM(H33:H35))+(SUM(G35:I35)*SUM(I33:I35)))/(G36^2)</f>
        <v>0.78638888888888892</v>
      </c>
    </row>
    <row r="39" spans="1:9">
      <c r="A39" t="s">
        <v>15</v>
      </c>
      <c r="B39">
        <f ca="1">(B37-B38)/(1-B38)</f>
        <v>0.94023904382470103</v>
      </c>
      <c r="F39" t="s">
        <v>15</v>
      </c>
      <c r="G39">
        <f ca="1">(G37-G38)/(1-G38)</f>
        <v>0.76592977893367986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370</v>
      </c>
      <c r="C43">
        <f t="shared" ref="C43:D45" ca="1" si="1">C3+H3+C13+H13+C23+H23+C33+H33</f>
        <v>4</v>
      </c>
      <c r="D43">
        <f t="shared" ca="1" si="1"/>
        <v>4</v>
      </c>
    </row>
    <row r="44" spans="1:9">
      <c r="A44" t="b">
        <v>0</v>
      </c>
      <c r="B44">
        <f t="shared" ref="B44:B45" ca="1" si="2">B4+G4+B14+G14+B24+G24+B34+G34</f>
        <v>2</v>
      </c>
      <c r="C44">
        <f t="shared" ca="1" si="1"/>
        <v>71</v>
      </c>
      <c r="D44">
        <f t="shared" ca="1" si="1"/>
        <v>0</v>
      </c>
    </row>
    <row r="45" spans="1:9">
      <c r="A45" t="s">
        <v>8</v>
      </c>
      <c r="B45">
        <f t="shared" ca="1" si="2"/>
        <v>1</v>
      </c>
      <c r="C45">
        <f t="shared" ca="1" si="1"/>
        <v>8</v>
      </c>
      <c r="D45">
        <f t="shared" ca="1" si="1"/>
        <v>20</v>
      </c>
    </row>
    <row r="46" spans="1:9">
      <c r="A46" t="s">
        <v>12</v>
      </c>
      <c r="B46">
        <f ca="1">SUM(B43:D45)</f>
        <v>480</v>
      </c>
    </row>
    <row r="47" spans="1:9">
      <c r="A47" t="s">
        <v>13</v>
      </c>
      <c r="B47">
        <f ca="1">(B43+C44+D45)/B46</f>
        <v>0.9604166666666667</v>
      </c>
    </row>
    <row r="48" spans="1:9">
      <c r="A48" t="s">
        <v>14</v>
      </c>
      <c r="B48">
        <f ca="1">((SUM(B43:D43)*SUM(B43:B45))+(SUM(B44:D44)*SUM(C43:C45))+(SUM(B45:D45)*SUM(D43:D45)))/(B46^2)</f>
        <v>0.64127170138888889</v>
      </c>
    </row>
    <row r="49" spans="1:2">
      <c r="A49" t="s">
        <v>15</v>
      </c>
      <c r="B49">
        <f ca="1">(B47-B48)/(1-B48)</f>
        <v>0.88965650748327307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zoomScale="90" zoomScaleNormal="90" workbookViewId="0">
      <selection activeCell="E37" sqref="E37"/>
    </sheetView>
  </sheetViews>
  <sheetFormatPr defaultColWidth="8.5703125" defaultRowHeight="15"/>
  <cols>
    <col min="1" max="1" width="49" customWidth="1"/>
    <col min="2" max="2" width="25.140625" customWidth="1"/>
    <col min="5" max="5" width="14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v>1</v>
      </c>
    </row>
    <row r="3" spans="1:5">
      <c r="A3" t="s">
        <v>24</v>
      </c>
      <c r="B3" t="s">
        <v>25</v>
      </c>
      <c r="C3" t="b">
        <f>TRUE()</f>
        <v>1</v>
      </c>
      <c r="E3" t="b">
        <v>1</v>
      </c>
    </row>
    <row r="4" spans="1:5">
      <c r="A4" t="s">
        <v>26</v>
      </c>
      <c r="B4" t="s">
        <v>27</v>
      </c>
      <c r="C4" t="b">
        <f>TRUE()</f>
        <v>1</v>
      </c>
      <c r="E4" t="b">
        <v>1</v>
      </c>
    </row>
    <row r="5" spans="1:5">
      <c r="A5" t="s">
        <v>28</v>
      </c>
      <c r="B5" t="s">
        <v>29</v>
      </c>
      <c r="C5" t="b">
        <f>TRUE()</f>
        <v>1</v>
      </c>
      <c r="E5" t="b">
        <v>1</v>
      </c>
    </row>
    <row r="6" spans="1:5">
      <c r="A6" t="s">
        <v>30</v>
      </c>
      <c r="B6" t="s">
        <v>31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v>1</v>
      </c>
    </row>
    <row r="8" spans="1:5">
      <c r="A8" t="s">
        <v>34</v>
      </c>
      <c r="B8" t="s">
        <v>35</v>
      </c>
      <c r="C8" t="b">
        <f>TRUE()</f>
        <v>1</v>
      </c>
      <c r="E8" t="b">
        <v>1</v>
      </c>
    </row>
    <row r="9" spans="1:5">
      <c r="A9" t="s">
        <v>36</v>
      </c>
      <c r="B9" t="s">
        <v>37</v>
      </c>
      <c r="C9" t="b">
        <f>TRUE()</f>
        <v>1</v>
      </c>
      <c r="E9" t="b"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v>1</v>
      </c>
    </row>
    <row r="12" spans="1:5">
      <c r="A12" t="s">
        <v>41</v>
      </c>
      <c r="B12" t="s">
        <v>42</v>
      </c>
      <c r="C12" t="s">
        <v>8</v>
      </c>
      <c r="E12" t="s">
        <v>8</v>
      </c>
    </row>
    <row r="13" spans="1:5">
      <c r="A13" t="s">
        <v>43</v>
      </c>
      <c r="B13" t="s">
        <v>44</v>
      </c>
      <c r="C13" t="b">
        <f>TRUE()</f>
        <v>1</v>
      </c>
      <c r="E13" t="b"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v>1</v>
      </c>
    </row>
    <row r="18" spans="1:5">
      <c r="A18" t="s">
        <v>52</v>
      </c>
      <c r="B18" t="s">
        <v>53</v>
      </c>
      <c r="C18" t="s">
        <v>8</v>
      </c>
      <c r="E18" t="s">
        <v>8</v>
      </c>
    </row>
    <row r="19" spans="1:5">
      <c r="A19" t="s">
        <v>54</v>
      </c>
      <c r="B19" t="s">
        <v>55</v>
      </c>
      <c r="C19" t="b">
        <f>FALSE()</f>
        <v>0</v>
      </c>
      <c r="E19" t="b"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v>1</v>
      </c>
    </row>
    <row r="24" spans="1:5">
      <c r="A24" t="s">
        <v>63</v>
      </c>
      <c r="B24" t="s">
        <v>64</v>
      </c>
      <c r="C24" t="s">
        <v>8</v>
      </c>
      <c r="E24" t="s">
        <v>8</v>
      </c>
    </row>
    <row r="25" spans="1:5">
      <c r="A25" t="s">
        <v>65</v>
      </c>
      <c r="B25" t="s">
        <v>66</v>
      </c>
      <c r="C25" t="b">
        <f>TRUE()</f>
        <v>1</v>
      </c>
      <c r="E25" t="b"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v>1</v>
      </c>
    </row>
    <row r="30" spans="1:5">
      <c r="A30" t="s">
        <v>74</v>
      </c>
      <c r="B30" t="s">
        <v>75</v>
      </c>
      <c r="C30" t="b">
        <f>FALSE()</f>
        <v>0</v>
      </c>
      <c r="E30" t="b">
        <v>0</v>
      </c>
    </row>
    <row r="31" spans="1:5">
      <c r="A31" t="s">
        <v>76</v>
      </c>
      <c r="B31" t="s">
        <v>77</v>
      </c>
      <c r="C31" t="b">
        <f>TRUE()</f>
        <v>1</v>
      </c>
      <c r="E31" t="b">
        <v>1</v>
      </c>
    </row>
    <row r="32" spans="1:5">
      <c r="A32" t="s">
        <v>78</v>
      </c>
      <c r="B32" t="s">
        <v>79</v>
      </c>
      <c r="C32" t="b">
        <f>TRUE()</f>
        <v>1</v>
      </c>
      <c r="E32" t="b"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v>1</v>
      </c>
    </row>
    <row r="35" spans="1:5">
      <c r="A35" t="s">
        <v>84</v>
      </c>
      <c r="B35" t="s">
        <v>85</v>
      </c>
      <c r="C35" t="b">
        <f>TRUE()</f>
        <v>1</v>
      </c>
      <c r="E35" t="b">
        <v>1</v>
      </c>
    </row>
    <row r="36" spans="1:5">
      <c r="A36" t="s">
        <v>86</v>
      </c>
      <c r="B36" t="s">
        <v>87</v>
      </c>
      <c r="C36" t="s">
        <v>8</v>
      </c>
      <c r="E36" t="s">
        <v>8</v>
      </c>
    </row>
    <row r="37" spans="1:5">
      <c r="A37" t="s">
        <v>88</v>
      </c>
      <c r="B37" t="s">
        <v>66</v>
      </c>
      <c r="C37" t="b">
        <f>TRUE()</f>
        <v>1</v>
      </c>
      <c r="E37" t="b"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v>1</v>
      </c>
    </row>
    <row r="42" spans="1:5" ht="31.35">
      <c r="A42" t="s">
        <v>97</v>
      </c>
      <c r="B42" s="2" t="s">
        <v>98</v>
      </c>
      <c r="C42" t="b">
        <f>FALSE()</f>
        <v>0</v>
      </c>
      <c r="E42" t="b">
        <v>0</v>
      </c>
    </row>
    <row r="43" spans="1:5">
      <c r="A43" t="s">
        <v>99</v>
      </c>
      <c r="B43" t="s">
        <v>66</v>
      </c>
      <c r="C43" t="b">
        <f>TRUE()</f>
        <v>1</v>
      </c>
      <c r="E43" t="b"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v>1</v>
      </c>
    </row>
    <row r="50" spans="1:5">
      <c r="A50" t="s">
        <v>110</v>
      </c>
      <c r="B50" t="s">
        <v>111</v>
      </c>
      <c r="C50" t="b">
        <f>TRUE()</f>
        <v>1</v>
      </c>
      <c r="E50" t="b"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v>1</v>
      </c>
    </row>
    <row r="53" spans="1:5">
      <c r="A53" t="s">
        <v>116</v>
      </c>
      <c r="B53" t="s">
        <v>85</v>
      </c>
      <c r="C53" t="b">
        <f>TRUE()</f>
        <v>1</v>
      </c>
      <c r="E53" t="b">
        <v>1</v>
      </c>
    </row>
    <row r="54" spans="1:5">
      <c r="A54" t="s">
        <v>117</v>
      </c>
      <c r="B54" t="s">
        <v>118</v>
      </c>
      <c r="C54" t="b">
        <f>FALSE()</f>
        <v>0</v>
      </c>
      <c r="E54" t="b">
        <v>0</v>
      </c>
    </row>
    <row r="55" spans="1:5">
      <c r="A55" t="s">
        <v>119</v>
      </c>
      <c r="B55" t="s">
        <v>109</v>
      </c>
      <c r="C55" t="b">
        <f>TRUE()</f>
        <v>1</v>
      </c>
      <c r="E55" t="b"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zoomScale="90" zoomScaleNormal="90" workbookViewId="0">
      <selection activeCell="E31" sqref="E31"/>
    </sheetView>
  </sheetViews>
  <sheetFormatPr defaultColWidth="8.5703125" defaultRowHeight="15"/>
  <cols>
    <col min="1" max="1" width="44.28515625" customWidth="1"/>
    <col min="2" max="2" width="25.285156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130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131</v>
      </c>
      <c r="C6" t="b">
        <f>TRUE()</f>
        <v>1</v>
      </c>
      <c r="E6" t="b">
        <v>1</v>
      </c>
    </row>
    <row r="7" spans="1:5">
      <c r="A7" t="s">
        <v>32</v>
      </c>
      <c r="B7" t="s">
        <v>33</v>
      </c>
      <c r="C7" t="b">
        <f>TRUE()</f>
        <v>1</v>
      </c>
      <c r="E7" t="b">
        <v>0</v>
      </c>
    </row>
    <row r="8" spans="1:5">
      <c r="A8" t="s">
        <v>34</v>
      </c>
      <c r="B8" t="s">
        <v>132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134</v>
      </c>
      <c r="C12" t="s">
        <v>8</v>
      </c>
      <c r="E12" t="b">
        <v>0</v>
      </c>
    </row>
    <row r="13" spans="1:5">
      <c r="A13" t="s">
        <v>43</v>
      </c>
      <c r="B13" t="s">
        <v>135</v>
      </c>
      <c r="C13" t="b">
        <f>FALSE()</f>
        <v>0</v>
      </c>
      <c r="E13" t="b"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136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137</v>
      </c>
      <c r="C18" t="b">
        <f>FALSE()</f>
        <v>0</v>
      </c>
      <c r="E18" t="b">
        <v>0</v>
      </c>
    </row>
    <row r="19" spans="1:5">
      <c r="A19" t="s">
        <v>54</v>
      </c>
      <c r="B19" t="s">
        <v>138</v>
      </c>
      <c r="C19" t="b">
        <f>FALSE()</f>
        <v>0</v>
      </c>
      <c r="E19" t="b"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59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139</v>
      </c>
      <c r="C24" t="b">
        <f>TRUE()</f>
        <v>1</v>
      </c>
      <c r="E24" t="b"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140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141</v>
      </c>
      <c r="C30" t="s">
        <v>8</v>
      </c>
      <c r="E30" t="s">
        <v>8</v>
      </c>
    </row>
    <row r="31" spans="1:5">
      <c r="A31" t="s">
        <v>76</v>
      </c>
      <c r="B31" t="s">
        <v>142</v>
      </c>
      <c r="C31" t="b">
        <f>FALSE()</f>
        <v>0</v>
      </c>
      <c r="E31" t="b">
        <v>1</v>
      </c>
    </row>
    <row r="32" spans="1:5">
      <c r="A32" t="s">
        <v>78</v>
      </c>
      <c r="B32" t="s">
        <v>143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134</v>
      </c>
      <c r="C36" t="b">
        <f>TRUE()</f>
        <v>1</v>
      </c>
      <c r="E36" t="b">
        <v>1</v>
      </c>
    </row>
    <row r="37" spans="1:5">
      <c r="A37" t="s">
        <v>88</v>
      </c>
      <c r="B37" t="s">
        <v>66</v>
      </c>
      <c r="C37" t="b">
        <f>TRUE()</f>
        <v>1</v>
      </c>
      <c r="E37" t="b"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139</v>
      </c>
      <c r="C42" t="b">
        <f>TRUE()</f>
        <v>1</v>
      </c>
      <c r="E42" t="s">
        <v>8</v>
      </c>
    </row>
    <row r="43" spans="1:5">
      <c r="A43" t="s">
        <v>99</v>
      </c>
      <c r="B43" t="s">
        <v>66</v>
      </c>
      <c r="C43" t="b">
        <f>TRUE()</f>
        <v>1</v>
      </c>
      <c r="E43" t="b"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t="b">
        <v>0</v>
      </c>
    </row>
    <row r="49" spans="1:5">
      <c r="A49" t="s">
        <v>108</v>
      </c>
      <c r="B49" t="s">
        <v>109</v>
      </c>
      <c r="C49" t="b">
        <f>TRUE()</f>
        <v>1</v>
      </c>
      <c r="E49" t="b">
        <v>1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144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145</v>
      </c>
      <c r="C54" t="b">
        <f>TRUE()</f>
        <v>1</v>
      </c>
      <c r="E54" t="s">
        <v>8</v>
      </c>
    </row>
    <row r="55" spans="1:5">
      <c r="A55" t="s">
        <v>119</v>
      </c>
      <c r="B55" t="s">
        <v>109</v>
      </c>
      <c r="C55" t="b">
        <f>TRUE()</f>
        <v>1</v>
      </c>
      <c r="E55" t="b">
        <v>0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="90" zoomScaleNormal="90" workbookViewId="0">
      <selection activeCell="E1" sqref="E1"/>
    </sheetView>
  </sheetViews>
  <sheetFormatPr defaultColWidth="8.5703125" defaultRowHeight="15"/>
  <cols>
    <col min="1" max="1" width="42.5703125" customWidth="1"/>
    <col min="2" max="2" width="37.71093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130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146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147</v>
      </c>
      <c r="C6" t="s">
        <v>8</v>
      </c>
      <c r="E6" t="s">
        <v>8</v>
      </c>
    </row>
    <row r="7" spans="1:5">
      <c r="A7" t="s">
        <v>32</v>
      </c>
      <c r="B7" t="s">
        <v>135</v>
      </c>
      <c r="C7" t="b">
        <f>FALSE()</f>
        <v>0</v>
      </c>
      <c r="E7" t="b">
        <v>0</v>
      </c>
    </row>
    <row r="8" spans="1:5">
      <c r="A8" t="s">
        <v>34</v>
      </c>
      <c r="B8" t="s">
        <v>132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146</v>
      </c>
      <c r="C11" t="b">
        <f>TRUE()</f>
        <v>1</v>
      </c>
      <c r="E11" t="b">
        <f>TRUE()</f>
        <v>1</v>
      </c>
    </row>
    <row r="12" spans="1:5" ht="31.35">
      <c r="A12" t="s">
        <v>41</v>
      </c>
      <c r="B12" s="2" t="s">
        <v>148</v>
      </c>
      <c r="C12" t="s">
        <v>8</v>
      </c>
      <c r="E12" t="b">
        <v>0</v>
      </c>
    </row>
    <row r="13" spans="1:5">
      <c r="A13" t="s">
        <v>43</v>
      </c>
      <c r="B13" t="s">
        <v>149</v>
      </c>
      <c r="C13" t="b">
        <f>FALSE()</f>
        <v>0</v>
      </c>
      <c r="E13" t="b">
        <v>0</v>
      </c>
    </row>
    <row r="14" spans="1:5">
      <c r="A14" t="s">
        <v>45</v>
      </c>
      <c r="B14" t="s">
        <v>150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136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52</v>
      </c>
      <c r="B18" t="s">
        <v>151</v>
      </c>
      <c r="C18" t="b">
        <f>FALSE()</f>
        <v>0</v>
      </c>
      <c r="E18" t="b">
        <v>0</v>
      </c>
    </row>
    <row r="19" spans="1:5">
      <c r="A19" t="s">
        <v>54</v>
      </c>
      <c r="B19" t="s">
        <v>135</v>
      </c>
      <c r="C19" t="b">
        <f>FALSE()</f>
        <v>0</v>
      </c>
      <c r="E19" t="b">
        <v>0</v>
      </c>
    </row>
    <row r="20" spans="1:5">
      <c r="A20" t="s">
        <v>56</v>
      </c>
      <c r="B20" t="s">
        <v>152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153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29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154</v>
      </c>
      <c r="C24" t="s">
        <v>8</v>
      </c>
      <c r="E24" t="b">
        <v>0</v>
      </c>
    </row>
    <row r="25" spans="1:5">
      <c r="A25" t="s">
        <v>65</v>
      </c>
      <c r="B25" t="s">
        <v>66</v>
      </c>
      <c r="C25" t="b">
        <f>TRUE()</f>
        <v>1</v>
      </c>
      <c r="E25" t="b">
        <v>1</v>
      </c>
    </row>
    <row r="26" spans="1:5">
      <c r="A26" t="s">
        <v>67</v>
      </c>
      <c r="B26" t="s">
        <v>68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70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72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147</v>
      </c>
      <c r="C30" t="s">
        <v>8</v>
      </c>
      <c r="E30" t="s">
        <v>8</v>
      </c>
    </row>
    <row r="31" spans="1:5">
      <c r="A31" t="s">
        <v>76</v>
      </c>
      <c r="B31" t="s">
        <v>155</v>
      </c>
      <c r="C31" t="b">
        <f>TRUE()</f>
        <v>1</v>
      </c>
      <c r="E31" t="b">
        <v>1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96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134</v>
      </c>
      <c r="C36" t="b">
        <f>TRUE()</f>
        <v>1</v>
      </c>
      <c r="E36" t="b">
        <v>1</v>
      </c>
    </row>
    <row r="37" spans="1:5">
      <c r="A37" t="s">
        <v>88</v>
      </c>
      <c r="B37" t="s">
        <v>156</v>
      </c>
      <c r="C37" t="b">
        <f>TRUE()</f>
        <v>1</v>
      </c>
      <c r="E37" t="b"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92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157</v>
      </c>
      <c r="C42" t="s">
        <v>8</v>
      </c>
      <c r="E42" t="s">
        <v>8</v>
      </c>
    </row>
    <row r="43" spans="1:5">
      <c r="A43" t="s">
        <v>99</v>
      </c>
      <c r="B43" t="s">
        <v>66</v>
      </c>
      <c r="C43" t="b">
        <f>TRUE()</f>
        <v>1</v>
      </c>
      <c r="E43" t="b"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158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159</v>
      </c>
      <c r="C48" t="b">
        <f>FALSE()</f>
        <v>0</v>
      </c>
      <c r="E48" t="b">
        <v>0</v>
      </c>
    </row>
    <row r="49" spans="1:5">
      <c r="A49" t="s">
        <v>108</v>
      </c>
      <c r="B49" t="s">
        <v>109</v>
      </c>
      <c r="C49" t="b">
        <f>TRUE()</f>
        <v>1</v>
      </c>
      <c r="E49" t="b">
        <v>1</v>
      </c>
    </row>
    <row r="50" spans="1:5">
      <c r="A50" t="s">
        <v>110</v>
      </c>
      <c r="B50" t="s">
        <v>160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161</v>
      </c>
      <c r="C54" t="s">
        <v>8</v>
      </c>
      <c r="E54" t="s">
        <v>8</v>
      </c>
    </row>
    <row r="55" spans="1:5">
      <c r="A55" t="s">
        <v>119</v>
      </c>
      <c r="B55" t="s">
        <v>162</v>
      </c>
      <c r="C55" t="b">
        <f>FALSE()</f>
        <v>0</v>
      </c>
      <c r="E55" t="b">
        <v>0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163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96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v>1</v>
      </c>
    </row>
    <row r="61" spans="1:5">
      <c r="A61" t="s">
        <v>129</v>
      </c>
      <c r="B61" t="s">
        <v>66</v>
      </c>
      <c r="C61" t="b">
        <f>TRUE()</f>
        <v>1</v>
      </c>
      <c r="E61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="90" zoomScaleNormal="90" workbookViewId="0">
      <selection activeCell="E7" sqref="E7"/>
    </sheetView>
  </sheetViews>
  <sheetFormatPr defaultColWidth="8.5703125" defaultRowHeight="15"/>
  <cols>
    <col min="1" max="1" width="45.5703125" customWidth="1"/>
    <col min="2" max="2" width="28.425781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164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130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146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131</v>
      </c>
      <c r="C6" t="s">
        <v>8</v>
      </c>
      <c r="E6" t="s">
        <v>8</v>
      </c>
    </row>
    <row r="7" spans="1:5">
      <c r="A7" t="s">
        <v>32</v>
      </c>
      <c r="B7" t="s">
        <v>138</v>
      </c>
      <c r="C7" t="b">
        <f>FALSE()</f>
        <v>0</v>
      </c>
      <c r="E7" t="b">
        <v>0</v>
      </c>
    </row>
    <row r="8" spans="1:5">
      <c r="A8" t="s">
        <v>34</v>
      </c>
      <c r="B8" t="s">
        <v>132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133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46.35">
      <c r="A12" t="s">
        <v>41</v>
      </c>
      <c r="B12" s="2" t="s">
        <v>165</v>
      </c>
      <c r="C12" t="b">
        <f>FALSE()</f>
        <v>0</v>
      </c>
      <c r="E12" t="b">
        <v>0</v>
      </c>
    </row>
    <row r="13" spans="1:5">
      <c r="A13" t="s">
        <v>43</v>
      </c>
      <c r="B13" t="s">
        <v>142</v>
      </c>
      <c r="C13" t="b">
        <f>FALSE()</f>
        <v>0</v>
      </c>
      <c r="E13" t="b"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136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50</v>
      </c>
      <c r="C16" t="b">
        <f>TRUE()</f>
        <v>1</v>
      </c>
      <c r="E16" t="b">
        <f>TRUE()</f>
        <v>1</v>
      </c>
    </row>
    <row r="17" spans="1:5">
      <c r="A17" t="s">
        <v>51</v>
      </c>
      <c r="B17" t="s">
        <v>29</v>
      </c>
      <c r="C17" t="b">
        <f>TRUE()</f>
        <v>1</v>
      </c>
      <c r="E17" t="b">
        <f>TRUE()</f>
        <v>1</v>
      </c>
    </row>
    <row r="18" spans="1:5" ht="31.35">
      <c r="A18" t="s">
        <v>52</v>
      </c>
      <c r="B18" s="2" t="s">
        <v>166</v>
      </c>
      <c r="C18" t="s">
        <v>8</v>
      </c>
      <c r="E18" t="b">
        <v>0</v>
      </c>
    </row>
    <row r="19" spans="1:5">
      <c r="A19" t="s">
        <v>54</v>
      </c>
      <c r="B19" t="s">
        <v>135</v>
      </c>
      <c r="C19" t="b">
        <f>FALSE()</f>
        <v>0</v>
      </c>
      <c r="E19" t="b">
        <v>0</v>
      </c>
    </row>
    <row r="20" spans="1:5">
      <c r="A20" t="s">
        <v>56</v>
      </c>
      <c r="B20" t="s">
        <v>57</v>
      </c>
      <c r="C20" t="b">
        <f>TRUE()</f>
        <v>1</v>
      </c>
      <c r="E20" t="b">
        <f>TRUE()</f>
        <v>1</v>
      </c>
    </row>
    <row r="21" spans="1:5">
      <c r="A21" t="s">
        <v>58</v>
      </c>
      <c r="B21" t="s">
        <v>153</v>
      </c>
      <c r="C21" t="b">
        <f>TRUE()</f>
        <v>1</v>
      </c>
      <c r="E21" t="b">
        <f>TRUE()</f>
        <v>1</v>
      </c>
    </row>
    <row r="22" spans="1:5">
      <c r="A22" t="s">
        <v>60</v>
      </c>
      <c r="B22" t="s">
        <v>61</v>
      </c>
      <c r="C22" t="b">
        <f>TRUE()</f>
        <v>1</v>
      </c>
      <c r="E22" t="b">
        <f>TRUE()</f>
        <v>1</v>
      </c>
    </row>
    <row r="23" spans="1:5">
      <c r="A23" t="s">
        <v>62</v>
      </c>
      <c r="B23" t="s">
        <v>146</v>
      </c>
      <c r="C23" t="b">
        <f>TRUE()</f>
        <v>1</v>
      </c>
      <c r="E23" t="b">
        <f>TRUE()</f>
        <v>1</v>
      </c>
    </row>
    <row r="24" spans="1:5">
      <c r="A24" t="s">
        <v>63</v>
      </c>
      <c r="B24" t="s">
        <v>139</v>
      </c>
      <c r="C24" t="b">
        <f>TRUE()</f>
        <v>1</v>
      </c>
      <c r="E24" t="b">
        <v>1</v>
      </c>
    </row>
    <row r="25" spans="1:5">
      <c r="A25" t="s">
        <v>65</v>
      </c>
      <c r="B25" t="s">
        <v>66</v>
      </c>
      <c r="C25" t="b">
        <f>TRUE()</f>
        <v>1</v>
      </c>
      <c r="E25" t="b">
        <v>1</v>
      </c>
    </row>
    <row r="26" spans="1:5">
      <c r="A26" t="s">
        <v>67</v>
      </c>
      <c r="B26" t="s">
        <v>167</v>
      </c>
      <c r="C26" t="b">
        <f>TRUE()</f>
        <v>1</v>
      </c>
      <c r="E26" t="b">
        <f>TRUE()</f>
        <v>1</v>
      </c>
    </row>
    <row r="27" spans="1:5">
      <c r="A27" t="s">
        <v>69</v>
      </c>
      <c r="B27" t="s">
        <v>140</v>
      </c>
      <c r="C27" t="b">
        <f>TRUE()</f>
        <v>1</v>
      </c>
      <c r="E27" t="b">
        <f>TRUE()</f>
        <v>1</v>
      </c>
    </row>
    <row r="28" spans="1:5">
      <c r="A28" t="s">
        <v>71</v>
      </c>
      <c r="B28" t="s">
        <v>168</v>
      </c>
      <c r="C28" t="b">
        <f>TRUE()</f>
        <v>1</v>
      </c>
      <c r="E28" t="b">
        <f>TRUE()</f>
        <v>1</v>
      </c>
    </row>
    <row r="29" spans="1:5">
      <c r="A29" t="s">
        <v>73</v>
      </c>
      <c r="B29" t="s">
        <v>146</v>
      </c>
      <c r="C29" t="b">
        <f>TRUE()</f>
        <v>1</v>
      </c>
      <c r="E29" t="b">
        <f>TRUE()</f>
        <v>1</v>
      </c>
    </row>
    <row r="30" spans="1:5">
      <c r="A30" t="s">
        <v>74</v>
      </c>
      <c r="B30" t="s">
        <v>141</v>
      </c>
      <c r="C30" t="s">
        <v>8</v>
      </c>
      <c r="E30" t="b">
        <v>0</v>
      </c>
    </row>
    <row r="31" spans="1:5">
      <c r="A31" t="s">
        <v>76</v>
      </c>
      <c r="B31" t="s">
        <v>135</v>
      </c>
      <c r="C31" t="b">
        <f>FALSE()</f>
        <v>0</v>
      </c>
      <c r="E31" t="b">
        <v>0</v>
      </c>
    </row>
    <row r="32" spans="1:5">
      <c r="A32" t="s">
        <v>78</v>
      </c>
      <c r="B32" t="s">
        <v>79</v>
      </c>
      <c r="C32" t="b">
        <f>TRUE()</f>
        <v>1</v>
      </c>
      <c r="E32" t="b">
        <f>TRUE()</f>
        <v>1</v>
      </c>
    </row>
    <row r="33" spans="1:5">
      <c r="A33" t="s">
        <v>80</v>
      </c>
      <c r="B33" t="s">
        <v>81</v>
      </c>
      <c r="C33" t="b">
        <f>TRUE()</f>
        <v>1</v>
      </c>
      <c r="E33" t="b">
        <f>TRUE()</f>
        <v>1</v>
      </c>
    </row>
    <row r="34" spans="1:5">
      <c r="A34" t="s">
        <v>82</v>
      </c>
      <c r="B34" t="s">
        <v>83</v>
      </c>
      <c r="C34" t="b">
        <f>TRUE()</f>
        <v>1</v>
      </c>
      <c r="E34" t="b">
        <f>TRUE()</f>
        <v>1</v>
      </c>
    </row>
    <row r="35" spans="1:5">
      <c r="A35" t="s">
        <v>84</v>
      </c>
      <c r="B35" t="s">
        <v>85</v>
      </c>
      <c r="C35" t="b">
        <f>TRUE()</f>
        <v>1</v>
      </c>
      <c r="E35" t="b">
        <f>TRUE()</f>
        <v>1</v>
      </c>
    </row>
    <row r="36" spans="1:5">
      <c r="A36" t="s">
        <v>86</v>
      </c>
      <c r="B36" t="s">
        <v>134</v>
      </c>
      <c r="C36" t="b">
        <f>TRUE()</f>
        <v>1</v>
      </c>
      <c r="E36" t="b">
        <f>TRUE()</f>
        <v>1</v>
      </c>
    </row>
    <row r="37" spans="1:5">
      <c r="A37" t="s">
        <v>88</v>
      </c>
      <c r="B37" t="s">
        <v>66</v>
      </c>
      <c r="C37" t="b">
        <f>TRUE()</f>
        <v>1</v>
      </c>
      <c r="E37" t="b">
        <f>TRUE()</f>
        <v>1</v>
      </c>
    </row>
    <row r="38" spans="1:5">
      <c r="A38" t="s">
        <v>89</v>
      </c>
      <c r="B38" t="s">
        <v>90</v>
      </c>
      <c r="C38" t="b">
        <f>TRUE()</f>
        <v>1</v>
      </c>
      <c r="E38" t="b">
        <f>TRUE()</f>
        <v>1</v>
      </c>
    </row>
    <row r="39" spans="1:5">
      <c r="A39" t="s">
        <v>91</v>
      </c>
      <c r="B39" t="s">
        <v>169</v>
      </c>
      <c r="C39" t="b">
        <f>TRUE()</f>
        <v>1</v>
      </c>
      <c r="E39" t="b">
        <f>TRUE()</f>
        <v>1</v>
      </c>
    </row>
    <row r="40" spans="1:5">
      <c r="A40" t="s">
        <v>93</v>
      </c>
      <c r="B40" t="s">
        <v>94</v>
      </c>
      <c r="C40" t="b">
        <f>TRUE()</f>
        <v>1</v>
      </c>
      <c r="E40" t="b">
        <f>TRUE()</f>
        <v>1</v>
      </c>
    </row>
    <row r="41" spans="1:5">
      <c r="A41" t="s">
        <v>95</v>
      </c>
      <c r="B41" t="s">
        <v>96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139</v>
      </c>
      <c r="C42" t="b">
        <f>TRUE()</f>
        <v>1</v>
      </c>
      <c r="E42" t="b">
        <f>TRUE()</f>
        <v>1</v>
      </c>
    </row>
    <row r="43" spans="1:5">
      <c r="A43" t="s">
        <v>99</v>
      </c>
      <c r="B43" t="s">
        <v>66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158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96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TRUE()</f>
        <v>1</v>
      </c>
      <c r="E48" s="3" t="b"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96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170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109</v>
      </c>
      <c r="C55" t="b">
        <f>TRUE()</f>
        <v>1</v>
      </c>
      <c r="E55" t="b">
        <v>1</v>
      </c>
    </row>
    <row r="56" spans="1:5">
      <c r="A56" t="s">
        <v>120</v>
      </c>
      <c r="B56" t="s">
        <v>121</v>
      </c>
      <c r="C56" t="b">
        <f>TRUE()</f>
        <v>1</v>
      </c>
      <c r="E56" t="b">
        <f>TRUE()</f>
        <v>1</v>
      </c>
    </row>
    <row r="57" spans="1:5">
      <c r="A57" t="s">
        <v>122</v>
      </c>
      <c r="B57" t="s">
        <v>123</v>
      </c>
      <c r="C57" t="b">
        <f>TRUE()</f>
        <v>1</v>
      </c>
      <c r="E57" t="b">
        <f>TRUE()</f>
        <v>1</v>
      </c>
    </row>
    <row r="58" spans="1:5">
      <c r="A58" t="s">
        <v>124</v>
      </c>
      <c r="B58" t="s">
        <v>125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85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128</v>
      </c>
      <c r="C60" t="b">
        <f>TRUE()</f>
        <v>1</v>
      </c>
      <c r="E60" t="b">
        <v>1</v>
      </c>
    </row>
    <row r="61" spans="1:5">
      <c r="A61" t="s">
        <v>129</v>
      </c>
      <c r="B61" t="s">
        <v>155</v>
      </c>
      <c r="C61" t="b">
        <f>FALSE()</f>
        <v>0</v>
      </c>
      <c r="E61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zoomScale="90" zoomScaleNormal="90" workbookViewId="0">
      <selection activeCell="E60" sqref="E60"/>
    </sheetView>
  </sheetViews>
  <sheetFormatPr defaultColWidth="8.5703125" defaultRowHeight="15"/>
  <cols>
    <col min="1" max="1" width="43.85546875" customWidth="1"/>
    <col min="2" max="2" width="33.285156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4" t="s">
        <v>21</v>
      </c>
    </row>
    <row r="2" spans="1:5">
      <c r="A2" t="s">
        <v>22</v>
      </c>
      <c r="B2" t="s">
        <v>23</v>
      </c>
      <c r="C2" t="b">
        <f>TRUE()</f>
        <v>1</v>
      </c>
      <c r="E2" s="5" t="b">
        <v>1</v>
      </c>
    </row>
    <row r="3" spans="1:5">
      <c r="A3" t="s">
        <v>24</v>
      </c>
      <c r="B3" t="s">
        <v>25</v>
      </c>
      <c r="C3" t="b">
        <f>TRUE()</f>
        <v>1</v>
      </c>
      <c r="E3" s="5" t="b">
        <v>1</v>
      </c>
    </row>
    <row r="4" spans="1:5">
      <c r="A4" t="s">
        <v>26</v>
      </c>
      <c r="B4" t="s">
        <v>27</v>
      </c>
      <c r="C4" t="b">
        <f>TRUE()</f>
        <v>1</v>
      </c>
      <c r="E4" s="5" t="b">
        <v>1</v>
      </c>
    </row>
    <row r="5" spans="1:5">
      <c r="A5" t="s">
        <v>28</v>
      </c>
      <c r="B5" t="s">
        <v>29</v>
      </c>
      <c r="C5" t="b">
        <f>TRUE()</f>
        <v>1</v>
      </c>
      <c r="E5" s="5" t="b">
        <v>1</v>
      </c>
    </row>
    <row r="6" spans="1:5">
      <c r="A6" t="s">
        <v>30</v>
      </c>
      <c r="B6" t="s">
        <v>171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s="5" t="b">
        <v>1</v>
      </c>
    </row>
    <row r="8" spans="1:5">
      <c r="A8" t="s">
        <v>34</v>
      </c>
      <c r="B8" t="s">
        <v>35</v>
      </c>
      <c r="C8" t="b">
        <f>TRUE()</f>
        <v>1</v>
      </c>
      <c r="E8" s="5" t="b">
        <v>1</v>
      </c>
    </row>
    <row r="9" spans="1:5">
      <c r="A9" t="s">
        <v>36</v>
      </c>
      <c r="B9" t="s">
        <v>133</v>
      </c>
      <c r="C9" t="b">
        <f>TRUE()</f>
        <v>1</v>
      </c>
      <c r="E9" s="5" t="b">
        <v>1</v>
      </c>
    </row>
    <row r="10" spans="1:5">
      <c r="A10" t="s">
        <v>38</v>
      </c>
      <c r="B10" t="s">
        <v>39</v>
      </c>
      <c r="C10" t="b">
        <f>TRUE()</f>
        <v>1</v>
      </c>
      <c r="E10" s="5" t="b">
        <v>1</v>
      </c>
    </row>
    <row r="11" spans="1:5">
      <c r="A11" t="s">
        <v>40</v>
      </c>
      <c r="B11" t="s">
        <v>146</v>
      </c>
      <c r="C11" t="b">
        <f>TRUE()</f>
        <v>1</v>
      </c>
      <c r="E11" s="5" t="b">
        <v>1</v>
      </c>
    </row>
    <row r="12" spans="1:5" ht="31.35">
      <c r="A12" t="s">
        <v>41</v>
      </c>
      <c r="B12" s="2" t="s">
        <v>172</v>
      </c>
      <c r="C12" t="b">
        <f>FALSE()</f>
        <v>0</v>
      </c>
      <c r="E12" s="5" t="b">
        <v>0</v>
      </c>
    </row>
    <row r="13" spans="1:5">
      <c r="A13" t="s">
        <v>43</v>
      </c>
      <c r="B13" t="s">
        <v>173</v>
      </c>
      <c r="C13" t="b">
        <f>TRUE()</f>
        <v>1</v>
      </c>
      <c r="E13" s="5" t="b">
        <v>1</v>
      </c>
    </row>
    <row r="14" spans="1:5">
      <c r="A14" t="s">
        <v>45</v>
      </c>
      <c r="B14" t="s">
        <v>46</v>
      </c>
      <c r="C14" t="b">
        <f>TRUE()</f>
        <v>1</v>
      </c>
      <c r="E14" s="5" t="b">
        <v>1</v>
      </c>
    </row>
    <row r="15" spans="1:5">
      <c r="A15" t="s">
        <v>47</v>
      </c>
      <c r="B15" t="s">
        <v>48</v>
      </c>
      <c r="C15" t="b">
        <f>TRUE()</f>
        <v>1</v>
      </c>
      <c r="E15" s="5" t="b">
        <v>1</v>
      </c>
    </row>
    <row r="16" spans="1:5">
      <c r="A16" t="s">
        <v>49</v>
      </c>
      <c r="B16" t="s">
        <v>50</v>
      </c>
      <c r="C16" t="b">
        <f>TRUE()</f>
        <v>1</v>
      </c>
      <c r="E16" s="5" t="b">
        <v>1</v>
      </c>
    </row>
    <row r="17" spans="1:5">
      <c r="A17" t="s">
        <v>51</v>
      </c>
      <c r="B17" t="s">
        <v>29</v>
      </c>
      <c r="C17" t="b">
        <f>TRUE()</f>
        <v>1</v>
      </c>
      <c r="E17" s="5" t="b">
        <v>1</v>
      </c>
    </row>
    <row r="18" spans="1:5">
      <c r="A18" t="s">
        <v>52</v>
      </c>
      <c r="B18" t="s">
        <v>174</v>
      </c>
      <c r="C18" t="s">
        <v>8</v>
      </c>
      <c r="E18" s="5" t="s">
        <v>8</v>
      </c>
    </row>
    <row r="19" spans="1:5">
      <c r="A19" t="s">
        <v>54</v>
      </c>
      <c r="B19" t="s">
        <v>175</v>
      </c>
      <c r="C19" t="b">
        <f>TRUE()</f>
        <v>1</v>
      </c>
      <c r="E19" s="5" t="b">
        <v>1</v>
      </c>
    </row>
    <row r="20" spans="1:5">
      <c r="A20" t="s">
        <v>56</v>
      </c>
      <c r="B20" t="s">
        <v>57</v>
      </c>
      <c r="C20" t="b">
        <f>TRUE()</f>
        <v>1</v>
      </c>
      <c r="E20" s="5" t="b">
        <v>1</v>
      </c>
    </row>
    <row r="21" spans="1:5">
      <c r="A21" t="s">
        <v>58</v>
      </c>
      <c r="B21" t="s">
        <v>153</v>
      </c>
      <c r="C21" t="b">
        <f>TRUE()</f>
        <v>1</v>
      </c>
      <c r="E21" s="5" t="b">
        <v>1</v>
      </c>
    </row>
    <row r="22" spans="1:5">
      <c r="A22" t="s">
        <v>60</v>
      </c>
      <c r="B22" t="s">
        <v>61</v>
      </c>
      <c r="C22" t="b">
        <f>TRUE()</f>
        <v>1</v>
      </c>
      <c r="E22" s="5" t="b">
        <v>1</v>
      </c>
    </row>
    <row r="23" spans="1:5">
      <c r="A23" t="s">
        <v>62</v>
      </c>
      <c r="B23" t="s">
        <v>29</v>
      </c>
      <c r="C23" t="b">
        <f>TRUE()</f>
        <v>1</v>
      </c>
      <c r="E23" s="5" t="b">
        <v>1</v>
      </c>
    </row>
    <row r="24" spans="1:5">
      <c r="A24" t="s">
        <v>63</v>
      </c>
      <c r="B24" t="s">
        <v>176</v>
      </c>
      <c r="C24" t="b">
        <f>FALSE()</f>
        <v>0</v>
      </c>
      <c r="E24" s="5" t="b">
        <v>0</v>
      </c>
    </row>
    <row r="25" spans="1:5">
      <c r="A25" t="s">
        <v>65</v>
      </c>
      <c r="B25" t="s">
        <v>177</v>
      </c>
      <c r="C25" t="b">
        <f>TRUE()</f>
        <v>1</v>
      </c>
      <c r="E25" s="5" t="b">
        <v>1</v>
      </c>
    </row>
    <row r="26" spans="1:5">
      <c r="A26" t="s">
        <v>67</v>
      </c>
      <c r="B26" t="s">
        <v>68</v>
      </c>
      <c r="C26" t="b">
        <f>TRUE()</f>
        <v>1</v>
      </c>
      <c r="E26" s="5" t="b">
        <v>1</v>
      </c>
    </row>
    <row r="27" spans="1:5">
      <c r="A27" t="s">
        <v>69</v>
      </c>
      <c r="B27" t="s">
        <v>70</v>
      </c>
      <c r="C27" t="b">
        <f>TRUE()</f>
        <v>1</v>
      </c>
      <c r="E27" s="5" t="b">
        <v>1</v>
      </c>
    </row>
    <row r="28" spans="1:5">
      <c r="A28" t="s">
        <v>71</v>
      </c>
      <c r="B28" t="s">
        <v>72</v>
      </c>
      <c r="C28" t="b">
        <f>TRUE()</f>
        <v>1</v>
      </c>
      <c r="E28" s="5" t="b">
        <v>1</v>
      </c>
    </row>
    <row r="29" spans="1:5">
      <c r="A29" t="s">
        <v>73</v>
      </c>
      <c r="B29" t="s">
        <v>29</v>
      </c>
      <c r="C29" t="b">
        <f>TRUE()</f>
        <v>1</v>
      </c>
      <c r="E29" s="5" t="b">
        <v>1</v>
      </c>
    </row>
    <row r="30" spans="1:5">
      <c r="A30" t="s">
        <v>74</v>
      </c>
      <c r="B30" t="s">
        <v>178</v>
      </c>
      <c r="C30" t="s">
        <v>8</v>
      </c>
      <c r="E30" s="5" t="s">
        <v>8</v>
      </c>
    </row>
    <row r="31" spans="1:5">
      <c r="A31" t="s">
        <v>76</v>
      </c>
      <c r="B31" t="s">
        <v>77</v>
      </c>
      <c r="C31" t="b">
        <f>TRUE()</f>
        <v>1</v>
      </c>
      <c r="E31" s="5" t="b">
        <v>1</v>
      </c>
    </row>
    <row r="32" spans="1:5">
      <c r="A32" t="s">
        <v>78</v>
      </c>
      <c r="B32" t="s">
        <v>143</v>
      </c>
      <c r="C32" t="b">
        <f>TRUE()</f>
        <v>1</v>
      </c>
      <c r="E32" s="5" t="b">
        <v>1</v>
      </c>
    </row>
    <row r="33" spans="1:5">
      <c r="A33" t="s">
        <v>80</v>
      </c>
      <c r="B33" t="s">
        <v>179</v>
      </c>
      <c r="C33" t="b">
        <f>TRUE()</f>
        <v>1</v>
      </c>
      <c r="E33" s="5" t="b">
        <v>1</v>
      </c>
    </row>
    <row r="34" spans="1:5">
      <c r="A34" t="s">
        <v>82</v>
      </c>
      <c r="B34" t="s">
        <v>83</v>
      </c>
      <c r="C34" t="b">
        <f>TRUE()</f>
        <v>1</v>
      </c>
      <c r="E34" s="5" t="b">
        <v>1</v>
      </c>
    </row>
    <row r="35" spans="1:5">
      <c r="A35" t="s">
        <v>84</v>
      </c>
      <c r="B35" t="s">
        <v>96</v>
      </c>
      <c r="C35" t="b">
        <f>TRUE()</f>
        <v>1</v>
      </c>
      <c r="E35" s="5" t="b">
        <v>1</v>
      </c>
    </row>
    <row r="36" spans="1:5">
      <c r="A36" t="s">
        <v>86</v>
      </c>
      <c r="B36" t="s">
        <v>180</v>
      </c>
      <c r="C36" t="s">
        <v>8</v>
      </c>
      <c r="E36" s="5" t="s">
        <v>8</v>
      </c>
    </row>
    <row r="37" spans="1:5">
      <c r="A37" t="s">
        <v>88</v>
      </c>
      <c r="B37" t="s">
        <v>181</v>
      </c>
      <c r="C37" t="b">
        <f>TRUE()</f>
        <v>1</v>
      </c>
      <c r="E37" s="5" t="b">
        <v>1</v>
      </c>
    </row>
    <row r="38" spans="1:5">
      <c r="A38" t="s">
        <v>89</v>
      </c>
      <c r="B38" t="s">
        <v>90</v>
      </c>
      <c r="C38" t="b">
        <f>TRUE()</f>
        <v>1</v>
      </c>
      <c r="E38" s="5" t="b">
        <v>1</v>
      </c>
    </row>
    <row r="39" spans="1:5">
      <c r="A39" t="s">
        <v>91</v>
      </c>
      <c r="B39" t="s">
        <v>169</v>
      </c>
      <c r="C39" t="b">
        <f>TRUE()</f>
        <v>1</v>
      </c>
      <c r="E39" s="5" t="b">
        <v>1</v>
      </c>
    </row>
    <row r="40" spans="1:5">
      <c r="A40" t="s">
        <v>93</v>
      </c>
      <c r="B40" t="s">
        <v>94</v>
      </c>
      <c r="C40" t="b">
        <f>TRUE()</f>
        <v>1</v>
      </c>
      <c r="E40" s="5" t="b">
        <v>1</v>
      </c>
    </row>
    <row r="41" spans="1:5">
      <c r="A41" t="s">
        <v>95</v>
      </c>
      <c r="B41" t="s">
        <v>85</v>
      </c>
      <c r="C41" t="b">
        <f>TRUE()</f>
        <v>1</v>
      </c>
      <c r="E41" s="5" t="b">
        <v>1</v>
      </c>
    </row>
    <row r="42" spans="1:5">
      <c r="A42" t="s">
        <v>97</v>
      </c>
      <c r="B42" t="s">
        <v>182</v>
      </c>
      <c r="C42" t="b">
        <f>FALSE()</f>
        <v>0</v>
      </c>
      <c r="E42" s="5" t="b">
        <v>0</v>
      </c>
    </row>
    <row r="43" spans="1:5">
      <c r="A43" t="s">
        <v>99</v>
      </c>
      <c r="B43" t="s">
        <v>66</v>
      </c>
      <c r="C43" t="b">
        <f>TRUE()</f>
        <v>1</v>
      </c>
      <c r="E43" s="5" t="b">
        <v>1</v>
      </c>
    </row>
    <row r="44" spans="1:5">
      <c r="A44" t="s">
        <v>100</v>
      </c>
      <c r="B44" t="s">
        <v>183</v>
      </c>
      <c r="C44" t="b">
        <f>TRUE()</f>
        <v>1</v>
      </c>
      <c r="E44" s="5" t="b">
        <v>1</v>
      </c>
    </row>
    <row r="45" spans="1:5">
      <c r="A45" t="s">
        <v>102</v>
      </c>
      <c r="B45" t="s">
        <v>103</v>
      </c>
      <c r="C45" t="b">
        <f>TRUE()</f>
        <v>1</v>
      </c>
      <c r="E45" s="5" t="b">
        <v>1</v>
      </c>
    </row>
    <row r="46" spans="1:5">
      <c r="A46" t="s">
        <v>104</v>
      </c>
      <c r="B46" t="s">
        <v>39</v>
      </c>
      <c r="C46" t="b">
        <f>TRUE()</f>
        <v>1</v>
      </c>
      <c r="E46" s="5" t="b">
        <v>1</v>
      </c>
    </row>
    <row r="47" spans="1:5">
      <c r="A47" t="s">
        <v>105</v>
      </c>
      <c r="B47" t="s">
        <v>96</v>
      </c>
      <c r="C47" t="b">
        <f>TRUE()</f>
        <v>1</v>
      </c>
      <c r="E47" s="5" t="b">
        <v>1</v>
      </c>
    </row>
    <row r="48" spans="1:5">
      <c r="A48" t="s">
        <v>106</v>
      </c>
      <c r="B48" t="s">
        <v>184</v>
      </c>
      <c r="C48" t="s">
        <v>8</v>
      </c>
      <c r="E48" s="5" t="b">
        <v>1</v>
      </c>
    </row>
    <row r="49" spans="1:5">
      <c r="A49" t="s">
        <v>108</v>
      </c>
      <c r="B49" t="s">
        <v>109</v>
      </c>
      <c r="C49" t="b">
        <f>TRUE()</f>
        <v>1</v>
      </c>
      <c r="E49" s="5" t="b">
        <v>1</v>
      </c>
    </row>
    <row r="50" spans="1:5">
      <c r="A50" t="s">
        <v>110</v>
      </c>
      <c r="B50" t="s">
        <v>111</v>
      </c>
      <c r="C50" t="b">
        <f>TRUE()</f>
        <v>1</v>
      </c>
      <c r="E50" s="5" t="b">
        <v>1</v>
      </c>
    </row>
    <row r="51" spans="1:5">
      <c r="A51" t="s">
        <v>112</v>
      </c>
      <c r="B51" t="s">
        <v>144</v>
      </c>
      <c r="C51" t="b">
        <f>TRUE()</f>
        <v>1</v>
      </c>
      <c r="E51" s="5" t="b">
        <v>1</v>
      </c>
    </row>
    <row r="52" spans="1:5">
      <c r="A52" t="s">
        <v>114</v>
      </c>
      <c r="B52" t="s">
        <v>115</v>
      </c>
      <c r="C52" t="b">
        <f>TRUE()</f>
        <v>1</v>
      </c>
      <c r="E52" s="5" t="b">
        <v>1</v>
      </c>
    </row>
    <row r="53" spans="1:5">
      <c r="A53" t="s">
        <v>116</v>
      </c>
      <c r="B53" t="s">
        <v>85</v>
      </c>
      <c r="C53" t="b">
        <f>TRUE()</f>
        <v>1</v>
      </c>
      <c r="E53" s="5" t="b">
        <v>1</v>
      </c>
    </row>
    <row r="54" spans="1:5">
      <c r="A54" t="s">
        <v>117</v>
      </c>
      <c r="B54" t="s">
        <v>185</v>
      </c>
      <c r="C54" t="b">
        <f>FALSE()</f>
        <v>0</v>
      </c>
      <c r="E54" s="5" t="b">
        <v>0</v>
      </c>
    </row>
    <row r="55" spans="1:5">
      <c r="A55" t="s">
        <v>119</v>
      </c>
      <c r="B55" t="s">
        <v>109</v>
      </c>
      <c r="C55" t="b">
        <f>TRUE()</f>
        <v>1</v>
      </c>
      <c r="E55" s="5" t="b">
        <v>1</v>
      </c>
    </row>
    <row r="56" spans="1:5">
      <c r="A56" t="s">
        <v>120</v>
      </c>
      <c r="B56" t="s">
        <v>121</v>
      </c>
      <c r="C56" t="b">
        <f>TRUE()</f>
        <v>1</v>
      </c>
      <c r="E56" s="5" t="b">
        <v>1</v>
      </c>
    </row>
    <row r="57" spans="1:5">
      <c r="A57" t="s">
        <v>122</v>
      </c>
      <c r="B57" t="s">
        <v>123</v>
      </c>
      <c r="C57" t="b">
        <f>TRUE()</f>
        <v>1</v>
      </c>
      <c r="E57" s="5" t="b">
        <v>1</v>
      </c>
    </row>
    <row r="58" spans="1:5">
      <c r="A58" t="s">
        <v>124</v>
      </c>
      <c r="B58" t="s">
        <v>125</v>
      </c>
      <c r="C58" t="b">
        <f>TRUE()</f>
        <v>1</v>
      </c>
      <c r="E58" s="5" t="b">
        <v>1</v>
      </c>
    </row>
    <row r="59" spans="1:5">
      <c r="A59" t="s">
        <v>126</v>
      </c>
      <c r="B59" t="s">
        <v>96</v>
      </c>
      <c r="C59" t="b">
        <f>TRUE()</f>
        <v>1</v>
      </c>
      <c r="E59" s="5" t="b">
        <v>1</v>
      </c>
    </row>
    <row r="60" spans="1:5">
      <c r="A60" t="s">
        <v>127</v>
      </c>
      <c r="B60" t="s">
        <v>186</v>
      </c>
      <c r="C60" t="s">
        <v>8</v>
      </c>
      <c r="E60" s="5" t="s">
        <v>8</v>
      </c>
    </row>
    <row r="61" spans="1:5">
      <c r="A61" t="s">
        <v>129</v>
      </c>
      <c r="B61" t="s">
        <v>187</v>
      </c>
      <c r="C61" t="b">
        <f>TRUE()</f>
        <v>1</v>
      </c>
      <c r="E61" s="5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zoomScale="90" zoomScaleNormal="90" workbookViewId="0">
      <selection activeCell="E6" sqref="E6"/>
    </sheetView>
  </sheetViews>
  <sheetFormatPr defaultColWidth="8.5703125" defaultRowHeight="15"/>
  <cols>
    <col min="1" max="1" width="44.140625" customWidth="1"/>
    <col min="2" max="2" width="30.42578125" customWidth="1"/>
    <col min="5" max="5" width="17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s="4" t="s">
        <v>21</v>
      </c>
    </row>
    <row r="2" spans="1:5">
      <c r="A2" t="s">
        <v>22</v>
      </c>
      <c r="B2" t="s">
        <v>23</v>
      </c>
      <c r="C2" t="b">
        <f>TRUE()</f>
        <v>1</v>
      </c>
      <c r="E2" s="5" t="b">
        <v>1</v>
      </c>
    </row>
    <row r="3" spans="1:5">
      <c r="A3" t="s">
        <v>24</v>
      </c>
      <c r="B3" t="s">
        <v>130</v>
      </c>
      <c r="C3" t="b">
        <f>TRUE()</f>
        <v>1</v>
      </c>
      <c r="E3" s="5" t="b">
        <v>1</v>
      </c>
    </row>
    <row r="4" spans="1:5">
      <c r="A4" t="s">
        <v>26</v>
      </c>
      <c r="B4" t="s">
        <v>27</v>
      </c>
      <c r="C4" t="b">
        <f>TRUE()</f>
        <v>1</v>
      </c>
      <c r="E4" s="5" t="b">
        <v>1</v>
      </c>
    </row>
    <row r="5" spans="1:5">
      <c r="A5" t="s">
        <v>28</v>
      </c>
      <c r="B5" t="s">
        <v>29</v>
      </c>
      <c r="C5" t="b">
        <f>TRUE()</f>
        <v>1</v>
      </c>
      <c r="E5" s="5" t="b">
        <v>1</v>
      </c>
    </row>
    <row r="6" spans="1:5">
      <c r="A6" t="s">
        <v>30</v>
      </c>
      <c r="B6" t="s">
        <v>131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s="5" t="b">
        <v>1</v>
      </c>
    </row>
    <row r="8" spans="1:5">
      <c r="A8" t="s">
        <v>34</v>
      </c>
      <c r="B8" t="s">
        <v>132</v>
      </c>
      <c r="C8" t="b">
        <f>TRUE()</f>
        <v>1</v>
      </c>
      <c r="E8" s="5" t="b">
        <v>1</v>
      </c>
    </row>
    <row r="9" spans="1:5">
      <c r="A9" t="s">
        <v>36</v>
      </c>
      <c r="B9" t="s">
        <v>133</v>
      </c>
      <c r="C9" t="b">
        <f>TRUE()</f>
        <v>1</v>
      </c>
      <c r="E9" s="5" t="b">
        <v>1</v>
      </c>
    </row>
    <row r="10" spans="1:5">
      <c r="A10" t="s">
        <v>38</v>
      </c>
      <c r="B10" t="s">
        <v>39</v>
      </c>
      <c r="C10" t="b">
        <f>TRUE()</f>
        <v>1</v>
      </c>
      <c r="E10" s="5" t="b">
        <v>1</v>
      </c>
    </row>
    <row r="11" spans="1:5">
      <c r="A11" t="s">
        <v>40</v>
      </c>
      <c r="B11" t="s">
        <v>29</v>
      </c>
      <c r="C11" t="b">
        <f>TRUE()</f>
        <v>1</v>
      </c>
      <c r="E11" s="5" t="b">
        <v>1</v>
      </c>
    </row>
    <row r="12" spans="1:5" ht="31.35">
      <c r="A12" t="s">
        <v>41</v>
      </c>
      <c r="B12" s="2" t="s">
        <v>188</v>
      </c>
      <c r="C12" t="s">
        <v>8</v>
      </c>
      <c r="E12" s="5" t="b">
        <v>0</v>
      </c>
    </row>
    <row r="13" spans="1:5">
      <c r="A13" t="s">
        <v>43</v>
      </c>
      <c r="B13" t="s">
        <v>66</v>
      </c>
      <c r="C13" t="b">
        <f>FALSE()</f>
        <v>0</v>
      </c>
      <c r="E13" s="5" t="b">
        <v>0</v>
      </c>
    </row>
    <row r="14" spans="1:5">
      <c r="A14" t="s">
        <v>45</v>
      </c>
      <c r="B14" t="s">
        <v>46</v>
      </c>
      <c r="C14" t="b">
        <f>TRUE()</f>
        <v>1</v>
      </c>
      <c r="E14" s="5" t="b">
        <v>1</v>
      </c>
    </row>
    <row r="15" spans="1:5">
      <c r="A15" t="s">
        <v>47</v>
      </c>
      <c r="B15" t="s">
        <v>48</v>
      </c>
      <c r="C15" t="b">
        <f>TRUE()</f>
        <v>1</v>
      </c>
      <c r="E15" s="5" t="b">
        <v>1</v>
      </c>
    </row>
    <row r="16" spans="1:5">
      <c r="A16" t="s">
        <v>49</v>
      </c>
      <c r="B16" t="s">
        <v>50</v>
      </c>
      <c r="C16" t="b">
        <f>TRUE()</f>
        <v>1</v>
      </c>
      <c r="E16" s="5" t="b">
        <v>1</v>
      </c>
    </row>
    <row r="17" spans="1:5">
      <c r="A17" t="s">
        <v>51</v>
      </c>
      <c r="B17" t="s">
        <v>29</v>
      </c>
      <c r="C17" t="b">
        <f>TRUE()</f>
        <v>1</v>
      </c>
      <c r="E17" s="5" t="b">
        <v>1</v>
      </c>
    </row>
    <row r="18" spans="1:5">
      <c r="A18" t="s">
        <v>52</v>
      </c>
      <c r="B18" t="s">
        <v>189</v>
      </c>
      <c r="C18" t="b">
        <f>FALSE()</f>
        <v>0</v>
      </c>
      <c r="E18" s="5" t="b">
        <v>0</v>
      </c>
    </row>
    <row r="19" spans="1:5">
      <c r="A19" t="s">
        <v>54</v>
      </c>
      <c r="B19" t="s">
        <v>175</v>
      </c>
      <c r="C19" t="b">
        <f>TRUE()</f>
        <v>1</v>
      </c>
      <c r="E19" s="5" t="b">
        <v>1</v>
      </c>
    </row>
    <row r="20" spans="1:5">
      <c r="A20" t="s">
        <v>56</v>
      </c>
      <c r="B20" t="s">
        <v>57</v>
      </c>
      <c r="C20" t="b">
        <f>TRUE()</f>
        <v>1</v>
      </c>
      <c r="E20" s="5" t="b">
        <v>1</v>
      </c>
    </row>
    <row r="21" spans="1:5">
      <c r="A21" t="s">
        <v>58</v>
      </c>
      <c r="B21" t="s">
        <v>153</v>
      </c>
      <c r="C21" t="b">
        <f>TRUE()</f>
        <v>1</v>
      </c>
      <c r="E21" s="5" t="b">
        <v>1</v>
      </c>
    </row>
    <row r="22" spans="1:5">
      <c r="A22" t="s">
        <v>60</v>
      </c>
      <c r="B22" t="s">
        <v>61</v>
      </c>
      <c r="C22" t="b">
        <f>TRUE()</f>
        <v>1</v>
      </c>
      <c r="E22" s="5" t="b">
        <v>1</v>
      </c>
    </row>
    <row r="23" spans="1:5">
      <c r="A23" t="s">
        <v>62</v>
      </c>
      <c r="B23" t="s">
        <v>29</v>
      </c>
      <c r="C23" t="b">
        <f>TRUE()</f>
        <v>1</v>
      </c>
      <c r="E23" s="5" t="b">
        <v>1</v>
      </c>
    </row>
    <row r="24" spans="1:5">
      <c r="A24" t="s">
        <v>63</v>
      </c>
      <c r="B24" t="s">
        <v>139</v>
      </c>
      <c r="C24" t="b">
        <f>TRUE()</f>
        <v>1</v>
      </c>
      <c r="E24" s="5" t="b">
        <v>1</v>
      </c>
    </row>
    <row r="25" spans="1:5">
      <c r="A25" t="s">
        <v>65</v>
      </c>
      <c r="B25" t="s">
        <v>66</v>
      </c>
      <c r="C25" t="b">
        <f>TRUE()</f>
        <v>1</v>
      </c>
      <c r="E25" s="5" t="b">
        <v>1</v>
      </c>
    </row>
    <row r="26" spans="1:5">
      <c r="A26" t="s">
        <v>67</v>
      </c>
      <c r="B26" t="s">
        <v>68</v>
      </c>
      <c r="C26" t="b">
        <f>TRUE()</f>
        <v>1</v>
      </c>
      <c r="E26" s="5" t="b">
        <v>1</v>
      </c>
    </row>
    <row r="27" spans="1:5">
      <c r="A27" t="s">
        <v>69</v>
      </c>
      <c r="B27" t="s">
        <v>140</v>
      </c>
      <c r="C27" t="b">
        <f>TRUE()</f>
        <v>1</v>
      </c>
      <c r="E27" s="5" t="b">
        <v>1</v>
      </c>
    </row>
    <row r="28" spans="1:5">
      <c r="A28" t="s">
        <v>71</v>
      </c>
      <c r="B28" t="s">
        <v>72</v>
      </c>
      <c r="C28" t="b">
        <f>TRUE()</f>
        <v>1</v>
      </c>
      <c r="E28" s="5" t="b">
        <v>1</v>
      </c>
    </row>
    <row r="29" spans="1:5">
      <c r="A29" t="s">
        <v>73</v>
      </c>
      <c r="B29" t="s">
        <v>29</v>
      </c>
      <c r="C29" t="b">
        <f>TRUE()</f>
        <v>1</v>
      </c>
      <c r="E29" s="5" t="b">
        <v>1</v>
      </c>
    </row>
    <row r="30" spans="1:5">
      <c r="A30" t="s">
        <v>74</v>
      </c>
      <c r="B30" t="s">
        <v>190</v>
      </c>
      <c r="C30" t="s">
        <v>8</v>
      </c>
      <c r="E30" s="5" t="b">
        <v>0</v>
      </c>
    </row>
    <row r="31" spans="1:5">
      <c r="A31" t="s">
        <v>76</v>
      </c>
      <c r="B31" t="s">
        <v>191</v>
      </c>
      <c r="C31" t="b">
        <f>TRUE()</f>
        <v>1</v>
      </c>
      <c r="E31" s="5" t="b">
        <v>1</v>
      </c>
    </row>
    <row r="32" spans="1:5">
      <c r="A32" t="s">
        <v>78</v>
      </c>
      <c r="B32" t="s">
        <v>79</v>
      </c>
      <c r="C32" t="b">
        <f>TRUE()</f>
        <v>1</v>
      </c>
      <c r="E32" s="5" t="b">
        <v>1</v>
      </c>
    </row>
    <row r="33" spans="1:5">
      <c r="A33" t="s">
        <v>80</v>
      </c>
      <c r="B33" t="s">
        <v>81</v>
      </c>
      <c r="C33" t="b">
        <f>TRUE()</f>
        <v>1</v>
      </c>
      <c r="E33" s="5" t="b">
        <v>1</v>
      </c>
    </row>
    <row r="34" spans="1:5">
      <c r="A34" t="s">
        <v>82</v>
      </c>
      <c r="B34" t="s">
        <v>83</v>
      </c>
      <c r="C34" t="b">
        <f>TRUE()</f>
        <v>1</v>
      </c>
      <c r="E34" s="5" t="b">
        <v>1</v>
      </c>
    </row>
    <row r="35" spans="1:5">
      <c r="A35" t="s">
        <v>84</v>
      </c>
      <c r="B35" t="s">
        <v>85</v>
      </c>
      <c r="C35" t="b">
        <f>TRUE()</f>
        <v>1</v>
      </c>
      <c r="E35" s="5" t="b">
        <v>1</v>
      </c>
    </row>
    <row r="36" spans="1:5">
      <c r="A36" t="s">
        <v>86</v>
      </c>
      <c r="B36" t="s">
        <v>134</v>
      </c>
      <c r="C36" t="b">
        <f>TRUE()</f>
        <v>1</v>
      </c>
      <c r="E36" s="5" t="b">
        <v>1</v>
      </c>
    </row>
    <row r="37" spans="1:5">
      <c r="A37" t="s">
        <v>88</v>
      </c>
      <c r="B37" t="s">
        <v>66</v>
      </c>
      <c r="C37" t="b">
        <f>TRUE()</f>
        <v>1</v>
      </c>
      <c r="E37" s="5" t="b">
        <v>1</v>
      </c>
    </row>
    <row r="38" spans="1:5">
      <c r="A38" t="s">
        <v>89</v>
      </c>
      <c r="B38" t="s">
        <v>90</v>
      </c>
      <c r="C38" t="b">
        <f>TRUE()</f>
        <v>1</v>
      </c>
      <c r="E38" s="5" t="b">
        <v>1</v>
      </c>
    </row>
    <row r="39" spans="1:5">
      <c r="A39" t="s">
        <v>91</v>
      </c>
      <c r="B39" t="s">
        <v>92</v>
      </c>
      <c r="C39" t="b">
        <f>TRUE()</f>
        <v>1</v>
      </c>
      <c r="E39" s="5" t="b">
        <v>1</v>
      </c>
    </row>
    <row r="40" spans="1:5">
      <c r="A40" t="s">
        <v>93</v>
      </c>
      <c r="B40" t="s">
        <v>94</v>
      </c>
      <c r="C40" t="b">
        <f>TRUE()</f>
        <v>1</v>
      </c>
      <c r="E40" s="5" t="b">
        <v>1</v>
      </c>
    </row>
    <row r="41" spans="1:5">
      <c r="A41" t="s">
        <v>95</v>
      </c>
      <c r="B41" t="s">
        <v>85</v>
      </c>
      <c r="C41" t="b">
        <f>TRUE()</f>
        <v>1</v>
      </c>
      <c r="E41" s="5" t="b">
        <v>1</v>
      </c>
    </row>
    <row r="42" spans="1:5">
      <c r="A42" t="s">
        <v>97</v>
      </c>
      <c r="B42" t="s">
        <v>139</v>
      </c>
      <c r="C42" t="b">
        <f>TRUE()</f>
        <v>1</v>
      </c>
      <c r="E42" s="5" t="b">
        <v>1</v>
      </c>
    </row>
    <row r="43" spans="1:5">
      <c r="A43" t="s">
        <v>99</v>
      </c>
      <c r="B43" t="s">
        <v>66</v>
      </c>
      <c r="C43" t="b">
        <f>TRUE()</f>
        <v>1</v>
      </c>
      <c r="E43" s="5" t="b">
        <v>1</v>
      </c>
    </row>
    <row r="44" spans="1:5">
      <c r="A44" t="s">
        <v>100</v>
      </c>
      <c r="B44" t="s">
        <v>101</v>
      </c>
      <c r="C44" t="b">
        <f>TRUE()</f>
        <v>1</v>
      </c>
      <c r="E44" s="5" t="b">
        <v>1</v>
      </c>
    </row>
    <row r="45" spans="1:5">
      <c r="A45" t="s">
        <v>102</v>
      </c>
      <c r="B45" t="s">
        <v>103</v>
      </c>
      <c r="C45" t="b">
        <f>TRUE()</f>
        <v>1</v>
      </c>
      <c r="E45" s="5" t="b">
        <v>1</v>
      </c>
    </row>
    <row r="46" spans="1:5">
      <c r="A46" t="s">
        <v>104</v>
      </c>
      <c r="B46" t="s">
        <v>39</v>
      </c>
      <c r="C46" t="b">
        <f>TRUE()</f>
        <v>1</v>
      </c>
      <c r="E46" s="5" t="b">
        <v>1</v>
      </c>
    </row>
    <row r="47" spans="1:5">
      <c r="A47" t="s">
        <v>105</v>
      </c>
      <c r="B47" t="s">
        <v>96</v>
      </c>
      <c r="C47" t="b">
        <f>TRUE()</f>
        <v>1</v>
      </c>
      <c r="E47" s="5" t="b">
        <v>1</v>
      </c>
    </row>
    <row r="48" spans="1:5">
      <c r="A48" t="s">
        <v>106</v>
      </c>
      <c r="B48" t="s">
        <v>107</v>
      </c>
      <c r="C48" t="b">
        <f>TRUE()</f>
        <v>1</v>
      </c>
      <c r="E48" s="5" t="b">
        <v>1</v>
      </c>
    </row>
    <row r="49" spans="1:5">
      <c r="A49" t="s">
        <v>108</v>
      </c>
      <c r="B49" t="s">
        <v>109</v>
      </c>
      <c r="C49" t="b">
        <f>TRUE()</f>
        <v>1</v>
      </c>
      <c r="E49" s="5" t="b">
        <v>1</v>
      </c>
    </row>
    <row r="50" spans="1:5">
      <c r="A50" t="s">
        <v>110</v>
      </c>
      <c r="B50" t="s">
        <v>111</v>
      </c>
      <c r="C50" t="b">
        <f>TRUE()</f>
        <v>1</v>
      </c>
      <c r="E50" s="5" t="b">
        <v>1</v>
      </c>
    </row>
    <row r="51" spans="1:5">
      <c r="A51" t="s">
        <v>112</v>
      </c>
      <c r="B51" t="s">
        <v>113</v>
      </c>
      <c r="C51" t="b">
        <f>TRUE()</f>
        <v>1</v>
      </c>
      <c r="E51" s="5" t="b">
        <v>1</v>
      </c>
    </row>
    <row r="52" spans="1:5">
      <c r="A52" t="s">
        <v>114</v>
      </c>
      <c r="B52" t="s">
        <v>115</v>
      </c>
      <c r="C52" t="b">
        <f>TRUE()</f>
        <v>1</v>
      </c>
      <c r="E52" s="5" t="b">
        <v>1</v>
      </c>
    </row>
    <row r="53" spans="1:5">
      <c r="A53" t="s">
        <v>116</v>
      </c>
      <c r="B53" t="s">
        <v>96</v>
      </c>
      <c r="C53" t="b">
        <f>TRUE()</f>
        <v>1</v>
      </c>
      <c r="E53" s="5" t="b">
        <v>1</v>
      </c>
    </row>
    <row r="54" spans="1:5">
      <c r="A54" t="s">
        <v>117</v>
      </c>
      <c r="B54" t="s">
        <v>192</v>
      </c>
      <c r="C54" t="b">
        <f>FALSE()</f>
        <v>0</v>
      </c>
      <c r="E54" s="5" t="b">
        <v>0</v>
      </c>
    </row>
    <row r="55" spans="1:5">
      <c r="A55" t="s">
        <v>119</v>
      </c>
      <c r="B55" t="s">
        <v>109</v>
      </c>
      <c r="C55" t="b">
        <f>TRUE()</f>
        <v>1</v>
      </c>
      <c r="E55" s="5" t="b">
        <v>1</v>
      </c>
    </row>
    <row r="56" spans="1:5">
      <c r="A56" t="s">
        <v>120</v>
      </c>
      <c r="B56" t="s">
        <v>121</v>
      </c>
      <c r="C56" t="b">
        <f>TRUE()</f>
        <v>1</v>
      </c>
      <c r="E56" s="5" t="b">
        <v>1</v>
      </c>
    </row>
    <row r="57" spans="1:5">
      <c r="A57" t="s">
        <v>122</v>
      </c>
      <c r="B57" t="s">
        <v>123</v>
      </c>
      <c r="C57" t="b">
        <f>TRUE()</f>
        <v>1</v>
      </c>
      <c r="E57" s="5" t="b">
        <v>1</v>
      </c>
    </row>
    <row r="58" spans="1:5">
      <c r="A58" t="s">
        <v>124</v>
      </c>
      <c r="B58" t="s">
        <v>125</v>
      </c>
      <c r="C58" t="b">
        <f>TRUE()</f>
        <v>1</v>
      </c>
      <c r="E58" s="5" t="b">
        <v>1</v>
      </c>
    </row>
    <row r="59" spans="1:5">
      <c r="A59" t="s">
        <v>126</v>
      </c>
      <c r="B59" t="s">
        <v>96</v>
      </c>
      <c r="C59" t="b">
        <f>TRUE()</f>
        <v>1</v>
      </c>
      <c r="E59" s="5" t="b">
        <v>1</v>
      </c>
    </row>
    <row r="60" spans="1:5" ht="31.35">
      <c r="A60" t="s">
        <v>127</v>
      </c>
      <c r="B60" s="2" t="s">
        <v>193</v>
      </c>
      <c r="C60" t="s">
        <v>8</v>
      </c>
      <c r="E60" s="5" t="b">
        <v>0</v>
      </c>
    </row>
    <row r="61" spans="1:5">
      <c r="A61" t="s">
        <v>129</v>
      </c>
      <c r="B61" t="s">
        <v>66</v>
      </c>
      <c r="C61" t="b">
        <f>TRUE()</f>
        <v>1</v>
      </c>
      <c r="E61" s="5" t="b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zoomScale="90" zoomScaleNormal="90" workbookViewId="0">
      <selection activeCell="E30" sqref="E30"/>
    </sheetView>
  </sheetViews>
  <sheetFormatPr defaultColWidth="8.5703125" defaultRowHeight="15"/>
  <cols>
    <col min="1" max="1" width="44.5703125" style="4" customWidth="1"/>
    <col min="2" max="2" width="40.140625" style="4" customWidth="1"/>
    <col min="3" max="4" width="8.5703125" style="4"/>
    <col min="5" max="5" width="14.7109375" style="4" customWidth="1"/>
    <col min="6" max="16384" width="8.5703125" style="4"/>
  </cols>
  <sheetData>
    <row r="1" spans="1:5">
      <c r="A1" s="1" t="s">
        <v>17</v>
      </c>
      <c r="B1" s="1" t="s">
        <v>18</v>
      </c>
      <c r="C1" s="4" t="s">
        <v>19</v>
      </c>
      <c r="D1" s="4" t="s">
        <v>20</v>
      </c>
      <c r="E1" s="4" t="s">
        <v>21</v>
      </c>
    </row>
    <row r="2" spans="1:5">
      <c r="A2" s="4" t="s">
        <v>22</v>
      </c>
      <c r="B2" s="4" t="s">
        <v>23</v>
      </c>
      <c r="C2" s="4" t="b">
        <f>TRUE()</f>
        <v>1</v>
      </c>
      <c r="E2" s="5" t="b">
        <v>1</v>
      </c>
    </row>
    <row r="3" spans="1:5">
      <c r="A3" s="4" t="s">
        <v>24</v>
      </c>
      <c r="B3" s="4" t="s">
        <v>130</v>
      </c>
      <c r="C3" s="4" t="b">
        <f>TRUE()</f>
        <v>1</v>
      </c>
      <c r="E3" s="4" t="b">
        <f>TRUE()</f>
        <v>1</v>
      </c>
    </row>
    <row r="4" spans="1:5">
      <c r="A4" s="4" t="s">
        <v>26</v>
      </c>
      <c r="B4" s="4" t="s">
        <v>27</v>
      </c>
      <c r="C4" s="4" t="b">
        <f>TRUE()</f>
        <v>1</v>
      </c>
      <c r="E4" s="4" t="b">
        <f>TRUE()</f>
        <v>1</v>
      </c>
    </row>
    <row r="5" spans="1:5">
      <c r="A5" s="4" t="s">
        <v>28</v>
      </c>
      <c r="B5" s="4" t="s">
        <v>194</v>
      </c>
      <c r="C5" s="4" t="b">
        <f>TRUE()</f>
        <v>1</v>
      </c>
      <c r="E5" s="4" t="b">
        <f>TRUE()</f>
        <v>1</v>
      </c>
    </row>
    <row r="6" spans="1:5">
      <c r="A6" s="4" t="s">
        <v>30</v>
      </c>
      <c r="B6" s="4" t="s">
        <v>195</v>
      </c>
      <c r="C6" s="4" t="b">
        <f>FALSE()</f>
        <v>0</v>
      </c>
      <c r="E6" s="5" t="b">
        <v>0</v>
      </c>
    </row>
    <row r="7" spans="1:5">
      <c r="A7" s="4" t="s">
        <v>32</v>
      </c>
      <c r="B7" s="4" t="s">
        <v>138</v>
      </c>
      <c r="C7" s="4" t="b">
        <f>FALSE()</f>
        <v>0</v>
      </c>
      <c r="E7" s="5" t="b">
        <v>0</v>
      </c>
    </row>
    <row r="8" spans="1:5">
      <c r="A8" s="4" t="s">
        <v>34</v>
      </c>
      <c r="B8" s="4" t="s">
        <v>196</v>
      </c>
      <c r="C8" s="4" t="b">
        <f>FALSE()</f>
        <v>0</v>
      </c>
      <c r="E8" s="5" t="b">
        <v>0</v>
      </c>
    </row>
    <row r="9" spans="1:5">
      <c r="A9" s="4" t="s">
        <v>36</v>
      </c>
      <c r="B9" s="4" t="s">
        <v>133</v>
      </c>
      <c r="C9" s="4" t="b">
        <f>TRUE()</f>
        <v>1</v>
      </c>
      <c r="E9" s="5" t="b">
        <v>1</v>
      </c>
    </row>
    <row r="10" spans="1:5">
      <c r="A10" s="4" t="s">
        <v>38</v>
      </c>
      <c r="B10" s="4" t="s">
        <v>39</v>
      </c>
      <c r="C10" s="4" t="b">
        <f>TRUE()</f>
        <v>1</v>
      </c>
      <c r="E10" s="5" t="b">
        <v>1</v>
      </c>
    </row>
    <row r="11" spans="1:5">
      <c r="A11" s="4" t="s">
        <v>40</v>
      </c>
      <c r="B11" s="4" t="s">
        <v>194</v>
      </c>
      <c r="C11" s="4" t="b">
        <f>TRUE()</f>
        <v>1</v>
      </c>
      <c r="E11" s="5" t="b">
        <v>1</v>
      </c>
    </row>
    <row r="12" spans="1:5">
      <c r="A12" s="4" t="s">
        <v>41</v>
      </c>
      <c r="B12" s="4" t="s">
        <v>134</v>
      </c>
      <c r="C12" s="4" t="s">
        <v>8</v>
      </c>
      <c r="E12" t="s">
        <v>8</v>
      </c>
    </row>
    <row r="13" spans="1:5">
      <c r="A13" s="4" t="s">
        <v>43</v>
      </c>
      <c r="B13" s="4" t="s">
        <v>149</v>
      </c>
      <c r="C13" s="4" t="b">
        <f>FALSE()</f>
        <v>0</v>
      </c>
      <c r="E13" s="5" t="b">
        <v>0</v>
      </c>
    </row>
    <row r="14" spans="1:5">
      <c r="A14" s="4" t="s">
        <v>45</v>
      </c>
      <c r="B14" s="4" t="s">
        <v>197</v>
      </c>
      <c r="C14" s="4" t="b">
        <f>FALSE()</f>
        <v>0</v>
      </c>
      <c r="E14" s="5" t="b">
        <v>0</v>
      </c>
    </row>
    <row r="15" spans="1:5">
      <c r="A15" s="4" t="s">
        <v>47</v>
      </c>
      <c r="B15" s="4" t="s">
        <v>48</v>
      </c>
      <c r="C15" s="4" t="b">
        <f>TRUE()</f>
        <v>1</v>
      </c>
      <c r="E15" s="5" t="b">
        <v>1</v>
      </c>
    </row>
    <row r="16" spans="1:5">
      <c r="A16" s="4" t="s">
        <v>49</v>
      </c>
      <c r="B16" s="4" t="s">
        <v>198</v>
      </c>
      <c r="C16" s="4" t="b">
        <f>TRUE()</f>
        <v>1</v>
      </c>
      <c r="E16" s="5" t="b">
        <v>1</v>
      </c>
    </row>
    <row r="17" spans="1:5">
      <c r="A17" s="4" t="s">
        <v>51</v>
      </c>
      <c r="B17" s="4" t="s">
        <v>194</v>
      </c>
      <c r="C17" s="4" t="b">
        <f>TRUE()</f>
        <v>1</v>
      </c>
      <c r="E17" s="5" t="b">
        <v>1</v>
      </c>
    </row>
    <row r="18" spans="1:5">
      <c r="A18" s="4" t="s">
        <v>52</v>
      </c>
      <c r="B18" s="4" t="s">
        <v>137</v>
      </c>
      <c r="C18" s="4" t="b">
        <f>FALSE()</f>
        <v>0</v>
      </c>
      <c r="E18" s="5" t="b">
        <v>0</v>
      </c>
    </row>
    <row r="19" spans="1:5">
      <c r="A19" s="4" t="s">
        <v>54</v>
      </c>
      <c r="B19" s="4" t="s">
        <v>142</v>
      </c>
      <c r="C19" s="4" t="b">
        <f>FALSE()</f>
        <v>0</v>
      </c>
      <c r="E19" s="5" t="b">
        <v>0</v>
      </c>
    </row>
    <row r="20" spans="1:5">
      <c r="A20" s="4" t="s">
        <v>56</v>
      </c>
      <c r="B20" s="4" t="s">
        <v>199</v>
      </c>
      <c r="C20" s="4" t="b">
        <f>FALSE()</f>
        <v>0</v>
      </c>
      <c r="E20" s="5" t="b">
        <v>0</v>
      </c>
    </row>
    <row r="21" spans="1:5">
      <c r="A21" s="4" t="s">
        <v>58</v>
      </c>
      <c r="B21" s="4" t="s">
        <v>153</v>
      </c>
      <c r="C21" s="4" t="b">
        <f>TRUE()</f>
        <v>1</v>
      </c>
      <c r="E21" s="5" t="b">
        <v>1</v>
      </c>
    </row>
    <row r="22" spans="1:5">
      <c r="A22" s="4" t="s">
        <v>60</v>
      </c>
      <c r="B22" s="4" t="s">
        <v>61</v>
      </c>
      <c r="C22" s="4" t="b">
        <f>TRUE()</f>
        <v>1</v>
      </c>
      <c r="E22" s="5" t="b">
        <v>1</v>
      </c>
    </row>
    <row r="23" spans="1:5">
      <c r="A23" s="4" t="s">
        <v>62</v>
      </c>
      <c r="B23" s="4" t="s">
        <v>194</v>
      </c>
      <c r="C23" s="4" t="b">
        <f>TRUE()</f>
        <v>1</v>
      </c>
      <c r="E23" s="5" t="b">
        <v>1</v>
      </c>
    </row>
    <row r="24" spans="1:5">
      <c r="A24" s="4" t="s">
        <v>63</v>
      </c>
      <c r="B24" s="4" t="s">
        <v>139</v>
      </c>
      <c r="C24" s="4" t="b">
        <f>TRUE()</f>
        <v>1</v>
      </c>
      <c r="E24" t="s">
        <v>8</v>
      </c>
    </row>
    <row r="25" spans="1:5">
      <c r="A25" s="4" t="s">
        <v>65</v>
      </c>
      <c r="B25" s="4" t="s">
        <v>200</v>
      </c>
      <c r="C25" s="4" t="b">
        <f>FALSE()</f>
        <v>0</v>
      </c>
      <c r="E25" s="5" t="b">
        <v>0</v>
      </c>
    </row>
    <row r="26" spans="1:5">
      <c r="A26" s="4" t="s">
        <v>67</v>
      </c>
      <c r="B26" s="4" t="s">
        <v>201</v>
      </c>
      <c r="C26" s="4" t="b">
        <f>FALSE()</f>
        <v>0</v>
      </c>
      <c r="E26" s="5" t="b">
        <v>0</v>
      </c>
    </row>
    <row r="27" spans="1:5">
      <c r="A27" s="4" t="s">
        <v>69</v>
      </c>
      <c r="B27" s="4" t="s">
        <v>202</v>
      </c>
      <c r="C27" s="4" t="b">
        <f>FALSE()</f>
        <v>0</v>
      </c>
      <c r="E27" s="5" t="b">
        <v>0</v>
      </c>
    </row>
    <row r="28" spans="1:5">
      <c r="A28" s="4" t="s">
        <v>71</v>
      </c>
      <c r="B28" s="4" t="s">
        <v>72</v>
      </c>
      <c r="C28" s="4" t="b">
        <f>TRUE()</f>
        <v>1</v>
      </c>
      <c r="E28" s="5" t="b">
        <v>1</v>
      </c>
    </row>
    <row r="29" spans="1:5">
      <c r="A29" s="4" t="s">
        <v>73</v>
      </c>
      <c r="B29" s="4" t="s">
        <v>194</v>
      </c>
      <c r="C29" s="4" t="b">
        <f>TRUE()</f>
        <v>1</v>
      </c>
      <c r="E29" s="5" t="b">
        <v>1</v>
      </c>
    </row>
    <row r="30" spans="1:5">
      <c r="A30" s="4" t="s">
        <v>74</v>
      </c>
      <c r="B30" s="4" t="s">
        <v>141</v>
      </c>
      <c r="C30" s="4" t="s">
        <v>8</v>
      </c>
      <c r="E30" s="4" t="s">
        <v>8</v>
      </c>
    </row>
    <row r="31" spans="1:5">
      <c r="A31" s="4" t="s">
        <v>76</v>
      </c>
      <c r="B31" s="4" t="s">
        <v>142</v>
      </c>
      <c r="C31" s="4" t="b">
        <f>FALSE()</f>
        <v>0</v>
      </c>
      <c r="E31" s="5" t="b">
        <v>0</v>
      </c>
    </row>
    <row r="32" spans="1:5">
      <c r="A32" s="4" t="s">
        <v>78</v>
      </c>
      <c r="B32" s="4" t="s">
        <v>79</v>
      </c>
      <c r="C32" s="4" t="b">
        <f>TRUE()</f>
        <v>1</v>
      </c>
      <c r="E32" s="5" t="b">
        <v>1</v>
      </c>
    </row>
    <row r="33" spans="1:5">
      <c r="A33" s="4" t="s">
        <v>80</v>
      </c>
      <c r="B33" s="4" t="s">
        <v>81</v>
      </c>
      <c r="C33" s="4" t="b">
        <f>TRUE()</f>
        <v>1</v>
      </c>
      <c r="E33" s="5" t="b">
        <v>1</v>
      </c>
    </row>
    <row r="34" spans="1:5">
      <c r="A34" s="4" t="s">
        <v>82</v>
      </c>
      <c r="B34" s="4" t="s">
        <v>83</v>
      </c>
      <c r="C34" s="4" t="b">
        <f>TRUE()</f>
        <v>1</v>
      </c>
      <c r="E34" s="5" t="b">
        <v>1</v>
      </c>
    </row>
    <row r="35" spans="1:5">
      <c r="A35" s="4" t="s">
        <v>84</v>
      </c>
      <c r="B35" s="4" t="s">
        <v>203</v>
      </c>
      <c r="C35" s="4" t="b">
        <f>TRUE()</f>
        <v>1</v>
      </c>
      <c r="E35" s="5" t="b">
        <v>1</v>
      </c>
    </row>
    <row r="36" spans="1:5">
      <c r="A36" s="4" t="s">
        <v>86</v>
      </c>
      <c r="B36" s="4" t="s">
        <v>204</v>
      </c>
      <c r="C36" s="4" t="s">
        <v>8</v>
      </c>
      <c r="E36" s="4" t="s">
        <v>8</v>
      </c>
    </row>
    <row r="37" spans="1:5">
      <c r="A37" s="4" t="s">
        <v>88</v>
      </c>
      <c r="B37" s="4" t="s">
        <v>205</v>
      </c>
      <c r="C37" s="4" t="b">
        <f>FALSE()</f>
        <v>0</v>
      </c>
      <c r="E37" s="5" t="b">
        <v>0</v>
      </c>
    </row>
    <row r="38" spans="1:5">
      <c r="A38" s="4" t="s">
        <v>89</v>
      </c>
      <c r="B38" s="4" t="s">
        <v>206</v>
      </c>
      <c r="C38" s="4" t="b">
        <f>TRUE()</f>
        <v>1</v>
      </c>
      <c r="E38" s="5" t="b">
        <v>1</v>
      </c>
    </row>
    <row r="39" spans="1:5">
      <c r="A39" s="4" t="s">
        <v>91</v>
      </c>
      <c r="B39" s="4" t="s">
        <v>169</v>
      </c>
      <c r="C39" s="4" t="b">
        <f>TRUE()</f>
        <v>1</v>
      </c>
      <c r="E39" s="5" t="b">
        <v>1</v>
      </c>
    </row>
    <row r="40" spans="1:5">
      <c r="A40" s="4" t="s">
        <v>93</v>
      </c>
      <c r="B40" s="4" t="s">
        <v>207</v>
      </c>
      <c r="C40" s="4" t="b">
        <f>TRUE()</f>
        <v>1</v>
      </c>
      <c r="E40" s="5" t="b">
        <v>1</v>
      </c>
    </row>
    <row r="41" spans="1:5">
      <c r="A41" s="4" t="s">
        <v>95</v>
      </c>
      <c r="B41" s="4" t="s">
        <v>203</v>
      </c>
      <c r="C41" s="4" t="b">
        <f>TRUE()</f>
        <v>1</v>
      </c>
      <c r="E41" s="5" t="b">
        <v>1</v>
      </c>
    </row>
    <row r="42" spans="1:5">
      <c r="A42" s="4" t="s">
        <v>97</v>
      </c>
      <c r="B42" s="4" t="s">
        <v>139</v>
      </c>
      <c r="C42" s="4" t="b">
        <f>TRUE()</f>
        <v>1</v>
      </c>
      <c r="E42" s="5" t="b">
        <v>1</v>
      </c>
    </row>
    <row r="43" spans="1:5">
      <c r="A43" s="4" t="s">
        <v>99</v>
      </c>
      <c r="B43" s="4" t="s">
        <v>66</v>
      </c>
      <c r="C43" s="4" t="b">
        <f>TRUE()</f>
        <v>1</v>
      </c>
      <c r="E43" s="5" t="b">
        <v>1</v>
      </c>
    </row>
    <row r="44" spans="1:5">
      <c r="A44" s="4" t="s">
        <v>100</v>
      </c>
      <c r="B44" s="4" t="s">
        <v>101</v>
      </c>
      <c r="C44" s="4" t="b">
        <f>TRUE()</f>
        <v>1</v>
      </c>
      <c r="E44" s="5" t="b">
        <v>1</v>
      </c>
    </row>
    <row r="45" spans="1:5">
      <c r="A45" s="4" t="s">
        <v>102</v>
      </c>
      <c r="B45" s="4" t="s">
        <v>103</v>
      </c>
      <c r="C45" s="4" t="b">
        <f>TRUE()</f>
        <v>1</v>
      </c>
      <c r="E45" s="5" t="b">
        <v>1</v>
      </c>
    </row>
    <row r="46" spans="1:5">
      <c r="A46" s="4" t="s">
        <v>104</v>
      </c>
      <c r="B46" s="4" t="s">
        <v>39</v>
      </c>
      <c r="C46" s="4" t="b">
        <f>TRUE()</f>
        <v>1</v>
      </c>
      <c r="E46" s="5" t="b">
        <v>1</v>
      </c>
    </row>
    <row r="47" spans="1:5">
      <c r="A47" s="4" t="s">
        <v>105</v>
      </c>
      <c r="B47" s="4" t="s">
        <v>203</v>
      </c>
      <c r="C47" s="4" t="b">
        <f>TRUE()</f>
        <v>1</v>
      </c>
      <c r="E47" s="5" t="b">
        <v>1</v>
      </c>
    </row>
    <row r="48" spans="1:5">
      <c r="A48" s="4" t="s">
        <v>106</v>
      </c>
      <c r="B48" s="4" t="s">
        <v>107</v>
      </c>
      <c r="C48" s="4" t="b">
        <f>TRUE()</f>
        <v>1</v>
      </c>
      <c r="E48" s="5" t="b">
        <v>1</v>
      </c>
    </row>
    <row r="49" spans="1:5">
      <c r="A49" s="4" t="s">
        <v>108</v>
      </c>
      <c r="B49" s="4" t="s">
        <v>109</v>
      </c>
      <c r="C49" s="4" t="b">
        <f>TRUE()</f>
        <v>1</v>
      </c>
      <c r="E49" s="5" t="b">
        <v>1</v>
      </c>
    </row>
    <row r="50" spans="1:5">
      <c r="A50" s="4" t="s">
        <v>110</v>
      </c>
      <c r="B50" s="4" t="s">
        <v>208</v>
      </c>
      <c r="C50" s="4" t="b">
        <f>FALSE()</f>
        <v>0</v>
      </c>
      <c r="E50" s="5" t="b">
        <v>0</v>
      </c>
    </row>
    <row r="51" spans="1:5">
      <c r="A51" s="4" t="s">
        <v>112</v>
      </c>
      <c r="B51" s="4" t="s">
        <v>113</v>
      </c>
      <c r="C51" s="4" t="b">
        <f>TRUE()</f>
        <v>1</v>
      </c>
      <c r="E51" s="5" t="b">
        <v>1</v>
      </c>
    </row>
    <row r="52" spans="1:5">
      <c r="A52" s="4" t="s">
        <v>114</v>
      </c>
      <c r="B52" s="4" t="s">
        <v>115</v>
      </c>
      <c r="C52" s="4" t="b">
        <f>TRUE()</f>
        <v>1</v>
      </c>
      <c r="E52" s="5" t="b">
        <v>1</v>
      </c>
    </row>
    <row r="53" spans="1:5">
      <c r="A53" s="4" t="s">
        <v>116</v>
      </c>
      <c r="B53" s="4" t="s">
        <v>203</v>
      </c>
      <c r="C53" s="4" t="b">
        <f>TRUE()</f>
        <v>1</v>
      </c>
      <c r="E53" s="5" t="b">
        <v>1</v>
      </c>
    </row>
    <row r="54" spans="1:5">
      <c r="A54" s="4" t="s">
        <v>117</v>
      </c>
      <c r="B54" s="4" t="s">
        <v>145</v>
      </c>
      <c r="C54" s="4" t="b">
        <f>TRUE()</f>
        <v>1</v>
      </c>
      <c r="E54" s="5" t="b">
        <v>1</v>
      </c>
    </row>
    <row r="55" spans="1:5">
      <c r="A55" s="4" t="s">
        <v>119</v>
      </c>
      <c r="B55" s="4" t="s">
        <v>33</v>
      </c>
      <c r="C55" s="4" t="b">
        <f>FALSE()</f>
        <v>0</v>
      </c>
      <c r="E55" s="5" t="b">
        <v>1</v>
      </c>
    </row>
    <row r="56" spans="1:5">
      <c r="A56" s="4" t="s">
        <v>120</v>
      </c>
      <c r="B56" s="4" t="s">
        <v>121</v>
      </c>
      <c r="C56" s="4" t="b">
        <f>TRUE()</f>
        <v>1</v>
      </c>
      <c r="E56" s="5" t="b">
        <v>1</v>
      </c>
    </row>
    <row r="57" spans="1:5">
      <c r="A57" s="4" t="s">
        <v>122</v>
      </c>
      <c r="B57" s="4" t="s">
        <v>123</v>
      </c>
      <c r="C57" s="4" t="b">
        <f>TRUE()</f>
        <v>1</v>
      </c>
      <c r="E57" s="5" t="b">
        <v>1</v>
      </c>
    </row>
    <row r="58" spans="1:5">
      <c r="A58" s="4" t="s">
        <v>124</v>
      </c>
      <c r="B58" s="4" t="s">
        <v>125</v>
      </c>
      <c r="C58" s="4" t="b">
        <f>TRUE()</f>
        <v>1</v>
      </c>
      <c r="E58" s="5" t="b">
        <v>1</v>
      </c>
    </row>
    <row r="59" spans="1:5">
      <c r="A59" s="4" t="s">
        <v>126</v>
      </c>
      <c r="B59" s="4" t="s">
        <v>203</v>
      </c>
      <c r="C59" s="4" t="b">
        <f>TRUE()</f>
        <v>1</v>
      </c>
      <c r="E59" s="5" t="b">
        <v>1</v>
      </c>
    </row>
    <row r="60" spans="1:5">
      <c r="A60" s="4" t="s">
        <v>127</v>
      </c>
      <c r="B60" s="4" t="s">
        <v>128</v>
      </c>
      <c r="C60" s="4" t="b">
        <f>TRUE()</f>
        <v>1</v>
      </c>
      <c r="E60" s="5" t="b">
        <v>1</v>
      </c>
    </row>
    <row r="61" spans="1:5">
      <c r="A61" s="4" t="s">
        <v>129</v>
      </c>
      <c r="B61" s="4" t="s">
        <v>205</v>
      </c>
      <c r="C61" s="4" t="b">
        <f>FALSE()</f>
        <v>0</v>
      </c>
      <c r="E61" s="5" t="b"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zoomScale="90" zoomScaleNormal="90" workbookViewId="0">
      <selection activeCell="F19" sqref="F19"/>
    </sheetView>
  </sheetViews>
  <sheetFormatPr defaultColWidth="8.5703125" defaultRowHeight="15"/>
  <cols>
    <col min="1" max="1" width="44.42578125" style="4" customWidth="1"/>
    <col min="2" max="2" width="42.85546875" style="4" customWidth="1"/>
    <col min="3" max="3" width="14.7109375" style="4" customWidth="1"/>
    <col min="4" max="4" width="8.5703125" style="4"/>
    <col min="5" max="5" width="12.7109375" style="4" customWidth="1"/>
    <col min="6" max="16384" width="8.5703125" style="4"/>
  </cols>
  <sheetData>
    <row r="1" spans="1:5">
      <c r="A1" s="1" t="s">
        <v>17</v>
      </c>
      <c r="B1" s="1" t="s">
        <v>18</v>
      </c>
      <c r="C1" s="4" t="s">
        <v>19</v>
      </c>
      <c r="D1" s="4" t="s">
        <v>20</v>
      </c>
      <c r="E1" s="4" t="s">
        <v>21</v>
      </c>
    </row>
    <row r="2" spans="1:5">
      <c r="A2" s="4" t="s">
        <v>22</v>
      </c>
      <c r="B2" s="4" t="s">
        <v>23</v>
      </c>
      <c r="C2" s="4" t="b">
        <f>TRUE()</f>
        <v>1</v>
      </c>
      <c r="E2" s="4" t="b">
        <f>TRUE()</f>
        <v>1</v>
      </c>
    </row>
    <row r="3" spans="1:5">
      <c r="A3" s="4" t="s">
        <v>24</v>
      </c>
      <c r="B3" s="4" t="s">
        <v>130</v>
      </c>
      <c r="C3" s="4" t="b">
        <f>TRUE()</f>
        <v>1</v>
      </c>
      <c r="E3" s="4" t="b">
        <f>TRUE()</f>
        <v>1</v>
      </c>
    </row>
    <row r="4" spans="1:5">
      <c r="A4" s="4" t="s">
        <v>26</v>
      </c>
      <c r="B4" s="4" t="s">
        <v>209</v>
      </c>
      <c r="C4" s="4" t="b">
        <f>TRUE()</f>
        <v>1</v>
      </c>
      <c r="E4" s="4" t="b">
        <f>TRUE()</f>
        <v>1</v>
      </c>
    </row>
    <row r="5" spans="1:5">
      <c r="A5" s="4" t="s">
        <v>28</v>
      </c>
      <c r="B5" s="4" t="s">
        <v>194</v>
      </c>
      <c r="C5" s="4" t="b">
        <f>TRUE()</f>
        <v>1</v>
      </c>
      <c r="E5" s="4" t="b">
        <f>TRUE()</f>
        <v>1</v>
      </c>
    </row>
    <row r="6" spans="1:5">
      <c r="A6" s="4" t="s">
        <v>30</v>
      </c>
      <c r="B6" s="4" t="s">
        <v>195</v>
      </c>
      <c r="C6" s="4" t="b">
        <f>FALSE()</f>
        <v>0</v>
      </c>
      <c r="E6" s="4" t="b">
        <f>FALSE()</f>
        <v>0</v>
      </c>
    </row>
    <row r="7" spans="1:5">
      <c r="A7" s="4" t="s">
        <v>32</v>
      </c>
      <c r="B7" s="4" t="s">
        <v>210</v>
      </c>
      <c r="C7" s="4" t="b">
        <f>FALSE()</f>
        <v>0</v>
      </c>
      <c r="E7" s="4" t="b">
        <f>FALSE()</f>
        <v>0</v>
      </c>
    </row>
    <row r="8" spans="1:5">
      <c r="A8" s="4" t="s">
        <v>34</v>
      </c>
      <c r="B8" s="4" t="s">
        <v>211</v>
      </c>
      <c r="C8" s="4" t="b">
        <f>FALSE()</f>
        <v>0</v>
      </c>
      <c r="E8" s="4" t="b">
        <f>FALSE()</f>
        <v>0</v>
      </c>
    </row>
    <row r="9" spans="1:5">
      <c r="A9" s="4" t="s">
        <v>36</v>
      </c>
      <c r="B9" s="4" t="s">
        <v>37</v>
      </c>
      <c r="C9" s="4" t="b">
        <f>TRUE()</f>
        <v>1</v>
      </c>
      <c r="E9" s="4" t="b">
        <f>TRUE()</f>
        <v>1</v>
      </c>
    </row>
    <row r="10" spans="1:5">
      <c r="A10" s="4" t="s">
        <v>38</v>
      </c>
      <c r="B10" s="4" t="s">
        <v>212</v>
      </c>
      <c r="C10" s="4" t="b">
        <f>FALSE()</f>
        <v>0</v>
      </c>
      <c r="E10" s="4" t="b">
        <f>FALSE()</f>
        <v>0</v>
      </c>
    </row>
    <row r="11" spans="1:5">
      <c r="A11" s="4" t="s">
        <v>40</v>
      </c>
      <c r="B11" s="4" t="s">
        <v>194</v>
      </c>
      <c r="C11" s="4" t="b">
        <f>TRUE()</f>
        <v>1</v>
      </c>
      <c r="E11" s="4" t="b">
        <f>TRUE()</f>
        <v>1</v>
      </c>
    </row>
    <row r="12" spans="1:5" ht="31.35">
      <c r="A12" s="4" t="s">
        <v>41</v>
      </c>
      <c r="B12" s="6" t="s">
        <v>213</v>
      </c>
      <c r="C12" s="4" t="b">
        <f>FALSE()</f>
        <v>0</v>
      </c>
      <c r="E12" s="4" t="b">
        <f>FALSE()</f>
        <v>0</v>
      </c>
    </row>
    <row r="13" spans="1:5">
      <c r="A13" s="4" t="s">
        <v>43</v>
      </c>
      <c r="B13" s="4" t="s">
        <v>214</v>
      </c>
      <c r="C13" s="4" t="b">
        <f>FALSE()</f>
        <v>0</v>
      </c>
      <c r="E13" s="4" t="b">
        <f>FALSE()</f>
        <v>0</v>
      </c>
    </row>
    <row r="14" spans="1:5">
      <c r="A14" s="4" t="s">
        <v>45</v>
      </c>
      <c r="B14" s="4" t="s">
        <v>46</v>
      </c>
      <c r="C14" s="4" t="b">
        <f>TRUE()</f>
        <v>1</v>
      </c>
      <c r="E14" s="4" t="b">
        <f>TRUE()</f>
        <v>1</v>
      </c>
    </row>
    <row r="15" spans="1:5">
      <c r="A15" s="4" t="s">
        <v>47</v>
      </c>
      <c r="B15" s="4" t="s">
        <v>48</v>
      </c>
      <c r="C15" s="4" t="b">
        <f>TRUE()</f>
        <v>1</v>
      </c>
      <c r="E15" s="4" t="b">
        <f>TRUE()</f>
        <v>1</v>
      </c>
    </row>
    <row r="16" spans="1:5">
      <c r="A16" s="4" t="s">
        <v>49</v>
      </c>
      <c r="B16" s="4" t="s">
        <v>198</v>
      </c>
      <c r="C16" s="4" t="b">
        <f>TRUE()</f>
        <v>1</v>
      </c>
      <c r="E16" s="4" t="b">
        <f>TRUE()</f>
        <v>1</v>
      </c>
    </row>
    <row r="17" spans="1:5">
      <c r="A17" s="4" t="s">
        <v>51</v>
      </c>
      <c r="B17" s="4" t="s">
        <v>194</v>
      </c>
      <c r="C17" s="4" t="b">
        <f>TRUE()</f>
        <v>1</v>
      </c>
      <c r="E17" s="4" t="b">
        <f>TRUE()</f>
        <v>1</v>
      </c>
    </row>
    <row r="18" spans="1:5" ht="31.35">
      <c r="A18" s="4" t="s">
        <v>52</v>
      </c>
      <c r="B18" s="6" t="s">
        <v>215</v>
      </c>
      <c r="C18" s="4" t="b">
        <f>FALSE()</f>
        <v>0</v>
      </c>
      <c r="E18" s="4" t="b">
        <f>FALSE()</f>
        <v>0</v>
      </c>
    </row>
    <row r="19" spans="1:5">
      <c r="A19" s="4" t="s">
        <v>54</v>
      </c>
      <c r="B19" s="4" t="s">
        <v>135</v>
      </c>
      <c r="C19" s="4" t="b">
        <f>FALSE()</f>
        <v>0</v>
      </c>
      <c r="E19" s="4" t="b">
        <f>FALSE()</f>
        <v>0</v>
      </c>
    </row>
    <row r="20" spans="1:5">
      <c r="A20" s="4" t="s">
        <v>56</v>
      </c>
      <c r="B20" s="4" t="s">
        <v>57</v>
      </c>
      <c r="C20" s="4" t="b">
        <f>TRUE()</f>
        <v>1</v>
      </c>
      <c r="E20" s="4" t="b">
        <f>TRUE()</f>
        <v>1</v>
      </c>
    </row>
    <row r="21" spans="1:5">
      <c r="A21" s="4" t="s">
        <v>58</v>
      </c>
      <c r="B21" s="4" t="s">
        <v>153</v>
      </c>
      <c r="C21" s="4" t="b">
        <f>TRUE()</f>
        <v>1</v>
      </c>
      <c r="E21" s="4" t="b">
        <f>TRUE()</f>
        <v>1</v>
      </c>
    </row>
    <row r="22" spans="1:5">
      <c r="A22" s="4" t="s">
        <v>60</v>
      </c>
      <c r="B22" s="4" t="s">
        <v>61</v>
      </c>
      <c r="C22" s="4" t="b">
        <f>TRUE()</f>
        <v>1</v>
      </c>
      <c r="E22" s="4" t="b">
        <f>TRUE()</f>
        <v>1</v>
      </c>
    </row>
    <row r="23" spans="1:5">
      <c r="A23" s="4" t="s">
        <v>62</v>
      </c>
      <c r="B23" s="4" t="s">
        <v>194</v>
      </c>
      <c r="C23" s="4" t="b">
        <f>TRUE()</f>
        <v>1</v>
      </c>
      <c r="E23" s="4" t="b">
        <f>TRUE()</f>
        <v>1</v>
      </c>
    </row>
    <row r="24" spans="1:5">
      <c r="A24" s="4" t="s">
        <v>63</v>
      </c>
      <c r="B24" s="4" t="s">
        <v>216</v>
      </c>
      <c r="C24" s="4" t="b">
        <f>FALSE()</f>
        <v>0</v>
      </c>
      <c r="E24" s="4" t="b">
        <f>FALSE()</f>
        <v>0</v>
      </c>
    </row>
    <row r="25" spans="1:5">
      <c r="A25" s="4" t="s">
        <v>65</v>
      </c>
      <c r="B25" s="4" t="s">
        <v>217</v>
      </c>
      <c r="C25" s="4" t="b">
        <f>FALSE()</f>
        <v>0</v>
      </c>
      <c r="E25" s="4" t="b">
        <f>FALSE()</f>
        <v>0</v>
      </c>
    </row>
    <row r="26" spans="1:5">
      <c r="A26" s="4" t="s">
        <v>67</v>
      </c>
      <c r="B26" s="4" t="s">
        <v>218</v>
      </c>
      <c r="C26" s="4" t="b">
        <f>FALSE()</f>
        <v>0</v>
      </c>
      <c r="E26" s="4" t="b">
        <f>FALSE()</f>
        <v>0</v>
      </c>
    </row>
    <row r="27" spans="1:5">
      <c r="A27" s="4" t="s">
        <v>69</v>
      </c>
      <c r="B27" s="4" t="s">
        <v>219</v>
      </c>
      <c r="C27" s="4" t="b">
        <f>FALSE()</f>
        <v>0</v>
      </c>
      <c r="E27" s="4" t="b">
        <f>FALSE()</f>
        <v>0</v>
      </c>
    </row>
    <row r="28" spans="1:5">
      <c r="A28" s="4" t="s">
        <v>71</v>
      </c>
      <c r="B28" s="4" t="s">
        <v>220</v>
      </c>
      <c r="C28" s="4" t="b">
        <f>TRUE()</f>
        <v>1</v>
      </c>
      <c r="E28" s="4" t="b">
        <f>TRUE()</f>
        <v>1</v>
      </c>
    </row>
    <row r="29" spans="1:5">
      <c r="A29" s="4" t="s">
        <v>73</v>
      </c>
      <c r="B29" s="4" t="s">
        <v>194</v>
      </c>
      <c r="C29" s="4" t="b">
        <f>TRUE()</f>
        <v>1</v>
      </c>
      <c r="E29" s="4" t="b">
        <f>TRUE()</f>
        <v>1</v>
      </c>
    </row>
    <row r="30" spans="1:5" ht="31.35">
      <c r="A30" s="4" t="s">
        <v>74</v>
      </c>
      <c r="B30" s="6" t="s">
        <v>221</v>
      </c>
      <c r="C30" s="4" t="b">
        <f>FALSE()</f>
        <v>0</v>
      </c>
      <c r="E30" s="4" t="b">
        <f>FALSE()</f>
        <v>0</v>
      </c>
    </row>
    <row r="31" spans="1:5">
      <c r="A31" s="4" t="s">
        <v>76</v>
      </c>
      <c r="B31" s="4" t="s">
        <v>138</v>
      </c>
      <c r="C31" s="4" t="b">
        <f>FALSE()</f>
        <v>0</v>
      </c>
      <c r="E31" s="4" t="b">
        <f>FALSE()</f>
        <v>0</v>
      </c>
    </row>
    <row r="32" spans="1:5">
      <c r="A32" s="4" t="s">
        <v>78</v>
      </c>
      <c r="B32" s="4" t="s">
        <v>79</v>
      </c>
      <c r="C32" s="4" t="b">
        <f>TRUE()</f>
        <v>1</v>
      </c>
      <c r="E32" s="4" t="b">
        <f>TRUE()</f>
        <v>1</v>
      </c>
    </row>
    <row r="33" spans="1:5">
      <c r="A33" s="4" t="s">
        <v>80</v>
      </c>
      <c r="B33" s="4" t="s">
        <v>81</v>
      </c>
      <c r="C33" s="4" t="b">
        <f>TRUE()</f>
        <v>1</v>
      </c>
      <c r="E33" s="4" t="b">
        <f>TRUE()</f>
        <v>1</v>
      </c>
    </row>
    <row r="34" spans="1:5">
      <c r="A34" s="4" t="s">
        <v>82</v>
      </c>
      <c r="B34" s="4" t="s">
        <v>222</v>
      </c>
      <c r="C34" s="4" t="b">
        <f>TRUE()</f>
        <v>1</v>
      </c>
      <c r="E34" s="4" t="b">
        <f>TRUE()</f>
        <v>1</v>
      </c>
    </row>
    <row r="35" spans="1:5">
      <c r="A35" s="4" t="s">
        <v>84</v>
      </c>
      <c r="B35" s="4" t="s">
        <v>203</v>
      </c>
      <c r="C35" s="4" t="b">
        <f>TRUE()</f>
        <v>1</v>
      </c>
      <c r="E35" s="4" t="b">
        <f>TRUE()</f>
        <v>1</v>
      </c>
    </row>
    <row r="36" spans="1:5">
      <c r="A36" s="4" t="s">
        <v>86</v>
      </c>
      <c r="B36" s="4" t="s">
        <v>223</v>
      </c>
      <c r="C36" s="4" t="b">
        <f>FALSE()</f>
        <v>0</v>
      </c>
      <c r="E36" s="4" t="b">
        <f>FALSE()</f>
        <v>0</v>
      </c>
    </row>
    <row r="37" spans="1:5">
      <c r="A37" s="4" t="s">
        <v>88</v>
      </c>
      <c r="B37" s="4" t="s">
        <v>33</v>
      </c>
      <c r="C37" s="4" t="b">
        <f>FALSE()</f>
        <v>0</v>
      </c>
      <c r="E37" s="4" t="b">
        <f>FALSE()</f>
        <v>0</v>
      </c>
    </row>
    <row r="38" spans="1:5">
      <c r="A38" s="4" t="s">
        <v>89</v>
      </c>
      <c r="B38" s="4" t="s">
        <v>224</v>
      </c>
      <c r="C38" s="4" t="b">
        <f>FALSE()</f>
        <v>0</v>
      </c>
      <c r="E38" s="4" t="b">
        <f>FALSE()</f>
        <v>0</v>
      </c>
    </row>
    <row r="39" spans="1:5">
      <c r="A39" s="4" t="s">
        <v>91</v>
      </c>
      <c r="B39" s="4" t="s">
        <v>197</v>
      </c>
      <c r="C39" s="4" t="b">
        <f>FALSE()</f>
        <v>0</v>
      </c>
      <c r="E39" s="4" t="b">
        <f>FALSE()</f>
        <v>0</v>
      </c>
    </row>
    <row r="40" spans="1:5">
      <c r="A40" s="4" t="s">
        <v>93</v>
      </c>
      <c r="B40" s="4" t="s">
        <v>207</v>
      </c>
      <c r="C40" s="4" t="b">
        <f>TRUE()</f>
        <v>1</v>
      </c>
      <c r="E40" s="4" t="b">
        <f>TRUE()</f>
        <v>1</v>
      </c>
    </row>
    <row r="41" spans="1:5">
      <c r="A41" s="4" t="s">
        <v>95</v>
      </c>
      <c r="B41" s="4" t="s">
        <v>203</v>
      </c>
      <c r="C41" s="4" t="b">
        <f>TRUE()</f>
        <v>1</v>
      </c>
      <c r="E41" s="4" t="b">
        <f>TRUE()</f>
        <v>1</v>
      </c>
    </row>
    <row r="42" spans="1:5" ht="47.85" customHeight="1">
      <c r="A42" s="4" t="s">
        <v>97</v>
      </c>
      <c r="B42" s="6" t="s">
        <v>225</v>
      </c>
      <c r="C42" s="4" t="b">
        <f>FALSE()</f>
        <v>0</v>
      </c>
      <c r="E42" s="5" t="b">
        <v>0</v>
      </c>
    </row>
    <row r="43" spans="1:5">
      <c r="A43" s="4" t="s">
        <v>99</v>
      </c>
      <c r="B43" s="4" t="s">
        <v>33</v>
      </c>
      <c r="C43" s="4" t="b">
        <f>FALSE()</f>
        <v>0</v>
      </c>
      <c r="E43" s="5" t="b">
        <v>0</v>
      </c>
    </row>
    <row r="44" spans="1:5">
      <c r="A44" s="4" t="s">
        <v>100</v>
      </c>
      <c r="B44" s="4" t="s">
        <v>101</v>
      </c>
      <c r="C44" s="4" t="b">
        <f>TRUE()</f>
        <v>1</v>
      </c>
      <c r="E44" s="5" t="b">
        <v>1</v>
      </c>
    </row>
    <row r="45" spans="1:5">
      <c r="A45" s="4" t="s">
        <v>102</v>
      </c>
      <c r="B45" s="4" t="s">
        <v>226</v>
      </c>
      <c r="C45" s="4" t="b">
        <f>FALSE()</f>
        <v>0</v>
      </c>
      <c r="E45" s="5" t="b">
        <v>0</v>
      </c>
    </row>
    <row r="46" spans="1:5">
      <c r="A46" s="4" t="s">
        <v>104</v>
      </c>
      <c r="B46" s="4" t="s">
        <v>39</v>
      </c>
      <c r="C46" s="4" t="b">
        <f>TRUE()</f>
        <v>1</v>
      </c>
      <c r="E46" s="5" t="b">
        <v>1</v>
      </c>
    </row>
    <row r="47" spans="1:5">
      <c r="A47" s="4" t="s">
        <v>105</v>
      </c>
      <c r="B47" s="4" t="s">
        <v>203</v>
      </c>
      <c r="C47" s="4" t="b">
        <f>TRUE()</f>
        <v>1</v>
      </c>
      <c r="E47" s="5" t="b">
        <v>1</v>
      </c>
    </row>
    <row r="48" spans="1:5">
      <c r="A48" s="4" t="s">
        <v>106</v>
      </c>
      <c r="B48" s="4" t="s">
        <v>227</v>
      </c>
      <c r="C48" s="4" t="b">
        <f>TRUE()</f>
        <v>1</v>
      </c>
      <c r="E48" t="s">
        <v>8</v>
      </c>
    </row>
    <row r="49" spans="1:5">
      <c r="A49" s="4" t="s">
        <v>108</v>
      </c>
      <c r="B49" s="4" t="s">
        <v>66</v>
      </c>
      <c r="C49" s="4" t="b">
        <f>FALSE()</f>
        <v>0</v>
      </c>
      <c r="E49" s="4" t="b">
        <f>FALSE()</f>
        <v>0</v>
      </c>
    </row>
    <row r="50" spans="1:5">
      <c r="A50" s="4" t="s">
        <v>110</v>
      </c>
      <c r="B50" s="4" t="s">
        <v>228</v>
      </c>
      <c r="C50" s="4" t="b">
        <f>FALSE()</f>
        <v>0</v>
      </c>
      <c r="E50" s="4" t="b">
        <f>FALSE()</f>
        <v>0</v>
      </c>
    </row>
    <row r="51" spans="1:5">
      <c r="A51" s="4" t="s">
        <v>112</v>
      </c>
      <c r="B51" s="4" t="s">
        <v>197</v>
      </c>
      <c r="C51" s="4" t="b">
        <f>FALSE()</f>
        <v>0</v>
      </c>
      <c r="E51" s="4" t="b">
        <f>FALSE()</f>
        <v>0</v>
      </c>
    </row>
    <row r="52" spans="1:5">
      <c r="A52" s="4" t="s">
        <v>114</v>
      </c>
      <c r="B52" s="4" t="s">
        <v>115</v>
      </c>
      <c r="C52" s="4" t="b">
        <f>TRUE()</f>
        <v>1</v>
      </c>
      <c r="E52" s="4" t="b">
        <f>TRUE()</f>
        <v>1</v>
      </c>
    </row>
    <row r="53" spans="1:5">
      <c r="A53" s="4" t="s">
        <v>116</v>
      </c>
      <c r="B53" s="4" t="s">
        <v>203</v>
      </c>
      <c r="C53" s="4" t="b">
        <f>TRUE()</f>
        <v>1</v>
      </c>
      <c r="E53" s="4" t="b">
        <f>TRUE()</f>
        <v>1</v>
      </c>
    </row>
    <row r="54" spans="1:5" ht="31.35">
      <c r="A54" s="4" t="s">
        <v>117</v>
      </c>
      <c r="B54" s="6" t="s">
        <v>229</v>
      </c>
      <c r="C54" s="4" t="b">
        <f>FALSE()</f>
        <v>0</v>
      </c>
      <c r="E54" s="4" t="b">
        <f>FALSE()</f>
        <v>0</v>
      </c>
    </row>
    <row r="55" spans="1:5">
      <c r="A55" s="4" t="s">
        <v>119</v>
      </c>
      <c r="B55" s="4" t="s">
        <v>230</v>
      </c>
      <c r="C55" s="4" t="b">
        <f>FALSE()</f>
        <v>0</v>
      </c>
      <c r="E55" s="4" t="b">
        <f>FALSE()</f>
        <v>0</v>
      </c>
    </row>
    <row r="56" spans="1:5">
      <c r="A56" s="4" t="s">
        <v>120</v>
      </c>
      <c r="B56" s="4" t="s">
        <v>197</v>
      </c>
      <c r="C56" s="4" t="b">
        <f>FALSE()</f>
        <v>0</v>
      </c>
      <c r="E56" s="4" t="b">
        <f>FALSE()</f>
        <v>0</v>
      </c>
    </row>
    <row r="57" spans="1:5">
      <c r="A57" s="4" t="s">
        <v>122</v>
      </c>
      <c r="B57" s="4" t="s">
        <v>123</v>
      </c>
      <c r="C57" s="4" t="b">
        <f>TRUE()</f>
        <v>1</v>
      </c>
      <c r="E57" s="4" t="b">
        <f>TRUE()</f>
        <v>1</v>
      </c>
    </row>
    <row r="58" spans="1:5">
      <c r="A58" s="4" t="s">
        <v>124</v>
      </c>
      <c r="B58" s="4" t="s">
        <v>125</v>
      </c>
      <c r="C58" s="4" t="b">
        <f>TRUE()</f>
        <v>1</v>
      </c>
      <c r="E58" s="4" t="b">
        <f>TRUE()</f>
        <v>1</v>
      </c>
    </row>
    <row r="59" spans="1:5">
      <c r="A59" s="4" t="s">
        <v>126</v>
      </c>
      <c r="B59" s="4" t="s">
        <v>203</v>
      </c>
      <c r="C59" s="4" t="b">
        <f>TRUE()</f>
        <v>1</v>
      </c>
      <c r="E59" s="4" t="b">
        <f>TRUE()</f>
        <v>1</v>
      </c>
    </row>
    <row r="60" spans="1:5">
      <c r="A60" s="4" t="s">
        <v>127</v>
      </c>
      <c r="B60" s="4" t="s">
        <v>75</v>
      </c>
      <c r="C60" s="4" t="b">
        <f>FALSE()</f>
        <v>0</v>
      </c>
      <c r="E60" s="4" t="b">
        <f>FALSE()</f>
        <v>0</v>
      </c>
    </row>
    <row r="61" spans="1:5">
      <c r="A61" s="4" t="s">
        <v>129</v>
      </c>
      <c r="B61" s="4" t="s">
        <v>135</v>
      </c>
      <c r="C61" s="4" t="b">
        <f>FALSE()</f>
        <v>0</v>
      </c>
      <c r="E61" s="4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9</cp:revision>
  <dcterms:created xsi:type="dcterms:W3CDTF">2026-06-18T10:10:13Z</dcterms:created>
  <dcterms:modified xsi:type="dcterms:W3CDTF">2026-09-16T07:59:07Z</dcterms:modified>
  <cp:category/>
  <cp:contentStatus/>
</cp:coreProperties>
</file>