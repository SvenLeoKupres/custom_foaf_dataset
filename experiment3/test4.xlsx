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11" documentId="11_BB84C5ABA8B3878EFD502554ABD486BDEC22382B" xr6:coauthVersionLast="47" xr6:coauthVersionMax="47" xr10:uidLastSave="{27E57BB7-E8D6-4499-B29D-1988DF89BD68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1" i="7"/>
  <c r="C11" i="7"/>
  <c r="E10" i="7"/>
  <c r="C10" i="7"/>
  <c r="E9" i="7"/>
  <c r="C9" i="7"/>
  <c r="E8" i="7"/>
  <c r="C8" i="7"/>
  <c r="E7" i="7"/>
  <c r="C7" i="7"/>
  <c r="E5" i="7"/>
  <c r="C5" i="7"/>
  <c r="E4" i="7"/>
  <c r="C4" i="7"/>
  <c r="E3" i="7"/>
  <c r="C3" i="7"/>
  <c r="E2" i="7"/>
  <c r="C2" i="7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5" i="6"/>
  <c r="C35" i="6"/>
  <c r="E34" i="6"/>
  <c r="C34" i="6"/>
  <c r="E33" i="6"/>
  <c r="C33" i="6"/>
  <c r="E32" i="6"/>
  <c r="C32" i="6"/>
  <c r="E31" i="6"/>
  <c r="C31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5" i="6"/>
  <c r="C5" i="6"/>
  <c r="E4" i="6"/>
  <c r="C4" i="6"/>
  <c r="E3" i="6"/>
  <c r="C3" i="6"/>
  <c r="E2" i="6"/>
  <c r="C2" i="6"/>
  <c r="E61" i="5"/>
  <c r="C61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7" i="5"/>
  <c r="C17" i="5"/>
  <c r="E16" i="5"/>
  <c r="C16" i="5"/>
  <c r="E15" i="5"/>
  <c r="C15" i="5"/>
  <c r="E14" i="5"/>
  <c r="C14" i="5"/>
  <c r="E13" i="5"/>
  <c r="C13" i="5"/>
  <c r="E11" i="5"/>
  <c r="C11" i="5"/>
  <c r="E10" i="5"/>
  <c r="C10" i="5"/>
  <c r="E9" i="5"/>
  <c r="C9" i="5"/>
  <c r="E8" i="5"/>
  <c r="C8" i="5"/>
  <c r="E7" i="5"/>
  <c r="C7" i="5"/>
  <c r="E5" i="5"/>
  <c r="C5" i="5"/>
  <c r="E4" i="5"/>
  <c r="C4" i="5"/>
  <c r="E3" i="5"/>
  <c r="C3" i="5"/>
  <c r="E2" i="5"/>
  <c r="C2" i="5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1" i="4"/>
  <c r="C11" i="4"/>
  <c r="E10" i="4"/>
  <c r="C10" i="4"/>
  <c r="E9" i="4"/>
  <c r="C9" i="4"/>
  <c r="E8" i="4"/>
  <c r="C8" i="4"/>
  <c r="E7" i="4"/>
  <c r="C7" i="4"/>
  <c r="E5" i="4"/>
  <c r="C5" i="4"/>
  <c r="E4" i="4"/>
  <c r="C4" i="4"/>
  <c r="E3" i="4"/>
  <c r="C3" i="4"/>
  <c r="E2" i="4"/>
  <c r="C2" i="4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29" i="3"/>
  <c r="C29" i="3"/>
  <c r="E28" i="3"/>
  <c r="C28" i="3"/>
  <c r="E27" i="3"/>
  <c r="C27" i="3"/>
  <c r="E26" i="3"/>
  <c r="C26" i="3"/>
  <c r="E25" i="3"/>
  <c r="C25" i="3"/>
  <c r="E23" i="3"/>
  <c r="C23" i="3"/>
  <c r="E22" i="3"/>
  <c r="C22" i="3"/>
  <c r="E21" i="3"/>
  <c r="C21" i="3"/>
  <c r="E20" i="3"/>
  <c r="C20" i="3"/>
  <c r="E19" i="3"/>
  <c r="C19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5" i="3"/>
  <c r="C5" i="3"/>
  <c r="E4" i="3"/>
  <c r="C4" i="3"/>
  <c r="E3" i="3"/>
  <c r="C3" i="3"/>
  <c r="E2" i="3"/>
  <c r="C2" i="3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1" i="1"/>
  <c r="C11" i="1"/>
  <c r="E10" i="1"/>
  <c r="C10" i="1"/>
  <c r="E9" i="1"/>
  <c r="C9" i="1"/>
  <c r="E8" i="1"/>
  <c r="C8" i="1"/>
  <c r="E7" i="1"/>
  <c r="C7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<sst xmlns="http://schemas.openxmlformats.org/spreadsheetml/2006/main" count="1129" uniqueCount="226">
  <si>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</si>
  <si>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</si>
  <si>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</si>
  <si>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</si>
  <si>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</si>
  <si>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</si>
  <si>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</si>
  <si>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</si>
  <si>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</si>
  <si>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</si>
  <si>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</si>
  <si>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</si>
  <si>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</si>
  <si>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</si>
  <si>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</si>
  <si>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</si>
  <si>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</si>
  <si>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</si>
  <si>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</si>
  <si>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</si>
  <si>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</si>
  <si>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</si>
  <si>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</si>
  <si>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</si>
  <si>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</si>
  <si>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</si>
  <si>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</si>
  <si>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17</t>
  </si>
  <si>
    <t>What is Saša Škrtić's gender?</t>
  </si>
  <si>
    <t>MALE</t>
  </si>
  <si>
    <t>List all Saša Škrtić's friends.</t>
  </si>
  <si>
    <t>Friend 1, Friend 3, Friend</t>
  </si>
  <si>
    <t>How many friends does Saša Škrtić have?</t>
  </si>
  <si>
    <t>4</t>
  </si>
  <si>
    <t>What is Duje Ravlić's first name?</t>
  </si>
  <si>
    <t>Duje</t>
  </si>
  <si>
    <t>What is Duje Ravlić's last name?</t>
  </si>
  <si>
    <t>Ravlić.</t>
  </si>
  <si>
    <t>What is Duje Ravlić's age?</t>
  </si>
  <si>
    <t>18</t>
  </si>
  <si>
    <t>What is Duje Ravlić's gender?</t>
  </si>
  <si>
    <t>List all Duje Ravlić's friends.</t>
  </si>
  <si>
    <t>Duje Ravlić's friends:
- Sa</t>
  </si>
  <si>
    <t>How many friends does Duje Ravlić have?</t>
  </si>
  <si>
    <t>Duje Ravlić has 3 friends.</t>
  </si>
  <si>
    <t>What is Eduard Tutić's first name?</t>
  </si>
  <si>
    <t>Eduard</t>
  </si>
  <si>
    <t>What is Eduard Tutić's last name?</t>
  </si>
  <si>
    <t>Tutić</t>
  </si>
  <si>
    <t>What is Eduard Tutić's age?</t>
  </si>
  <si>
    <t>21</t>
  </si>
  <si>
    <t>What is Eduard Tutić's gender?</t>
  </si>
  <si>
    <t>List all Eduard Tutić's friends.</t>
  </si>
  <si>
    <t>Eduard Tutić's friends:</t>
  </si>
  <si>
    <t>How many friends does Eduard Tutić have?</t>
  </si>
  <si>
    <t>Eduard has 4 friends.</t>
  </si>
  <si>
    <t>What is Zoran Goreta's first name?</t>
  </si>
  <si>
    <t>Zoran</t>
  </si>
  <si>
    <t>What is Zoran Goreta's last name?</t>
  </si>
  <si>
    <t>Goreta</t>
  </si>
  <si>
    <t>What is Zoran Goreta's age?</t>
  </si>
  <si>
    <t>39</t>
  </si>
  <si>
    <t>What is Zoran Goreta's gender?</t>
  </si>
  <si>
    <t>List all Zoran Goreta's friends.</t>
  </si>
  <si>
    <t>Zoran Goreta's friends: 
- Sa</t>
  </si>
  <si>
    <t>How many friends does Zoran Goreta have?</t>
  </si>
  <si>
    <t>2</t>
  </si>
  <si>
    <t>What is Ivo Čelina's first name?</t>
  </si>
  <si>
    <t>Ivo</t>
  </si>
  <si>
    <t>What is Ivo Čelina's last name?</t>
  </si>
  <si>
    <t>Čelina.</t>
  </si>
  <si>
    <t>What is Ivo Čelina's age?</t>
  </si>
  <si>
    <t>24</t>
  </si>
  <si>
    <t>What is Ivo Čelina's gender?</t>
  </si>
  <si>
    <t>List all Ivo Čelina's friends.</t>
  </si>
  <si>
    <t>Ivo Čelina's friends:
1.</t>
  </si>
  <si>
    <t>How many friends does Ivo Čelina have?</t>
  </si>
  <si>
    <t>Ivo has 3 friends.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</si>
  <si>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</si>
  <si>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</si>
  <si>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</si>
  <si>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</si>
  <si>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</si>
  <si>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11</t>
  </si>
  <si>
    <t>What is Jagoda Draženović's gender?</t>
  </si>
  <si>
    <t>FEMALE.</t>
  </si>
  <si>
    <t>List all Jagoda Draženović's friends.</t>
  </si>
  <si>
    <t>0, 4</t>
  </si>
  <si>
    <t>How many friends does Jagoda Draženović have?</t>
  </si>
  <si>
    <t>What is Monika Rimac's first name?</t>
  </si>
  <si>
    <t>Monika</t>
  </si>
  <si>
    <t>What is Monika Rimac's last name?</t>
  </si>
  <si>
    <t>Rimac</t>
  </si>
  <si>
    <t>What is Monika Rimac's age?</t>
  </si>
  <si>
    <t>10</t>
  </si>
  <si>
    <t>What is Monika Rimac's gender?</t>
  </si>
  <si>
    <t>FEMALE</t>
  </si>
  <si>
    <t>List all Monika Rimac's friends.</t>
  </si>
  <si>
    <t>Human id="6" has no friends listed.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</si>
  <si>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</si>
  <si>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</si>
  <si>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</si>
  <si>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</si>
  <si>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</si>
  <si>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</si>
  <si>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What is Mia Popić's gender?</t>
  </si>
  <si>
    <t>List all Mia Popić's friends.</t>
  </si>
  <si>
    <t>Mirjam Devčić</t>
  </si>
  <si>
    <t>How many friends does Mia Popić have?</t>
  </si>
  <si>
    <t>1</t>
  </si>
  <si>
    <t>What is Nada Sudar's first name?</t>
  </si>
  <si>
    <t>Nada's first name is not provided.</t>
  </si>
  <si>
    <t>What is Nada Sudar's last name?</t>
  </si>
  <si>
    <t>Sudar.</t>
  </si>
  <si>
    <t>What is Nada Sudar's age?</t>
  </si>
  <si>
    <t>19</t>
  </si>
  <si>
    <t>What is Nada Sudar's gender?</t>
  </si>
  <si>
    <t>List all Nada Sudar's friends.</t>
  </si>
  <si>
    <t>&lt;friend ref="2"/&gt;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</si>
  <si>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</si>
  <si>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</si>
  <si>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</si>
  <si>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</si>
  <si>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</si>
  <si>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</si>
  <si>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41</t>
  </si>
  <si>
    <t>What is Mirjam Devčić's gender?</t>
  </si>
  <si>
    <t>List all Mirjam Devčić's friends.</t>
  </si>
  <si>
    <t>Duje Ravlić, Mia Popić</t>
  </si>
  <si>
    <t>How many friends does Mirjam Devčić have?</t>
  </si>
  <si>
    <t>Duje Ravlić, Zoran Goreta</t>
  </si>
  <si>
    <t>Ravlić</t>
  </si>
  <si>
    <t>Saša Škrtić, Ivo</t>
  </si>
  <si>
    <t>Duje Ravlić has 6 friends.</t>
  </si>
  <si>
    <t>Saša Škrtić, Monika</t>
  </si>
  <si>
    <t>5</t>
  </si>
  <si>
    <t>Saša Škrtić, Eduard</t>
  </si>
  <si>
    <t>Čelina</t>
  </si>
  <si>
    <t>Duje Ravlić, Eduard Tuti</t>
  </si>
  <si>
    <t>6</t>
  </si>
  <si>
    <t>Rimac.</t>
  </si>
  <si>
    <t>Nada</t>
  </si>
  <si>
    <t>Eduard Tutić</t>
  </si>
  <si>
    <t>Duje Ravlić, Jagoda Draž</t>
  </si>
  <si>
    <t>7.</t>
  </si>
  <si>
    <t>18 years old.</t>
  </si>
  <si>
    <t>Duje Ravlić's friends:
1.</t>
  </si>
  <si>
    <t>Tutić.</t>
  </si>
  <si>
    <t>person2: 
- person3
- person</t>
  </si>
  <si>
    <t>8</t>
  </si>
  <si>
    <t>Zoran's first name is Zoran.</t>
  </si>
  <si>
    <t>Goreta.</t>
  </si>
  <si>
    <t>Zoran Goreta knows #person0 and #</t>
  </si>
  <si>
    <t>2.</t>
  </si>
  <si>
    <t>24.</t>
  </si>
  <si>
    <t>Draženović.</t>
  </si>
  <si>
    <t>Saša Škrtić, Duje</t>
  </si>
  <si>
    <t>#person0, #person2</t>
  </si>
  <si>
    <t>Mia.</t>
  </si>
  <si>
    <t>Nada's first name is Nada.</t>
  </si>
  <si>
    <t>Person 2</t>
  </si>
  <si>
    <t>None, according to the data.</t>
  </si>
  <si>
    <t>Škrtić.</t>
  </si>
  <si>
    <t>17.</t>
  </si>
  <si>
    <t>MALE.</t>
  </si>
  <si>
    <t>1. Saša Škrtić</t>
  </si>
  <si>
    <t>Eduard Tutić's friends are:</t>
  </si>
  <si>
    <t>7</t>
  </si>
  <si>
    <t>11.</t>
  </si>
  <si>
    <t>None (only knows Mirjam).</t>
  </si>
  <si>
    <t>Nada.</t>
  </si>
  <si>
    <t>Devčić.</t>
  </si>
  <si>
    <t>[0, 3, 5,</t>
  </si>
  <si>
    <t>Saša has 4 friends.</t>
  </si>
  <si>
    <t>1, 4, 9</t>
  </si>
  <si>
    <t>3, 4, 6, 8</t>
  </si>
  <si>
    <t>Eduard Tutić has 4 friends</t>
  </si>
  <si>
    <t>Zoran Goreta's friends: Duje Rav</t>
  </si>
  <si>
    <t>Ivo.</t>
  </si>
  <si>
    <t>1, 2, 5</t>
  </si>
  <si>
    <t>Jagoda has 2 friends.</t>
  </si>
  <si>
    <t>Monika.</t>
  </si>
  <si>
    <t>{"friend": "0"}, {"friend": "</t>
  </si>
  <si>
    <t>Jagoda Draženović, Mirjam</t>
  </si>
  <si>
    <t>0</t>
  </si>
  <si>
    <t>1, 7</t>
  </si>
  <si>
    <t>Mirjam has 2 friends.</t>
  </si>
  <si>
    <t>["Duje Ravlić", "Zoran</t>
  </si>
  <si>
    <t>Duje Ravlić's friends:
1.</t>
  </si>
  <si>
    <t>["Saša Škrtić", "</t>
  </si>
  <si>
    <t>Ivo Čelina has 3 friends.</t>
  </si>
  <si>
    <t>Jagoda.</t>
  </si>
  <si>
    <t>Female.</t>
  </si>
  <si>
    <t>Nada's first name is not mentioned in the</t>
  </si>
  <si>
    <t>Sudar</t>
  </si>
  <si>
    <t>Not specified.</t>
  </si>
  <si>
    <t>Male.</t>
  </si>
  <si>
    <t>Not mentioned.</t>
  </si>
  <si>
    <t>Not provided.</t>
  </si>
  <si>
    <t>Data does not mention Ivo Čelina's</t>
  </si>
  <si>
    <t>Not mentioned in the data.</t>
  </si>
  <si>
    <t>Ivo Čelina's friends: Duje</t>
  </si>
  <si>
    <t>Ivo Čelina has 5 friends.</t>
  </si>
  <si>
    <t>Ivo Čelina, Saša Š</t>
  </si>
  <si>
    <t>3</t>
  </si>
  <si>
    <t>Data does not mention Mirjam's first name.</t>
  </si>
  <si>
    <t>17 years old.</t>
  </si>
  <si>
    <t>Saša Škrtić's friends:</t>
  </si>
  <si>
    <t>At least 7 friends (Zoran Goreta</t>
  </si>
  <si>
    <t>Duje Ravlić's friends: 
1</t>
  </si>
  <si>
    <t>21 years old.</t>
  </si>
  <si>
    <t>9</t>
  </si>
  <si>
    <t>There is no information about Ivo Čelina</t>
  </si>
  <si>
    <t>No information about Ivo Čelina's last</t>
  </si>
  <si>
    <t>Ivo Čelina's friends are:
1</t>
  </si>
  <si>
    <t>8 friends.</t>
  </si>
  <si>
    <t>4 (Ivo Čelina, Duje</t>
  </si>
  <si>
    <t>10 years old.</t>
  </si>
  <si>
    <t>Saša Škrtić 
Edu</t>
  </si>
  <si>
    <t>1 (Mirjam Devčić)</t>
  </si>
  <si>
    <t>There is no last name provided for Nada Sud</t>
  </si>
  <si>
    <t>19 years old.</t>
  </si>
  <si>
    <t>Nada Sudar's friends:
1. Edu</t>
  </si>
  <si>
    <t>Not available.</t>
  </si>
  <si>
    <t>I don't have enough information to determine Mirjam</t>
  </si>
  <si>
    <t>Mirjam Devčić's friends: 
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</si>
</sst>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43CD-D304-4A61-9BA7-E5B23F39405E}">
  <dimension ref="A1:T49"/>
  <sheetViews>
    <sheetView tabSelected="1" workbookViewId="0">
      <selection activeCell="M4" sqref="M4:T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" bestFit="1" customWidth="1"/>
    <col min="13" max="13" width="12.57031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51</v>
      </c>
      <c r="N2">
        <f ca="1">G3+G4+G5</f>
        <v>53</v>
      </c>
      <c r="O2">
        <f ca="1">B13+B14+B15</f>
        <v>36</v>
      </c>
      <c r="P2">
        <f ca="1">G13+G14+G15</f>
        <v>39</v>
      </c>
      <c r="Q2">
        <f ca="1">B23+B24+B25</f>
        <v>47</v>
      </c>
      <c r="R2">
        <f ca="1">G23+G24+G25</f>
        <v>51</v>
      </c>
      <c r="S2">
        <f ca="1">B33+B34+B35</f>
        <v>49</v>
      </c>
      <c r="T2">
        <f ca="1">G33+G34+G35</f>
        <v>54</v>
      </c>
    </row>
    <row r="3" spans="1:20">
      <c r="A3" t="b">
        <v>1</v>
      </c>
      <c r="B3">
        <f ca="1">COUNTIFS(INDIRECT(A1 &amp; "!$C$2:$C$61"),TRUE, INDIRECT(A1 &amp; "!$E$2:$E$61"),TRUE)</f>
        <v>51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53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51</v>
      </c>
      <c r="N3">
        <f ca="1">SUM(G3:I3)</f>
        <v>53</v>
      </c>
      <c r="O3">
        <f ca="1">SUM(B13:D13)</f>
        <v>36</v>
      </c>
      <c r="P3">
        <f ca="1">SUM(G13:I13)</f>
        <v>39</v>
      </c>
      <c r="Q3">
        <f ca="1">SUM(B23:D23)</f>
        <v>47</v>
      </c>
      <c r="R3">
        <f ca="1">G23+H23+I23</f>
        <v>51</v>
      </c>
      <c r="S3">
        <f ca="1">B33+C33+D33</f>
        <v>49</v>
      </c>
      <c r="T3">
        <f ca="1">G33+H33+I33</f>
        <v>54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5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4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102</v>
      </c>
      <c r="N4">
        <f t="shared" ref="N4:T4" ca="1" si="0">SUM(N2:N3)</f>
        <v>106</v>
      </c>
      <c r="O4">
        <f t="shared" ca="1" si="0"/>
        <v>72</v>
      </c>
      <c r="P4">
        <f t="shared" ca="1" si="0"/>
        <v>78</v>
      </c>
      <c r="Q4">
        <f t="shared" ca="1" si="0"/>
        <v>94</v>
      </c>
      <c r="R4">
        <f t="shared" ca="1" si="0"/>
        <v>102</v>
      </c>
      <c r="S4">
        <f t="shared" ca="1" si="0"/>
        <v>98</v>
      </c>
      <c r="T4">
        <f t="shared" ca="1" si="0"/>
        <v>108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4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3</v>
      </c>
    </row>
    <row r="6" spans="1:20">
      <c r="A6" t="s">
        <v>12</v>
      </c>
      <c r="B6">
        <f ca="1">SUM(B3:D5)</f>
        <v>60</v>
      </c>
      <c r="F6" t="s">
        <v>12</v>
      </c>
      <c r="G6">
        <f ca="1">SUM(G3:I5)</f>
        <v>60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0.73388888888888892</v>
      </c>
      <c r="F8" t="s">
        <v>14</v>
      </c>
      <c r="G8">
        <f ca="1">((SUM(G3:I3)*SUM(G3:G5))+(SUM(G4:I4)*SUM(H3:H5))+(SUM(G5:I5)*SUM(I3:I5)))/(G6^2)</f>
        <v>0.78722222222222227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1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36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39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24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18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0</v>
      </c>
      <c r="D15">
        <f ca="1">COUNTIFS(INDIRECT(A11 &amp; "!$C$2:$C$61"),"half true", INDIRECT(A11 &amp; "!$E$2:$E$61"),"half true")</f>
        <v>0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1</v>
      </c>
      <c r="I15">
        <f ca="1">COUNTIFS(INDIRECT(F11 &amp; "!$C$2:$C$61"),"half true", INDIRECT(F11 &amp; "!$E$2:$E$61"),"half true")</f>
        <v>2</v>
      </c>
    </row>
    <row r="16" spans="1:20">
      <c r="A16" t="s">
        <v>12</v>
      </c>
      <c r="B16">
        <f ca="1">SUM(B13:D15)</f>
        <v>60</v>
      </c>
      <c r="F16" t="s">
        <v>12</v>
      </c>
      <c r="G16">
        <f ca="1">SUM(G13:I15)</f>
        <v>60</v>
      </c>
    </row>
    <row r="17" spans="1:9">
      <c r="A17" t="s">
        <v>13</v>
      </c>
      <c r="B17">
        <f ca="1">(B13+C14+D15)/B16</f>
        <v>1</v>
      </c>
      <c r="F17" t="s">
        <v>13</v>
      </c>
      <c r="G17">
        <f ca="1">(G13+H14+I15)/G16</f>
        <v>0.98333333333333328</v>
      </c>
    </row>
    <row r="18" spans="1:9">
      <c r="A18" t="s">
        <v>14</v>
      </c>
      <c r="B18">
        <f ca="1">((SUM(B13:D13)*SUM(B13:B15))+(SUM(B14:D14)*SUM(C13:C15))+(SUM(B15:D15)*SUM(D13:D15)))/(B16^2)</f>
        <v>0.52</v>
      </c>
      <c r="F18" t="s">
        <v>14</v>
      </c>
      <c r="G18">
        <f ca="1">((SUM(G13:I13)*SUM(G13:G15))+(SUM(G14:I14)*SUM(H13:H15))+(SUM(G15:I15)*SUM(I13:I15)))/(G16^2)</f>
        <v>0.51916666666666667</v>
      </c>
    </row>
    <row r="19" spans="1:9">
      <c r="A19" t="s">
        <v>15</v>
      </c>
      <c r="B19">
        <f ca="1">(B17-B18)/(1-B18)</f>
        <v>1</v>
      </c>
      <c r="F19" t="s">
        <v>15</v>
      </c>
      <c r="G19">
        <f ca="1">(G17-G18)/(1-G18)</f>
        <v>0.96533795493934127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47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51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7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6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6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3</v>
      </c>
    </row>
    <row r="26" spans="1:9">
      <c r="A26" t="s">
        <v>12</v>
      </c>
      <c r="B26">
        <f ca="1">SUM(B23:D25)</f>
        <v>60</v>
      </c>
      <c r="F26" t="s">
        <v>12</v>
      </c>
      <c r="G26">
        <f ca="1">SUM(G23:I25)</f>
        <v>60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0.63722222222222225</v>
      </c>
      <c r="F28" t="s">
        <v>14</v>
      </c>
      <c r="G28">
        <f ca="1">((SUM(G23:I23)*SUM(G23:G25))+(SUM(G24:I24)*SUM(H23:H25))+(SUM(G25:I25)*SUM(I23:I25)))/(G26^2)</f>
        <v>0.73499999999999999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49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54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5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3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6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3</v>
      </c>
    </row>
    <row r="36" spans="1:9">
      <c r="A36" t="s">
        <v>12</v>
      </c>
      <c r="B36">
        <f ca="1">SUM(B33:D35)</f>
        <v>60</v>
      </c>
      <c r="F36" t="s">
        <v>12</v>
      </c>
      <c r="G36">
        <f ca="1">SUM(G33:I35)</f>
        <v>60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0.68388888888888888</v>
      </c>
      <c r="F38" t="s">
        <v>14</v>
      </c>
      <c r="G38">
        <f ca="1">((SUM(G33:I33)*SUM(G33:G35))+(SUM(G34:I34)*SUM(H33:H35))+(SUM(G35:I35)*SUM(I33:I35)))/(G36^2)</f>
        <v>0.81499999999999995</v>
      </c>
    </row>
    <row r="39" spans="1:9">
      <c r="A39" t="s">
        <v>15</v>
      </c>
      <c r="B39">
        <f ca="1">(B37-B38)/(1-B38)</f>
        <v>1</v>
      </c>
      <c r="F39" t="s">
        <v>15</v>
      </c>
      <c r="G39">
        <f ca="1">(G37-G38)/(1-G38)</f>
        <v>1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380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72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1</v>
      </c>
      <c r="D45">
        <f t="shared" ca="1" si="1"/>
        <v>27</v>
      </c>
    </row>
    <row r="46" spans="1:9">
      <c r="A46" t="s">
        <v>12</v>
      </c>
      <c r="B46">
        <f ca="1">SUM(B43:D45)</f>
        <v>480</v>
      </c>
    </row>
    <row r="47" spans="1:9">
      <c r="A47" t="s">
        <v>13</v>
      </c>
      <c r="B47">
        <f ca="1">(B43+C44+D45)/B46</f>
        <v>0.99791666666666667</v>
      </c>
    </row>
    <row r="48" spans="1:9">
      <c r="A48" t="s">
        <v>14</v>
      </c>
      <c r="B48">
        <f ca="1">((SUM(B43:D43)*SUM(B43:B45))+(SUM(B44:D44)*SUM(C43:C45))+(SUM(B45:D45)*SUM(D43:D45)))/(B46^2)</f>
        <v>0.65282986111111108</v>
      </c>
    </row>
    <row r="49" spans="1:2">
      <c r="A49" t="s">
        <v>15</v>
      </c>
      <c r="B49">
        <f ca="1">(B47-B48)/(1-B48)</f>
        <v>0.99399909986497981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zoomScale="80" zoomScaleNormal="80" workbookViewId="0">
      <selection activeCell="E18" sqref="E18"/>
    </sheetView>
  </sheetViews>
  <sheetFormatPr defaultColWidth="8.5703125" defaultRowHeight="15"/>
  <cols>
    <col min="1" max="1" width="42.7109375" customWidth="1"/>
    <col min="2" max="2" width="31.5703125" customWidth="1"/>
    <col min="5" max="5" width="14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33.6">
      <c r="A12" t="s">
        <v>41</v>
      </c>
      <c r="B12" s="2" t="s">
        <v>42</v>
      </c>
      <c r="C12" t="s">
        <v>8</v>
      </c>
      <c r="E12" t="s">
        <v>8</v>
      </c>
    </row>
    <row r="13" spans="1:5">
      <c r="A13" t="s">
        <v>43</v>
      </c>
      <c r="B13" t="s">
        <v>44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53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55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 ht="33.6">
      <c r="A24" t="s">
        <v>63</v>
      </c>
      <c r="B24" s="2" t="s">
        <v>64</v>
      </c>
      <c r="C24" t="s">
        <v>8</v>
      </c>
      <c r="E24" t="s">
        <v>8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 ht="49.35">
      <c r="A30" t="s">
        <v>74</v>
      </c>
      <c r="B30" s="2" t="s">
        <v>75</v>
      </c>
      <c r="C30" t="b">
        <f>FALSE()</f>
        <v>0</v>
      </c>
      <c r="E30" t="b">
        <f>FALSE()</f>
        <v>0</v>
      </c>
    </row>
    <row r="31" spans="1:5">
      <c r="A31" t="s">
        <v>76</v>
      </c>
      <c r="B31" t="s">
        <v>77</v>
      </c>
      <c r="C31" t="b">
        <f>TRUE()</f>
        <v>1</v>
      </c>
      <c r="E31" t="b">
        <f>TRUE()</f>
        <v>1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85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87</v>
      </c>
      <c r="C36" t="s">
        <v>8</v>
      </c>
      <c r="E36" t="s">
        <v>8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111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118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opLeftCell="A39" zoomScale="80" zoomScaleNormal="80" workbookViewId="0">
      <selection activeCell="E1" sqref="E1"/>
    </sheetView>
  </sheetViews>
  <sheetFormatPr defaultColWidth="8.5703125" defaultRowHeight="15"/>
  <cols>
    <col min="1" max="1" width="45" customWidth="1"/>
    <col min="2" max="2" width="31.71093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130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131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132</v>
      </c>
      <c r="C12" t="s">
        <v>8</v>
      </c>
      <c r="E12" t="s">
        <v>8</v>
      </c>
    </row>
    <row r="13" spans="1:5">
      <c r="A13" t="s">
        <v>43</v>
      </c>
      <c r="B13" t="s">
        <v>133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134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135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136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137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138</v>
      </c>
      <c r="C30" t="s">
        <v>8</v>
      </c>
      <c r="E30" t="s">
        <v>8</v>
      </c>
    </row>
    <row r="31" spans="1:5">
      <c r="A31" t="s">
        <v>76</v>
      </c>
      <c r="B31" t="s">
        <v>139</v>
      </c>
      <c r="C31" t="b">
        <f>FALSE()</f>
        <v>0</v>
      </c>
      <c r="E31" t="b">
        <f>FALSE()</f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132</v>
      </c>
      <c r="C36" t="b">
        <f>TRUE()</f>
        <v>1</v>
      </c>
      <c r="E36" t="b">
        <f>TRUE()</f>
        <v>1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140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136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141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142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5.28515625" customWidth="1"/>
    <col min="2" max="2" width="36.1406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143</v>
      </c>
      <c r="C6" t="s">
        <v>8</v>
      </c>
      <c r="E6" t="s">
        <v>8</v>
      </c>
    </row>
    <row r="7" spans="1:5">
      <c r="A7" t="s">
        <v>32</v>
      </c>
      <c r="B7" t="s">
        <v>144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145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49.35">
      <c r="A12" t="s">
        <v>41</v>
      </c>
      <c r="B12" s="2" t="s">
        <v>146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94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147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 ht="49.35">
      <c r="A18" t="s">
        <v>52</v>
      </c>
      <c r="B18" s="2" t="s">
        <v>148</v>
      </c>
      <c r="C18" t="s">
        <v>8</v>
      </c>
      <c r="E18" t="s">
        <v>8</v>
      </c>
    </row>
    <row r="19" spans="1:5">
      <c r="A19" t="s">
        <v>54</v>
      </c>
      <c r="B19" t="s">
        <v>149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150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152</v>
      </c>
      <c r="C24" t="s">
        <v>8</v>
      </c>
      <c r="E24" t="s">
        <v>8</v>
      </c>
    </row>
    <row r="25" spans="1:5">
      <c r="A25" t="s">
        <v>65</v>
      </c>
      <c r="B25" t="s">
        <v>153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137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154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138</v>
      </c>
      <c r="C30" t="s">
        <v>8</v>
      </c>
      <c r="E30" t="s">
        <v>8</v>
      </c>
    </row>
    <row r="31" spans="1:5">
      <c r="A31" t="s">
        <v>76</v>
      </c>
      <c r="B31" t="s">
        <v>33</v>
      </c>
      <c r="C31" t="b">
        <f>FALSE()</f>
        <v>0</v>
      </c>
      <c r="E31" t="b">
        <f>FALSE()</f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155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85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156</v>
      </c>
      <c r="C36" t="b">
        <f>FALSE()</f>
        <v>0</v>
      </c>
      <c r="E36" t="b">
        <f>FALSE()</f>
        <v>0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157</v>
      </c>
      <c r="C42" t="s">
        <v>8</v>
      </c>
      <c r="E42" t="s">
        <v>8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158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159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160</v>
      </c>
      <c r="C54" t="s">
        <v>8</v>
      </c>
      <c r="E54" t="s">
        <v>8</v>
      </c>
    </row>
    <row r="55" spans="1:5">
      <c r="A55" t="s">
        <v>119</v>
      </c>
      <c r="B55" t="s">
        <v>161</v>
      </c>
      <c r="C55" t="b">
        <f>FALSE()</f>
        <v>0</v>
      </c>
      <c r="E55" t="b">
        <f>FALSE()</f>
        <v>0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4.140625" customWidth="1"/>
    <col min="2" max="2" width="32.285156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162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163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130</v>
      </c>
      <c r="C6" t="s">
        <v>8</v>
      </c>
      <c r="E6" t="s">
        <v>8</v>
      </c>
    </row>
    <row r="7" spans="1:5">
      <c r="A7" t="s">
        <v>32</v>
      </c>
      <c r="B7" t="s">
        <v>135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164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165</v>
      </c>
      <c r="C12" t="s">
        <v>8</v>
      </c>
      <c r="E12" t="s">
        <v>8</v>
      </c>
    </row>
    <row r="13" spans="1:5">
      <c r="A13" t="s">
        <v>43</v>
      </c>
      <c r="B13" t="s">
        <v>149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147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166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167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136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154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138</v>
      </c>
      <c r="C30" t="s">
        <v>8</v>
      </c>
      <c r="E30" t="s">
        <v>8</v>
      </c>
    </row>
    <row r="31" spans="1:5">
      <c r="A31" t="s">
        <v>76</v>
      </c>
      <c r="B31" t="s">
        <v>149</v>
      </c>
      <c r="C31" t="b">
        <f>FALSE()</f>
        <v>0</v>
      </c>
      <c r="E31" t="b">
        <f>FALSE()</f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168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132</v>
      </c>
      <c r="C36" t="b">
        <f>TRUE()</f>
        <v>1</v>
      </c>
      <c r="E36" t="b">
        <f>TRUE()</f>
        <v>1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140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85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136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169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170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85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142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171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85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opLeftCell="B1" zoomScale="80" zoomScaleNormal="80" workbookViewId="0">
      <selection activeCell="E1" sqref="E1"/>
    </sheetView>
  </sheetViews>
  <sheetFormatPr defaultColWidth="8.5703125" defaultRowHeight="15"/>
  <cols>
    <col min="1" max="1" width="44.42578125" customWidth="1"/>
    <col min="2" max="2" width="31.85546875" customWidth="1"/>
    <col min="5" max="5" width="1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172</v>
      </c>
      <c r="C6" t="s">
        <v>8</v>
      </c>
      <c r="E6" t="s">
        <v>8</v>
      </c>
    </row>
    <row r="7" spans="1:5">
      <c r="A7" t="s">
        <v>32</v>
      </c>
      <c r="B7" t="s">
        <v>173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131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174</v>
      </c>
      <c r="C12" t="s">
        <v>8</v>
      </c>
      <c r="E12" t="s">
        <v>8</v>
      </c>
    </row>
    <row r="13" spans="1:5">
      <c r="A13" t="s">
        <v>43</v>
      </c>
      <c r="B13" t="s">
        <v>44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164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175</v>
      </c>
      <c r="C18" t="s">
        <v>8</v>
      </c>
      <c r="E18" t="s">
        <v>8</v>
      </c>
    </row>
    <row r="19" spans="1:5">
      <c r="A19" t="s">
        <v>54</v>
      </c>
      <c r="B19" t="s">
        <v>176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164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177</v>
      </c>
      <c r="C24" t="b">
        <f>FALSE()</f>
        <v>0</v>
      </c>
      <c r="E24" t="b">
        <f>FALSE()</f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178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137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179</v>
      </c>
      <c r="C30" t="s">
        <v>8</v>
      </c>
      <c r="E30" t="s">
        <v>8</v>
      </c>
    </row>
    <row r="31" spans="1:5">
      <c r="A31" t="s">
        <v>76</v>
      </c>
      <c r="B31" t="s">
        <v>77</v>
      </c>
      <c r="C31" t="b">
        <f>TRUE()</f>
        <v>1</v>
      </c>
      <c r="E31" t="b">
        <f>TRUE()</f>
        <v>1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87</v>
      </c>
      <c r="C36" t="s">
        <v>8</v>
      </c>
      <c r="E36" t="s">
        <v>8</v>
      </c>
    </row>
    <row r="37" spans="1:5">
      <c r="A37" t="s">
        <v>88</v>
      </c>
      <c r="B37" t="s">
        <v>180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181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182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183</v>
      </c>
      <c r="C48" t="b">
        <f>FALSE()</f>
        <v>0</v>
      </c>
      <c r="E48" t="b">
        <f>FALSE()</f>
        <v>0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170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161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184</v>
      </c>
      <c r="C55" t="b">
        <f>FALSE()</f>
        <v>0</v>
      </c>
      <c r="E55" t="b">
        <f>FALSE()</f>
        <v>0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171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185</v>
      </c>
      <c r="C60" t="s">
        <v>8</v>
      </c>
      <c r="E60" t="s">
        <v>8</v>
      </c>
    </row>
    <row r="61" spans="1:5">
      <c r="A61" t="s">
        <v>129</v>
      </c>
      <c r="B61" t="s">
        <v>186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B43" zoomScale="80" zoomScaleNormal="80" workbookViewId="0">
      <selection activeCell="E1" sqref="E1"/>
    </sheetView>
  </sheetViews>
  <sheetFormatPr defaultColWidth="8.5703125" defaultRowHeight="15"/>
  <cols>
    <col min="1" max="1" width="46.7109375" customWidth="1"/>
    <col min="2" max="2" width="37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187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131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188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189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176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136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137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138</v>
      </c>
      <c r="C30" t="s">
        <v>8</v>
      </c>
      <c r="E30" t="s">
        <v>8</v>
      </c>
    </row>
    <row r="31" spans="1:5">
      <c r="A31" t="s">
        <v>76</v>
      </c>
      <c r="B31" t="s">
        <v>190</v>
      </c>
      <c r="C31" t="b">
        <f>TRUE()</f>
        <v>1</v>
      </c>
      <c r="E31" t="b">
        <f>TRUE()</f>
        <v>1</v>
      </c>
    </row>
    <row r="32" spans="1:5">
      <c r="A32" t="s">
        <v>78</v>
      </c>
      <c r="B32" t="s">
        <v>191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189</v>
      </c>
      <c r="C36" t="s">
        <v>8</v>
      </c>
      <c r="E36" t="s">
        <v>8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140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192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136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193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194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142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171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85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topLeftCell="B1" zoomScale="80" zoomScaleNormal="80" workbookViewId="0">
      <selection activeCell="F31" sqref="F31"/>
    </sheetView>
  </sheetViews>
  <sheetFormatPr defaultColWidth="8.5703125" defaultRowHeight="15"/>
  <cols>
    <col min="1" max="1" width="43.5703125" customWidth="1"/>
    <col min="2" max="2" width="39.7109375" customWidth="1"/>
    <col min="5" max="5" width="13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195</v>
      </c>
      <c r="C2" t="b">
        <f>FALSE()</f>
        <v>0</v>
      </c>
      <c r="E2" t="b">
        <f>FALSE()</f>
        <v>0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196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130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197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131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196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132</v>
      </c>
      <c r="C12" t="s">
        <v>8</v>
      </c>
      <c r="E12" t="s">
        <v>8</v>
      </c>
    </row>
    <row r="13" spans="1:5">
      <c r="A13" t="s">
        <v>43</v>
      </c>
      <c r="B13" t="s">
        <v>167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198</v>
      </c>
      <c r="C14" t="b">
        <f>FALSE()</f>
        <v>0</v>
      </c>
      <c r="E14" t="b">
        <f>FALSE()</f>
        <v>0</v>
      </c>
    </row>
    <row r="15" spans="1:5">
      <c r="A15" t="s">
        <v>47</v>
      </c>
      <c r="B15" t="s">
        <v>147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196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132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167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196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136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33</v>
      </c>
      <c r="C25" t="b">
        <f>FALSE()</f>
        <v>0</v>
      </c>
      <c r="E25" t="b">
        <f>FALSE()</f>
        <v>0</v>
      </c>
    </row>
    <row r="26" spans="1:5">
      <c r="A26" t="s">
        <v>67</v>
      </c>
      <c r="B26" t="s">
        <v>199</v>
      </c>
      <c r="C26" t="b">
        <f>FALSE()</f>
        <v>0</v>
      </c>
      <c r="E26" t="b">
        <f>FALSE()</f>
        <v>0</v>
      </c>
    </row>
    <row r="27" spans="1:5">
      <c r="A27" t="s">
        <v>69</v>
      </c>
      <c r="B27" t="s">
        <v>200</v>
      </c>
      <c r="C27" t="b">
        <f>FALSE()</f>
        <v>0</v>
      </c>
      <c r="E27" t="b">
        <f>FALSE()</f>
        <v>0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196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201</v>
      </c>
      <c r="C30" t="s">
        <v>8</v>
      </c>
      <c r="E30" t="b">
        <v>0</v>
      </c>
    </row>
    <row r="31" spans="1:5">
      <c r="A31" t="s">
        <v>76</v>
      </c>
      <c r="B31" t="s">
        <v>202</v>
      </c>
      <c r="C31" t="b">
        <f>FALSE()</f>
        <v>0</v>
      </c>
      <c r="E31" t="b">
        <f>FALSE()</f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192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203</v>
      </c>
      <c r="C36" t="b">
        <f>TRUE()</f>
        <v>1</v>
      </c>
      <c r="E36" t="b">
        <f>TRUE()</f>
        <v>1</v>
      </c>
    </row>
    <row r="37" spans="1:5">
      <c r="A37" t="s">
        <v>88</v>
      </c>
      <c r="B37" t="s">
        <v>204</v>
      </c>
      <c r="C37" t="b">
        <f>FALSE()</f>
        <v>0</v>
      </c>
      <c r="E37" t="b">
        <f>FALSE()</f>
        <v>0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140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192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136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33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192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66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197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194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192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142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195</v>
      </c>
      <c r="C55" t="b">
        <f>FALSE()</f>
        <v>0</v>
      </c>
      <c r="E55" t="b">
        <f>FALSE()</f>
        <v>0</v>
      </c>
    </row>
    <row r="56" spans="1:5">
      <c r="A56" t="s">
        <v>120</v>
      </c>
      <c r="B56" t="s">
        <v>205</v>
      </c>
      <c r="C56" t="b">
        <f>FALSE()</f>
        <v>0</v>
      </c>
      <c r="E56" t="b">
        <f>FALSE()</f>
        <v>0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192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156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33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topLeftCell="B1" zoomScale="80" zoomScaleNormal="80" workbookViewId="0">
      <selection activeCell="E1" sqref="E1"/>
    </sheetView>
  </sheetViews>
  <sheetFormatPr defaultColWidth="8.5703125" defaultRowHeight="15"/>
  <cols>
    <col min="1" max="1" width="43.7109375" customWidth="1"/>
    <col min="2" max="2" width="46.71093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206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196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207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208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197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197</v>
      </c>
      <c r="C9" t="b">
        <f>FALSE()</f>
        <v>0</v>
      </c>
      <c r="E9" t="b">
        <f>FALSE()</f>
        <v>0</v>
      </c>
    </row>
    <row r="10" spans="1:5">
      <c r="A10" t="s">
        <v>38</v>
      </c>
      <c r="B10" t="s">
        <v>195</v>
      </c>
      <c r="C10" t="b">
        <f>FALSE()</f>
        <v>0</v>
      </c>
      <c r="E10" t="b">
        <f>FALSE()</f>
        <v>0</v>
      </c>
    </row>
    <row r="11" spans="1:5">
      <c r="A11" t="s">
        <v>40</v>
      </c>
      <c r="B11" t="s">
        <v>196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209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210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196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53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211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196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156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135</v>
      </c>
      <c r="C25" t="b">
        <f>FALSE()</f>
        <v>0</v>
      </c>
      <c r="E25" t="b">
        <f>FALSE()</f>
        <v>0</v>
      </c>
    </row>
    <row r="26" spans="1:5">
      <c r="A26" t="s">
        <v>67</v>
      </c>
      <c r="B26" t="s">
        <v>212</v>
      </c>
      <c r="C26" t="b">
        <f>FALSE()</f>
        <v>0</v>
      </c>
      <c r="E26" t="b">
        <f>FALSE()</f>
        <v>0</v>
      </c>
    </row>
    <row r="27" spans="1:5">
      <c r="A27" t="s">
        <v>69</v>
      </c>
      <c r="B27" t="s">
        <v>213</v>
      </c>
      <c r="C27" t="b">
        <f>FALSE()</f>
        <v>0</v>
      </c>
      <c r="E27" t="b">
        <f>FALSE()</f>
        <v>0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196</v>
      </c>
      <c r="C29" t="b">
        <f>TRUE()</f>
        <v>1</v>
      </c>
      <c r="E29" t="b">
        <f>TRUE()</f>
        <v>1</v>
      </c>
    </row>
    <row r="30" spans="1:5" ht="31.35">
      <c r="A30" t="s">
        <v>74</v>
      </c>
      <c r="B30" s="2" t="s">
        <v>214</v>
      </c>
      <c r="C30" t="b">
        <f>FALSE()</f>
        <v>0</v>
      </c>
      <c r="E30" t="b">
        <f>FALSE()</f>
        <v>0</v>
      </c>
    </row>
    <row r="31" spans="1:5">
      <c r="A31" t="s">
        <v>76</v>
      </c>
      <c r="B31" t="s">
        <v>215</v>
      </c>
      <c r="C31" t="b">
        <f>FALSE()</f>
        <v>0</v>
      </c>
      <c r="E31" t="b">
        <f>FALSE()</f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192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203</v>
      </c>
      <c r="C36" t="b">
        <f>TRUE()</f>
        <v>1</v>
      </c>
      <c r="E36" t="b">
        <f>TRUE()</f>
        <v>1</v>
      </c>
    </row>
    <row r="37" spans="1:5">
      <c r="A37" t="s">
        <v>88</v>
      </c>
      <c r="B37" t="s">
        <v>216</v>
      </c>
      <c r="C37" t="b">
        <f>FALSE()</f>
        <v>0</v>
      </c>
      <c r="E37" t="b">
        <f>FALSE()</f>
        <v>0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217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192</v>
      </c>
      <c r="C41" t="b">
        <f>TRUE()</f>
        <v>1</v>
      </c>
      <c r="E41" t="b">
        <f>TRUE()</f>
        <v>1</v>
      </c>
    </row>
    <row r="42" spans="1:5" ht="31.35">
      <c r="A42" t="s">
        <v>97</v>
      </c>
      <c r="B42" s="2" t="s">
        <v>218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33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158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197</v>
      </c>
      <c r="C45" t="b">
        <f>FALSE()</f>
        <v>0</v>
      </c>
      <c r="E45" t="b">
        <f>FALSE()</f>
        <v>0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192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219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197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220</v>
      </c>
      <c r="C51" t="b">
        <f>FALSE()</f>
        <v>0</v>
      </c>
      <c r="E51" t="b">
        <f>FALSE()</f>
        <v>0</v>
      </c>
    </row>
    <row r="52" spans="1:5">
      <c r="A52" t="s">
        <v>114</v>
      </c>
      <c r="B52" t="s">
        <v>221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192</v>
      </c>
      <c r="C53" t="b">
        <f>TRUE()</f>
        <v>1</v>
      </c>
      <c r="E53" t="b">
        <f>TRUE()</f>
        <v>1</v>
      </c>
    </row>
    <row r="54" spans="1:5" ht="31.35">
      <c r="A54" t="s">
        <v>117</v>
      </c>
      <c r="B54" s="2" t="s">
        <v>222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66</v>
      </c>
      <c r="C55" t="b">
        <f>FALSE()</f>
        <v>0</v>
      </c>
      <c r="E55" t="b">
        <f>FALSE()</f>
        <v>0</v>
      </c>
    </row>
    <row r="56" spans="1:5">
      <c r="A56" t="s">
        <v>120</v>
      </c>
      <c r="B56" t="s">
        <v>223</v>
      </c>
      <c r="C56" t="b">
        <f>FALSE()</f>
        <v>0</v>
      </c>
      <c r="E56" t="b">
        <f>FALSE()</f>
        <v>0</v>
      </c>
    </row>
    <row r="57" spans="1:5">
      <c r="A57" t="s">
        <v>122</v>
      </c>
      <c r="B57" t="s">
        <v>224</v>
      </c>
      <c r="C57" t="b">
        <f>FALSE()</f>
        <v>0</v>
      </c>
      <c r="E57" t="b">
        <f>FALSE()</f>
        <v>0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192</v>
      </c>
      <c r="C59" t="b">
        <f>TRUE()</f>
        <v>1</v>
      </c>
      <c r="E59" t="b">
        <f>TRUE()</f>
        <v>1</v>
      </c>
    </row>
    <row r="60" spans="1:5" ht="31.35">
      <c r="A60" t="s">
        <v>127</v>
      </c>
      <c r="B60" s="2" t="s">
        <v>225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167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8</cp:revision>
  <dcterms:created xsi:type="dcterms:W3CDTF">2026-06-18T11:20:33Z</dcterms:created>
  <dcterms:modified xsi:type="dcterms:W3CDTF">2026-09-16T08:01:49Z</dcterms:modified>
  <cp:category/>
  <cp:contentStatus/>
</cp:coreProperties>
</file>