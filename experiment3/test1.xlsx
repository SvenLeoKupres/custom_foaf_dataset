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402" documentId="11_0FA810CBB9AE0F9307BCF6608FFD3B2D6D1B43A9" xr6:coauthVersionLast="47" xr6:coauthVersionMax="47" xr10:uidLastSave="{6A63B6FE-9DB0-497A-84F7-31800CE10FC1}"/>
  <bookViews>
    <workbookView xWindow="0" yWindow="0" windowWidth="16384" windowHeight="8192" tabRatio="500" xr2:uid="{00000000-000D-0000-FFFF-FFFF00000000}"/>
  </bookViews>
  <sheets>
    <sheet name="kappa" sheetId="12" r:id="rId1"/>
    <sheet name="foaf.xml" sheetId="2" r:id="rId2"/>
    <sheet name="natural.txt" sheetId="3" r:id="rId3"/>
    <sheet name="foaf.rdf" sheetId="5" r:id="rId4"/>
    <sheet name="foaf.json" sheetId="6" r:id="rId5"/>
    <sheet name="foaf_names.xml" sheetId="7" r:id="rId6"/>
    <sheet name="foaf_names.rdf" sheetId="8" r:id="rId7"/>
    <sheet name="foaf_names.json" sheetId="10" r:id="rId8"/>
    <sheet name="natural.json" sheetId="11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5" i="12" l="1"/>
  <c r="P15" i="12"/>
  <c r="Q15" i="12"/>
  <c r="R15" i="12"/>
  <c r="S15" i="12"/>
  <c r="T15" i="12"/>
  <c r="N15" i="12"/>
  <c r="N14" i="12"/>
  <c r="N16" i="12" s="1"/>
  <c r="O14" i="12"/>
  <c r="O16" i="12" s="1"/>
  <c r="P14" i="12"/>
  <c r="P16" i="12" s="1"/>
  <c r="Q14" i="12"/>
  <c r="Q16" i="12" s="1"/>
  <c r="R14" i="12"/>
  <c r="R16" i="12" s="1"/>
  <c r="S14" i="12"/>
  <c r="S16" i="12" s="1"/>
  <c r="T14" i="12"/>
  <c r="T16" i="12" s="1"/>
  <c r="M14" i="12"/>
  <c r="C3" i="12"/>
  <c r="B3" i="12"/>
  <c r="B23" i="12"/>
  <c r="C23" i="12"/>
  <c r="D23" i="12"/>
  <c r="G23" i="12"/>
  <c r="H23" i="12"/>
  <c r="I23" i="12"/>
  <c r="B24" i="12"/>
  <c r="C24" i="12"/>
  <c r="D24" i="12"/>
  <c r="G24" i="12"/>
  <c r="H24" i="12"/>
  <c r="I24" i="12"/>
  <c r="B25" i="12"/>
  <c r="C25" i="12"/>
  <c r="D25" i="12"/>
  <c r="G25" i="12"/>
  <c r="H25" i="12"/>
  <c r="I25" i="12"/>
  <c r="B33" i="12"/>
  <c r="C33" i="12"/>
  <c r="D33" i="12"/>
  <c r="G33" i="12"/>
  <c r="H33" i="12"/>
  <c r="I33" i="12"/>
  <c r="B34" i="12"/>
  <c r="C34" i="12"/>
  <c r="D34" i="12"/>
  <c r="G34" i="12"/>
  <c r="H34" i="12"/>
  <c r="I34" i="12"/>
  <c r="B35" i="12"/>
  <c r="C35" i="12"/>
  <c r="D35" i="12"/>
  <c r="G35" i="12"/>
  <c r="H35" i="12"/>
  <c r="I35" i="12"/>
  <c r="I15" i="12"/>
  <c r="H15" i="12"/>
  <c r="G15" i="12"/>
  <c r="I14" i="12"/>
  <c r="H14" i="12"/>
  <c r="G14" i="12"/>
  <c r="I13" i="12"/>
  <c r="H13" i="12"/>
  <c r="G13" i="12"/>
  <c r="P3" i="12" s="1"/>
  <c r="D15" i="12"/>
  <c r="C15" i="12"/>
  <c r="B15" i="12"/>
  <c r="D14" i="12"/>
  <c r="C14" i="12"/>
  <c r="B14" i="12"/>
  <c r="D13" i="12"/>
  <c r="C13" i="12"/>
  <c r="B13" i="12"/>
  <c r="O3" i="12" s="1"/>
  <c r="I5" i="12"/>
  <c r="H5" i="12"/>
  <c r="G5" i="12"/>
  <c r="I4" i="12"/>
  <c r="H4" i="12"/>
  <c r="G4" i="12"/>
  <c r="I3" i="12"/>
  <c r="H3" i="12"/>
  <c r="G3" i="12"/>
  <c r="C5" i="12"/>
  <c r="C45" i="12" s="1"/>
  <c r="B5" i="12"/>
  <c r="B45" i="12" s="1"/>
  <c r="D4" i="12"/>
  <c r="D44" i="12" s="1"/>
  <c r="B4" i="12"/>
  <c r="B44" i="12" s="1"/>
  <c r="D3" i="12"/>
  <c r="D5" i="12"/>
  <c r="D45" i="12" s="1"/>
  <c r="C4" i="12"/>
  <c r="C44" i="12" s="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5" i="11"/>
  <c r="C34" i="11"/>
  <c r="C33" i="11"/>
  <c r="C32" i="11"/>
  <c r="C31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1" i="11"/>
  <c r="C10" i="11"/>
  <c r="C9" i="11"/>
  <c r="C8" i="11"/>
  <c r="C7" i="11"/>
  <c r="C5" i="11"/>
  <c r="C4" i="11"/>
  <c r="C3" i="11"/>
  <c r="C2" i="11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5" i="10"/>
  <c r="C34" i="10"/>
  <c r="C33" i="10"/>
  <c r="C32" i="10"/>
  <c r="C31" i="10"/>
  <c r="C29" i="10"/>
  <c r="C28" i="10"/>
  <c r="C27" i="10"/>
  <c r="C26" i="10"/>
  <c r="C25" i="10"/>
  <c r="C24" i="10"/>
  <c r="C23" i="10"/>
  <c r="C22" i="10"/>
  <c r="C21" i="10"/>
  <c r="C20" i="10"/>
  <c r="C19" i="10"/>
  <c r="C17" i="10"/>
  <c r="C16" i="10"/>
  <c r="C15" i="10"/>
  <c r="C14" i="10"/>
  <c r="C13" i="10"/>
  <c r="C12" i="10"/>
  <c r="C11" i="10"/>
  <c r="C10" i="10"/>
  <c r="C9" i="10"/>
  <c r="C8" i="10"/>
  <c r="C7" i="10"/>
  <c r="C5" i="10"/>
  <c r="C4" i="10"/>
  <c r="C3" i="10"/>
  <c r="C2" i="10"/>
  <c r="E61" i="8"/>
  <c r="C61" i="8"/>
  <c r="E60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29" i="8"/>
  <c r="C28" i="8"/>
  <c r="C27" i="8"/>
  <c r="C26" i="8"/>
  <c r="E25" i="8"/>
  <c r="C25" i="8"/>
  <c r="E24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5" i="8"/>
  <c r="C4" i="8"/>
  <c r="C3" i="8"/>
  <c r="C2" i="8"/>
  <c r="C61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C49" i="7"/>
  <c r="C48" i="7"/>
  <c r="E47" i="7"/>
  <c r="C47" i="7"/>
  <c r="E46" i="7"/>
  <c r="C46" i="7"/>
  <c r="E45" i="7"/>
  <c r="C45" i="7"/>
  <c r="E44" i="7"/>
  <c r="C44" i="7"/>
  <c r="C43" i="7"/>
  <c r="C42" i="7"/>
  <c r="E41" i="7"/>
  <c r="C41" i="7"/>
  <c r="E40" i="7"/>
  <c r="C40" i="7"/>
  <c r="E39" i="7"/>
  <c r="C39" i="7"/>
  <c r="E38" i="7"/>
  <c r="C38" i="7"/>
  <c r="C37" i="7"/>
  <c r="C36" i="7"/>
  <c r="E35" i="7"/>
  <c r="C35" i="7"/>
  <c r="E34" i="7"/>
  <c r="C34" i="7"/>
  <c r="E33" i="7"/>
  <c r="C33" i="7"/>
  <c r="E32" i="7"/>
  <c r="C32" i="7"/>
  <c r="C31" i="7"/>
  <c r="E29" i="7"/>
  <c r="C29" i="7"/>
  <c r="E28" i="7"/>
  <c r="C28" i="7"/>
  <c r="E27" i="7"/>
  <c r="C27" i="7"/>
  <c r="E26" i="7"/>
  <c r="C26" i="7"/>
  <c r="C25" i="7"/>
  <c r="C24" i="7"/>
  <c r="E23" i="7"/>
  <c r="C23" i="7"/>
  <c r="E22" i="7"/>
  <c r="C22" i="7"/>
  <c r="E21" i="7"/>
  <c r="C21" i="7"/>
  <c r="E20" i="7"/>
  <c r="C20" i="7"/>
  <c r="C19" i="7"/>
  <c r="C18" i="7"/>
  <c r="E17" i="7"/>
  <c r="C17" i="7"/>
  <c r="E16" i="7"/>
  <c r="C16" i="7"/>
  <c r="E15" i="7"/>
  <c r="C15" i="7"/>
  <c r="E14" i="7"/>
  <c r="C14" i="7"/>
  <c r="C13" i="7"/>
  <c r="C12" i="7"/>
  <c r="E11" i="7"/>
  <c r="C11" i="7"/>
  <c r="E10" i="7"/>
  <c r="C10" i="7"/>
  <c r="E9" i="7"/>
  <c r="C9" i="7"/>
  <c r="E8" i="7"/>
  <c r="C8" i="7"/>
  <c r="C7" i="7"/>
  <c r="E5" i="7"/>
  <c r="C5" i="7"/>
  <c r="E4" i="7"/>
  <c r="C4" i="7"/>
  <c r="E3" i="7"/>
  <c r="C3" i="7"/>
  <c r="E2" i="7"/>
  <c r="C2" i="7"/>
  <c r="E61" i="6"/>
  <c r="C61" i="6"/>
  <c r="E59" i="6"/>
  <c r="C59" i="6"/>
  <c r="E58" i="6"/>
  <c r="C58" i="6"/>
  <c r="E57" i="6"/>
  <c r="C57" i="6"/>
  <c r="E56" i="6"/>
  <c r="C56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C48" i="6"/>
  <c r="E47" i="6"/>
  <c r="C47" i="6"/>
  <c r="E46" i="6"/>
  <c r="C46" i="6"/>
  <c r="E45" i="6"/>
  <c r="C45" i="6"/>
  <c r="E44" i="6"/>
  <c r="C44" i="6"/>
  <c r="E43" i="6"/>
  <c r="C43" i="6"/>
  <c r="E41" i="6"/>
  <c r="C41" i="6"/>
  <c r="E40" i="6"/>
  <c r="C40" i="6"/>
  <c r="E39" i="6"/>
  <c r="C39" i="6"/>
  <c r="E38" i="6"/>
  <c r="C38" i="6"/>
  <c r="E37" i="6"/>
  <c r="C37" i="6"/>
  <c r="E35" i="6"/>
  <c r="C35" i="6"/>
  <c r="E34" i="6"/>
  <c r="C34" i="6"/>
  <c r="E33" i="6"/>
  <c r="C33" i="6"/>
  <c r="E32" i="6"/>
  <c r="C32" i="6"/>
  <c r="E31" i="6"/>
  <c r="C31" i="6"/>
  <c r="E29" i="6"/>
  <c r="C29" i="6"/>
  <c r="E28" i="6"/>
  <c r="C28" i="6"/>
  <c r="E27" i="6"/>
  <c r="C27" i="6"/>
  <c r="E26" i="6"/>
  <c r="C26" i="6"/>
  <c r="C25" i="6"/>
  <c r="C24" i="6"/>
  <c r="E23" i="6"/>
  <c r="C23" i="6"/>
  <c r="E22" i="6"/>
  <c r="C22" i="6"/>
  <c r="E21" i="6"/>
  <c r="C21" i="6"/>
  <c r="E20" i="6"/>
  <c r="C20" i="6"/>
  <c r="C19" i="6"/>
  <c r="E17" i="6"/>
  <c r="C17" i="6"/>
  <c r="E16" i="6"/>
  <c r="C16" i="6"/>
  <c r="E15" i="6"/>
  <c r="C15" i="6"/>
  <c r="E14" i="6"/>
  <c r="C14" i="6"/>
  <c r="C13" i="6"/>
  <c r="E11" i="6"/>
  <c r="C11" i="6"/>
  <c r="E10" i="6"/>
  <c r="C10" i="6"/>
  <c r="E9" i="6"/>
  <c r="C9" i="6"/>
  <c r="E8" i="6"/>
  <c r="C8" i="6"/>
  <c r="C7" i="6"/>
  <c r="E5" i="6"/>
  <c r="C5" i="6"/>
  <c r="E4" i="6"/>
  <c r="C4" i="6"/>
  <c r="E3" i="6"/>
  <c r="C3" i="6"/>
  <c r="E2" i="6"/>
  <c r="C2" i="6"/>
  <c r="E61" i="3"/>
  <c r="C61" i="3"/>
  <c r="E60" i="3"/>
  <c r="C60" i="3"/>
  <c r="E59" i="3"/>
  <c r="C59" i="3"/>
  <c r="E58" i="3"/>
  <c r="C58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7" i="3"/>
  <c r="C47" i="3"/>
  <c r="E46" i="3"/>
  <c r="C46" i="3"/>
  <c r="E45" i="3"/>
  <c r="C45" i="3"/>
  <c r="E44" i="3"/>
  <c r="C44" i="3"/>
  <c r="E43" i="3"/>
  <c r="C43" i="3"/>
  <c r="E42" i="3"/>
  <c r="C42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5" i="3"/>
  <c r="C5" i="3"/>
  <c r="E4" i="3"/>
  <c r="C4" i="3"/>
  <c r="E3" i="3"/>
  <c r="C3" i="3"/>
  <c r="E2" i="3"/>
  <c r="C2" i="3"/>
  <c r="E61" i="2"/>
  <c r="C61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5" i="2"/>
  <c r="C35" i="2"/>
  <c r="E34" i="2"/>
  <c r="C34" i="2"/>
  <c r="E33" i="2"/>
  <c r="C33" i="2"/>
  <c r="E32" i="2"/>
  <c r="C32" i="2"/>
  <c r="E31" i="2"/>
  <c r="C31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1" i="2"/>
  <c r="C11" i="2"/>
  <c r="E10" i="2"/>
  <c r="C10" i="2"/>
  <c r="E9" i="2"/>
  <c r="C9" i="2"/>
  <c r="E8" i="2"/>
  <c r="C8" i="2"/>
  <c r="E7" i="2"/>
  <c r="C7" i="2"/>
  <c r="E5" i="2"/>
  <c r="C5" i="2"/>
  <c r="E4" i="2"/>
  <c r="C4" i="2"/>
  <c r="E3" i="2"/>
  <c r="C3" i="2"/>
  <c r="E2" i="2"/>
  <c r="C2" i="2"/>
  <c r="E61" i="5"/>
  <c r="C61" i="5"/>
  <c r="E60" i="5"/>
  <c r="C60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5" i="5"/>
  <c r="C5" i="5"/>
  <c r="E4" i="5"/>
  <c r="C4" i="5"/>
  <c r="E3" i="5"/>
  <c r="C3" i="5"/>
  <c r="E2" i="5"/>
  <c r="C2" i="5"/>
  <c r="N2" i="12" l="1"/>
  <c r="N3" i="12"/>
  <c r="T3" i="12"/>
  <c r="S3" i="12"/>
  <c r="R3" i="12"/>
  <c r="Q3" i="12"/>
  <c r="M3" i="12"/>
  <c r="D43" i="12"/>
  <c r="C43" i="12"/>
  <c r="B16" i="12"/>
  <c r="O2" i="12"/>
  <c r="O4" i="12" s="1"/>
  <c r="G16" i="12"/>
  <c r="P2" i="12"/>
  <c r="P4" i="12" s="1"/>
  <c r="T2" i="12"/>
  <c r="T4" i="12" s="1"/>
  <c r="S2" i="12"/>
  <c r="S4" i="12" s="1"/>
  <c r="R2" i="12"/>
  <c r="R4" i="12" s="1"/>
  <c r="Q2" i="12"/>
  <c r="Q4" i="12" s="1"/>
  <c r="M2" i="12"/>
  <c r="M4" i="12" s="1"/>
  <c r="G6" i="12"/>
  <c r="B43" i="12"/>
  <c r="B46" i="12" s="1"/>
  <c r="G36" i="12"/>
  <c r="B36" i="12"/>
  <c r="G26" i="12"/>
  <c r="B26" i="12"/>
  <c r="G38" i="12"/>
  <c r="G37" i="12"/>
  <c r="G39" i="12" s="1"/>
  <c r="B38" i="12"/>
  <c r="B37" i="12"/>
  <c r="B39" i="12" s="1"/>
  <c r="G28" i="12"/>
  <c r="G27" i="12"/>
  <c r="G29" i="12" s="1"/>
  <c r="B28" i="12"/>
  <c r="B27" i="12"/>
  <c r="B29" i="12" s="1"/>
  <c r="G18" i="12"/>
  <c r="G17" i="12"/>
  <c r="G19" i="12" s="1"/>
  <c r="B18" i="12"/>
  <c r="B17" i="12"/>
  <c r="B19" i="12" s="1"/>
  <c r="G8" i="12"/>
  <c r="G7" i="12"/>
  <c r="G9" i="12" s="1"/>
  <c r="B6" i="12"/>
  <c r="M15" i="12" s="1"/>
  <c r="M16" i="12" s="1"/>
  <c r="N4" i="12" l="1"/>
  <c r="B48" i="12"/>
  <c r="B47" i="12"/>
  <c r="B49" i="12" s="1"/>
  <c r="B8" i="12"/>
  <c r="B7" i="12"/>
  <c r="B9" i="12" s="1"/>
</calcChain>
</file>

<file path=xl/sharedStrings.xml><?xml version="1.0" encoding="utf-8"?>
<sst xmlns="http://schemas.openxmlformats.org/spreadsheetml/2006/main" count="1152" uniqueCount="241">
  <si>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</si>
  <si>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</si>
  <si>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</si>
  <si>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</si>
  <si>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</si>
  <si>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</si>
  <si>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</si>
  <si>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</si>
  <si>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</si>
  <si>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</si>
  <si>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</si>
  <si>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</si>
  <si>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</si>
  <si>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</si>
  <si>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data from all attempts</t>
  </si>
  <si>
    <t>Pe</t>
  </si>
  <si>
    <t>Kappa</t>
  </si>
  <si>
    <t>sum_true</t>
  </si>
  <si>
    <t>sum_data</t>
  </si>
  <si>
    <t>accuracy</t>
  </si>
  <si>
    <t>OVERALL</t>
  </si>
  <si>
    <t>prompt</t>
  </si>
  <si>
    <t>answer</t>
  </si>
  <si>
    <t>validity</t>
  </si>
  <si>
    <t>node</t>
  </si>
  <si>
    <t>validity_ds</t>
  </si>
  <si>
    <t>What is Saša Škrtić's first name?</t>
  </si>
  <si>
    <t>Saša</t>
  </si>
  <si>
    <t>What is Saša Škrtić's last name?</t>
  </si>
  <si>
    <t>Škrtić</t>
  </si>
  <si>
    <t>What is Saša Škrtić's age?</t>
  </si>
  <si>
    <t>17</t>
  </si>
  <si>
    <t>What is Saša Škrtić's gender?</t>
  </si>
  <si>
    <t>MALE</t>
  </si>
  <si>
    <t>List all Saša Škrtić's friends.</t>
  </si>
  <si>
    <t>1. Duje Ravlić
2.</t>
  </si>
  <si>
    <t>How many friends does Saša Škrtić have?</t>
  </si>
  <si>
    <t>Saša has 4 friends.</t>
  </si>
  <si>
    <t>What is Duje Ravlić's first name?</t>
  </si>
  <si>
    <t>Duje</t>
  </si>
  <si>
    <t>What is Duje Ravlić's last name?</t>
  </si>
  <si>
    <t>Ravlić</t>
  </si>
  <si>
    <t>What is Duje Ravlić's age?</t>
  </si>
  <si>
    <t>18</t>
  </si>
  <si>
    <t>What is Duje Ravlić's gender?</t>
  </si>
  <si>
    <t>List all Duje Ravlić's friends.</t>
  </si>
  <si>
    <t>Duje Ravlić's friends:
- Sa</t>
  </si>
  <si>
    <t>How many friends does Duje Ravlić have?</t>
  </si>
  <si>
    <t>Duje Ravlić has 3 friends.</t>
  </si>
  <si>
    <t>What is Eduard Tutić's first name?</t>
  </si>
  <si>
    <t>Eduard</t>
  </si>
  <si>
    <t>What is Eduard Tutić's last name?</t>
  </si>
  <si>
    <t>Tutić.</t>
  </si>
  <si>
    <t>What is Eduard Tutić's age?</t>
  </si>
  <si>
    <t>21</t>
  </si>
  <si>
    <t>What is Eduard Tutić's gender?</t>
  </si>
  <si>
    <t>List all Eduard Tutić's friends.</t>
  </si>
  <si>
    <t>Human id="2" 
- Human id="</t>
  </si>
  <si>
    <t>How many friends does Eduard Tutić have?</t>
  </si>
  <si>
    <t>Eduard Tutić has 4 friends</t>
  </si>
  <si>
    <t>What is Zoran Goreta's first name?</t>
  </si>
  <si>
    <t>Zoran</t>
  </si>
  <si>
    <t>What is Zoran Goreta's last name?</t>
  </si>
  <si>
    <t>Goreta</t>
  </si>
  <si>
    <t>What is Zoran Goreta's age?</t>
  </si>
  <si>
    <t>39</t>
  </si>
  <si>
    <t>What is Zoran Goreta's gender?</t>
  </si>
  <si>
    <t>List all Zoran Goreta's friends.</t>
  </si>
  <si>
    <t>Zoran Goreta's friends:
- Duje</t>
  </si>
  <si>
    <t>How many friends does Zoran Goreta have?</t>
  </si>
  <si>
    <t>Zoran Goreta has 2 friends.</t>
  </si>
  <si>
    <t>What is Ivo Čelina's first name?</t>
  </si>
  <si>
    <t>Ivo</t>
  </si>
  <si>
    <t>What is Ivo Čelina's last name?</t>
  </si>
  <si>
    <t>Čelina</t>
  </si>
  <si>
    <t>What is Ivo Čelina's age?</t>
  </si>
  <si>
    <t>24</t>
  </si>
  <si>
    <t>What is Ivo Čelina's gender?</t>
  </si>
  <si>
    <t>MALE.</t>
  </si>
  <si>
    <t>List all Ivo Čelina's friends.</t>
  </si>
  <si>
    <t>Duje Ravlić, Jagoda Dražen</t>
  </si>
  <si>
    <t>How many friends does Ivo Čelina have?</t>
  </si>
  <si>
    <t>Ivo has 3 friends.</t>
  </si>
  <si>
    <t>What is Jagoda Draženović's first name?</t>
  </si>
  <si>
    <t>Jagoda.</t>
  </si>
  <si>
    <t>What is Jagoda Draženović's last name?</t>
  </si>
  <si>
    <t>Draženović</t>
  </si>
  <si>
    <t>What is Jagoda Draženović's age?</t>
  </si>
  <si>
    <t>11</t>
  </si>
  <si>
    <t>What is Jagoda Draženović's gender?</t>
  </si>
  <si>
    <t>FEMALE</t>
  </si>
  <si>
    <t>List all Jagoda Draženović's friends.</t>
  </si>
  <si>
    <t>Jagoda's friends: 
- Saš</t>
  </si>
  <si>
    <t>How many friends does Jagoda Draženović have?</t>
  </si>
  <si>
    <t>Jagoda has 2 friends.</t>
  </si>
  <si>
    <t>What is Monika Rimac's first name?</t>
  </si>
  <si>
    <t>Monika.</t>
  </si>
  <si>
    <t>What is Monika Rimac's last name?</t>
  </si>
  <si>
    <t>Rimac</t>
  </si>
  <si>
    <t>What is Monika Rimac's age?</t>
  </si>
  <si>
    <t>10</t>
  </si>
  <si>
    <t>What is Monika Rimac's gender?</t>
  </si>
  <si>
    <t>FEMALE.</t>
  </si>
  <si>
    <t>List all Monika Rimac's friends.</t>
  </si>
  <si>
    <t>Monika Rimac's friends:
* Human #</t>
  </si>
  <si>
    <t>How many friends does Monika Rimac have?</t>
  </si>
  <si>
    <t>Monika Rimac has 2 friends.</t>
  </si>
  <si>
    <t>What is Mia Popić's first name?</t>
  </si>
  <si>
    <t>Mia</t>
  </si>
  <si>
    <t>What is Mia Popić's last name?</t>
  </si>
  <si>
    <t>Popić.</t>
  </si>
  <si>
    <t>What is Mia Popić's age?</t>
  </si>
  <si>
    <t>What is Mia Popić's gender?</t>
  </si>
  <si>
    <t>List all Mia Popić's friends.</t>
  </si>
  <si>
    <t>Mirjam Devčić</t>
  </si>
  <si>
    <t>How many friends does Mia Popić have?</t>
  </si>
  <si>
    <t>1</t>
  </si>
  <si>
    <t>What is Nada Sudar's first name?</t>
  </si>
  <si>
    <t>Nada's first name is not specified.</t>
  </si>
  <si>
    <t>What is Nada Sudar's last name?</t>
  </si>
  <si>
    <t>Sudar</t>
  </si>
  <si>
    <t>What is Nada Sudar's age?</t>
  </si>
  <si>
    <t>19</t>
  </si>
  <si>
    <t>What is Nada Sudar's gender?</t>
  </si>
  <si>
    <t>List all Nada Sudar's friends.</t>
  </si>
  <si>
    <t>Eduard Tutić</t>
  </si>
  <si>
    <t>How many friends does Nada Sudar have?</t>
  </si>
  <si>
    <t>What is Mirjam Devčić's first name?</t>
  </si>
  <si>
    <t>Mirjam</t>
  </si>
  <si>
    <t>What is Mirjam Devčić's last name?</t>
  </si>
  <si>
    <t>Devčić</t>
  </si>
  <si>
    <t>What is Mirjam Devčić's age?</t>
  </si>
  <si>
    <t>41</t>
  </si>
  <si>
    <t>What is Mirjam Devčić's gender?</t>
  </si>
  <si>
    <t>List all Mirjam Devčić's friends.</t>
  </si>
  <si>
    <t>Mirjam Devčić's friends: Duje</t>
  </si>
  <si>
    <t>How many friends does Mirjam Devčić have?</t>
  </si>
  <si>
    <t>2</t>
  </si>
  <si>
    <t>note</t>
  </si>
  <si>
    <t>17 years old.</t>
  </si>
  <si>
    <t>Male.</t>
  </si>
  <si>
    <t>1. Monika Rimac
2. Du</t>
  </si>
  <si>
    <t>At least 6.</t>
  </si>
  <si>
    <t>Not mentioned.</t>
  </si>
  <si>
    <t>1. Mirjam Devčić
2.</t>
  </si>
  <si>
    <t>6</t>
  </si>
  <si>
    <t>Tutić</t>
  </si>
  <si>
    <t>21 years old.</t>
  </si>
  <si>
    <t>Eduard Tutić's friends:
1</t>
  </si>
  <si>
    <t>7</t>
  </si>
  <si>
    <t>Zoran.</t>
  </si>
  <si>
    <t>Goreta.</t>
  </si>
  <si>
    <t>Saša Škrtić, Eduard</t>
  </si>
  <si>
    <t>24 years old.</t>
  </si>
  <si>
    <t>8.</t>
  </si>
  <si>
    <t>Jagoda</t>
  </si>
  <si>
    <t>Draženović.</t>
  </si>
  <si>
    <t>11 years old.</t>
  </si>
  <si>
    <t>Female.</t>
  </si>
  <si>
    <t>Ivo Čelina, Saša Š</t>
  </si>
  <si>
    <t>6.</t>
  </si>
  <si>
    <t>10 years old.</t>
  </si>
  <si>
    <t>3</t>
  </si>
  <si>
    <t>Data doesn't mention Mia Popić's last name</t>
  </si>
  <si>
    <t>almost technically correct</t>
  </si>
  <si>
    <t>Mia Popić and Mirjam Devčić</t>
  </si>
  <si>
    <t>half a point</t>
  </si>
  <si>
    <t>19 years old.</t>
  </si>
  <si>
    <t>Nada Sudar's friends: 
1.</t>
  </si>
  <si>
    <t>At least 3 (Eduard Tuti</t>
  </si>
  <si>
    <t>There is no first name mentioned for Mirjam Dev</t>
  </si>
  <si>
    <t>...but you know that??</t>
  </si>
  <si>
    <t>1. Mia Popić
2. Duje</t>
  </si>
  <si>
    <t>Duje.</t>
  </si>
  <si>
    <t>Ravlić.</t>
  </si>
  <si>
    <t>Duje Ravlić's friends: 
1</t>
  </si>
  <si>
    <t>He has 4 friends.</t>
  </si>
  <si>
    <t>21.</t>
  </si>
  <si>
    <t>Zoran Goreta, Ivo Čelina</t>
  </si>
  <si>
    <t>9</t>
  </si>
  <si>
    <t>Zoran's first name is Duje.</t>
  </si>
  <si>
    <t>what??</t>
  </si>
  <si>
    <t>#person3</t>
  </si>
  <si>
    <t>2 (#person0, #person2)</t>
  </si>
  <si>
    <t>Ivo Čelina's friends: person2</t>
  </si>
  <si>
    <t>Duje Ravlić, Ivo Čel</t>
  </si>
  <si>
    <t>Monika</t>
  </si>
  <si>
    <t>Rimac.</t>
  </si>
  <si>
    <t>#person6</t>
  </si>
  <si>
    <t>Monika is #person6</t>
  </si>
  <si>
    <t>Mia.</t>
  </si>
  <si>
    <t>Popić</t>
  </si>
  <si>
    <t>Nada</t>
  </si>
  <si>
    <t>Sudar.</t>
  </si>
  <si>
    <t>Person 8 (Nada Sudar) knows</t>
  </si>
  <si>
    <t>Mirjam Devčić's friends: 
1</t>
  </si>
  <si>
    <t>Saša.</t>
  </si>
  <si>
    <t>Škrtić.</t>
  </si>
  <si>
    <t>0, 3, 5, 6</t>
  </si>
  <si>
    <t>18 years old.</t>
  </si>
  <si>
    <t>1, 4, 9</t>
  </si>
  <si>
    <t>3, 4, 6, 8</t>
  </si>
  <si>
    <t>Zoran Goreta's friends: Duje Rav</t>
  </si>
  <si>
    <t>Zoran has 2 friends.</t>
  </si>
  <si>
    <t>1, 2, 4, 5</t>
  </si>
  <si>
    <t>0, 4</t>
  </si>
  <si>
    <t>["0", "2"]</t>
  </si>
  <si>
    <t>None, only "9" is mentioned as her</t>
  </si>
  <si>
    <t>None, only Duje Ravlić is listed</t>
  </si>
  <si>
    <t>Nada Sudar has 1 friend.</t>
  </si>
  <si>
    <t>Mirjam.</t>
  </si>
  <si>
    <t>1, 7</t>
  </si>
  <si>
    <t>Duje Ravlić, Zoran Goreta</t>
  </si>
  <si>
    <t>4</t>
  </si>
  <si>
    <t>Duje Ravlić's friends:
1.</t>
  </si>
  <si>
    <t>Duje Ravlić has 6 friends.</t>
  </si>
  <si>
    <t>Eduard Tutić's friends:
-</t>
  </si>
  <si>
    <t>Čelina.</t>
  </si>
  <si>
    <t>Duje Ravlić, Eduard Tuti</t>
  </si>
  <si>
    <t>Ivo Čelina has 3 friends.</t>
  </si>
  <si>
    <t>Saša Škrtić, Ivo</t>
  </si>
  <si>
    <t>Devčić.</t>
  </si>
  <si>
    <t>Duje Ravlić, Mia Popić</t>
  </si>
  <si>
    <t>8</t>
  </si>
  <si>
    <t xml:space="preserve">Eduard Tutić's friends: 
</t>
  </si>
  <si>
    <t>39.</t>
  </si>
  <si>
    <t>Ivo.</t>
  </si>
  <si>
    <t>He has 3 friends.</t>
  </si>
  <si>
    <t>2.</t>
  </si>
  <si>
    <t>Nada.</t>
  </si>
  <si>
    <t>["Duje Ravlić", "Zoran</t>
  </si>
  <si>
    <t>[
  {"friend": "Zoran Goreta</t>
  </si>
  <si>
    <t>Ivo Čelina, Jagoda Dražen</t>
  </si>
  <si>
    <t>Nada's first name is not provided in the</t>
  </si>
  <si>
    <t>["Duje Ravlić", "Mia</t>
  </si>
  <si>
    <t>There is no mention of Duje Ravlić</t>
  </si>
  <si>
    <t>Data does not provide Eduard Tutić's</t>
  </si>
  <si>
    <t xml:space="preserve">Eduard Tutić's friends: 
</t>
  </si>
  <si>
    <t>Ivo's last name is Čelina.</t>
  </si>
  <si>
    <t>There is no mention of Nada Sudar's</t>
  </si>
  <si>
    <t>41 years 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</si>
</sst>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  <xf numFmtId="0" fontId="2" fillId="0" borderId="0" xfId="0" applyFont="1" applyAlignment="1">
      <alignment horizontal="right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68BC-A1C8-4D76-8A84-C0DEC9981945}">
  <dimension ref="A1:T49"/>
  <sheetViews>
    <sheetView tabSelected="1" workbookViewId="0">
      <selection activeCell="O12" sqref="O12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customWidth="1"/>
    <col min="7" max="7" width="12.5703125" bestFit="1" customWidth="1"/>
    <col min="8" max="8" width="6.28515625" bestFit="1" customWidth="1"/>
    <col min="9" max="9" width="8.5703125" bestFit="1" customWidth="1"/>
    <col min="12" max="12" width="9.7109375" bestFit="1" customWidth="1"/>
    <col min="13" max="13" width="21" bestFit="1" customWidth="1"/>
    <col min="14" max="14" width="15.28515625" bestFit="1" customWidth="1"/>
    <col min="15" max="17" width="12.5703125" bestFit="1" customWidth="1"/>
    <col min="18" max="18" width="14.7109375" bestFit="1" customWidth="1"/>
    <col min="19" max="19" width="8.7109375" bestFit="1" customWidth="1"/>
    <col min="20" max="20" width="15.7109375" bestFit="1" customWidth="1"/>
    <col min="21" max="21" width="4.855468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>B3+B4+B5</f>
        <v>51</v>
      </c>
      <c r="N2">
        <f>G3+G4+G5</f>
        <v>54</v>
      </c>
      <c r="O2">
        <f>B13+B14+B15</f>
        <v>37</v>
      </c>
      <c r="P2">
        <f>G13+G14+G15</f>
        <v>43</v>
      </c>
      <c r="Q2">
        <f>B23+B24+B25</f>
        <v>45</v>
      </c>
      <c r="R2">
        <f>G23+G24+G25</f>
        <v>52</v>
      </c>
      <c r="S2">
        <f>B33+B34+B35</f>
        <v>50</v>
      </c>
      <c r="T2">
        <f>G33+G34+G35</f>
        <v>53</v>
      </c>
    </row>
    <row r="3" spans="1:20">
      <c r="A3" t="b">
        <v>1</v>
      </c>
      <c r="B3">
        <f>COUNTIFS(foaf.xml!$C$2:$C$61,TRUE,foaf.xml!$E$2:$E$61,TRUE)</f>
        <v>51</v>
      </c>
      <c r="C3">
        <f>COUNTIFS(foaf.xml!$C$2:$C$61,TRUE,foaf.xml!$E$2:$E$61,FALSE)</f>
        <v>0</v>
      </c>
      <c r="D3">
        <f>COUNTIFS(foaf.xml!$C$2:$C$61,TRUE,foaf.xml!$E$2:$E$61,"half true")</f>
        <v>0</v>
      </c>
      <c r="F3" t="b">
        <v>1</v>
      </c>
      <c r="G3">
        <f>COUNTIFS(foaf_names.xml!$C$2:$C$61,TRUE,foaf_names.xml!$E$2:$E$61,TRUE)</f>
        <v>54</v>
      </c>
      <c r="H3">
        <f>COUNTIFS(foaf_names.xml!$C$2:$C$61,TRUE,foaf_names.xml!$E$2:$E$61,FALSE)</f>
        <v>0</v>
      </c>
      <c r="I3">
        <f>COUNTIFS(foaf_names.xml!$C$2:$C$61,TRUE,foaf_names.xml!$E$2:$E$61,"half true")</f>
        <v>0</v>
      </c>
      <c r="L3" t="s">
        <v>10</v>
      </c>
      <c r="M3">
        <f>SUM(B3:D3)</f>
        <v>51</v>
      </c>
      <c r="N3">
        <f>SUM(G3:I3)</f>
        <v>54</v>
      </c>
      <c r="O3">
        <f>SUM(B13:D13)</f>
        <v>37</v>
      </c>
      <c r="P3">
        <f>SUM(G13:I13)</f>
        <v>43</v>
      </c>
      <c r="Q3">
        <f>SUM(B23:D23)</f>
        <v>45</v>
      </c>
      <c r="R3">
        <f>G23+H23+I23</f>
        <v>52</v>
      </c>
      <c r="S3">
        <f>B33+C33+D33</f>
        <v>50</v>
      </c>
      <c r="T3">
        <f>G33+H33+I33</f>
        <v>54</v>
      </c>
    </row>
    <row r="4" spans="1:20">
      <c r="A4" t="b">
        <v>0</v>
      </c>
      <c r="B4">
        <f>COUNTIFS(foaf.xml!$C$2:$C$61,FALSE,foaf.xml!$E$2:$E$61,TRUE)</f>
        <v>0</v>
      </c>
      <c r="C4">
        <f>COUNTIFS(foaf.xml!$C$2:$C$61,FALSE,foaf.xml!$E$2:$E$61,FALSE)</f>
        <v>4</v>
      </c>
      <c r="D4">
        <f>COUNTIFS(foaf.xml!$C$2:$C$61,FALSE,foaf.xml!$E$2:$E$61,"half true")</f>
        <v>0</v>
      </c>
      <c r="F4" t="b">
        <v>0</v>
      </c>
      <c r="G4">
        <f>COUNTIFS(foaf_names.xml!$C$2:$C$61,FALSE,foaf_names.xml!$E$2:$E$61,TRUE)</f>
        <v>0</v>
      </c>
      <c r="H4">
        <f>COUNTIFS(foaf_names.xml!$C$2:$C$61,FALSE,foaf_names.xml!$E$2:$E$61,FALSE)</f>
        <v>4</v>
      </c>
      <c r="I4">
        <f>COUNTIFS(foaf_names.xml!$C$2:$C$61,FALSE,foaf_names.xml!$E$2:$E$61,"half true")</f>
        <v>0</v>
      </c>
      <c r="L4" t="s">
        <v>11</v>
      </c>
      <c r="M4">
        <f>SUM(M2:M3)</f>
        <v>102</v>
      </c>
      <c r="N4">
        <f t="shared" ref="N4:T4" si="0">SUM(N2:N3)</f>
        <v>108</v>
      </c>
      <c r="O4">
        <f t="shared" si="0"/>
        <v>74</v>
      </c>
      <c r="P4">
        <f t="shared" si="0"/>
        <v>86</v>
      </c>
      <c r="Q4">
        <f t="shared" si="0"/>
        <v>90</v>
      </c>
      <c r="R4">
        <f t="shared" si="0"/>
        <v>104</v>
      </c>
      <c r="S4">
        <f t="shared" si="0"/>
        <v>100</v>
      </c>
      <c r="T4">
        <f t="shared" si="0"/>
        <v>107</v>
      </c>
    </row>
    <row r="5" spans="1:20">
      <c r="A5" t="s">
        <v>8</v>
      </c>
      <c r="B5">
        <f>COUNTIFS(foaf.xml!$C$2:$C$61,"half true",foaf.xml!$E$2:$E$61,TRUE)</f>
        <v>0</v>
      </c>
      <c r="C5">
        <f>COUNTIFS(foaf.xml!$C$2:$C$61,"half true",foaf.xml!$E$2:$E$61,FALSE)</f>
        <v>0</v>
      </c>
      <c r="D5">
        <f>COUNTIFS(foaf.xml!$C$2:$C$61,"half true",foaf.xml!$E$2:$E$61,"half true")</f>
        <v>5</v>
      </c>
      <c r="F5" t="s">
        <v>8</v>
      </c>
      <c r="G5">
        <f>COUNTIFS(foaf_names.xml!$C$2:$C$61,"half true",foaf_names.xml!$E$2:$E$61,TRUE)</f>
        <v>0</v>
      </c>
      <c r="H5">
        <f>COUNTIFS(foaf_names.xml!$C$2:$C$61,"half true",foaf_names.xml!$E$2:$E$61,FALSE)</f>
        <v>0</v>
      </c>
      <c r="I5">
        <f>COUNTIFS(foaf_names.xml!$C$2:$C$61,"half true",foaf_names.xml!$E$2:$E$61,"half true")</f>
        <v>2</v>
      </c>
    </row>
    <row r="6" spans="1:20">
      <c r="A6" t="s">
        <v>12</v>
      </c>
      <c r="B6">
        <f>SUM(B3:D5)</f>
        <v>60</v>
      </c>
      <c r="F6" t="s">
        <v>12</v>
      </c>
      <c r="G6">
        <f>SUM(G3:I5)</f>
        <v>60</v>
      </c>
    </row>
    <row r="7" spans="1:20">
      <c r="A7" t="s">
        <v>13</v>
      </c>
      <c r="B7">
        <f>(B3+C4+D5)/B6</f>
        <v>1</v>
      </c>
      <c r="F7" t="s">
        <v>13</v>
      </c>
      <c r="G7">
        <f>(G3+H4+I5)/G6</f>
        <v>1</v>
      </c>
      <c r="M7" t="s">
        <v>14</v>
      </c>
    </row>
    <row r="8" spans="1:20">
      <c r="A8" t="s">
        <v>15</v>
      </c>
      <c r="B8">
        <f>((SUM(B3:D3)*SUM(B3:B5))+(SUM(B4:D4)*SUM(C3:C5))+(SUM(B5:D5)*SUM(D3:D5)))/(B6^2)</f>
        <v>0.73388888888888892</v>
      </c>
      <c r="F8" t="s">
        <v>15</v>
      </c>
      <c r="G8">
        <f>((SUM(G3:I3)*SUM(G3:G5))+(SUM(G4:I4)*SUM(H3:H5))+(SUM(G5:I5)*SUM(I3:I5)))/(G6^2)</f>
        <v>0.81555555555555559</v>
      </c>
      <c r="M8" t="s">
        <v>0</v>
      </c>
      <c r="N8" t="s">
        <v>1</v>
      </c>
      <c r="O8" t="s">
        <v>2</v>
      </c>
      <c r="P8" t="s">
        <v>3</v>
      </c>
      <c r="Q8" t="s">
        <v>4</v>
      </c>
      <c r="R8" t="s">
        <v>5</v>
      </c>
      <c r="S8" t="s">
        <v>6</v>
      </c>
      <c r="T8" t="s">
        <v>7</v>
      </c>
    </row>
    <row r="9" spans="1:20">
      <c r="A9" t="s">
        <v>16</v>
      </c>
      <c r="B9">
        <f>(B7-B8)/(1-B8)</f>
        <v>1</v>
      </c>
      <c r="F9" t="s">
        <v>16</v>
      </c>
      <c r="G9">
        <f>(G7-G8)/(1-G8)</f>
        <v>1</v>
      </c>
      <c r="M9">
        <v>102</v>
      </c>
      <c r="N9">
        <v>108</v>
      </c>
      <c r="O9">
        <v>74</v>
      </c>
      <c r="P9">
        <v>86</v>
      </c>
      <c r="Q9">
        <v>90</v>
      </c>
      <c r="R9">
        <v>104</v>
      </c>
      <c r="S9">
        <v>100</v>
      </c>
      <c r="T9">
        <v>107</v>
      </c>
    </row>
    <row r="10" spans="1:20">
      <c r="M10">
        <v>102</v>
      </c>
      <c r="N10">
        <v>103</v>
      </c>
      <c r="O10">
        <v>61</v>
      </c>
      <c r="P10">
        <v>82</v>
      </c>
      <c r="Q10">
        <v>96</v>
      </c>
      <c r="R10">
        <v>100</v>
      </c>
      <c r="S10">
        <v>101</v>
      </c>
      <c r="T10">
        <v>106</v>
      </c>
    </row>
    <row r="11" spans="1:20">
      <c r="A11" t="s">
        <v>2</v>
      </c>
      <c r="F11" t="s">
        <v>3</v>
      </c>
      <c r="M11">
        <v>102</v>
      </c>
      <c r="N11">
        <v>108</v>
      </c>
      <c r="O11">
        <v>62</v>
      </c>
      <c r="P11">
        <v>80</v>
      </c>
      <c r="Q11">
        <v>92</v>
      </c>
      <c r="R11">
        <v>98</v>
      </c>
      <c r="S11">
        <v>98</v>
      </c>
      <c r="T11">
        <v>108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  <c r="M12">
        <v>102</v>
      </c>
      <c r="N12">
        <v>106</v>
      </c>
      <c r="O12">
        <v>72</v>
      </c>
      <c r="P12">
        <v>78</v>
      </c>
      <c r="Q12">
        <v>94</v>
      </c>
      <c r="R12">
        <v>102</v>
      </c>
      <c r="S12">
        <v>98</v>
      </c>
      <c r="T12">
        <v>108</v>
      </c>
    </row>
    <row r="13" spans="1:20">
      <c r="A13" t="b">
        <v>1</v>
      </c>
      <c r="B13">
        <f>COUNTIFS(natural.txt!$C$2:$C$61,TRUE,natural.txt!$E$2:$E$61,TRUE)</f>
        <v>37</v>
      </c>
      <c r="C13">
        <f>COUNTIFS(natural.txt!$C$2:$C$61,TRUE,natural.txt!$E$2:$E$61,FALSE)</f>
        <v>0</v>
      </c>
      <c r="D13">
        <f>COUNTIFS(natural.txt!$C$2:$C$61,TRUE,natural.txt!$E$2:$E$61,"half true")</f>
        <v>0</v>
      </c>
      <c r="F13" t="b">
        <v>1</v>
      </c>
      <c r="G13">
        <f>COUNTIFS(natural.json!$C$2:$C$61,TRUE,natural.json!$E$2:$E$61,TRUE)</f>
        <v>43</v>
      </c>
      <c r="H13">
        <f>COUNTIFS(natural.json!$C$2:$C$61,TRUE,natural.json!$E$2:$E$61,FALSE)</f>
        <v>0</v>
      </c>
      <c r="I13">
        <f>COUNTIFS(natural.json!$C$2:$C$61,TRUE,natural.json!$E$2:$E$61,"half true")</f>
        <v>0</v>
      </c>
      <c r="M13">
        <v>102</v>
      </c>
      <c r="N13">
        <v>110</v>
      </c>
      <c r="O13">
        <v>58</v>
      </c>
      <c r="P13">
        <v>80</v>
      </c>
      <c r="Q13">
        <v>94</v>
      </c>
      <c r="R13">
        <v>100</v>
      </c>
      <c r="S13">
        <v>104</v>
      </c>
      <c r="T13">
        <v>110</v>
      </c>
    </row>
    <row r="14" spans="1:20">
      <c r="A14" t="b">
        <v>0</v>
      </c>
      <c r="B14">
        <f>COUNTIFS(natural.txt!$C$2:$C$61,FALSE,natural.txt!$E$2:$E$61,TRUE)</f>
        <v>0</v>
      </c>
      <c r="C14">
        <f>COUNTIFS(natural.txt!$C$2:$C$61,FALSE,natural.txt!$E$2:$E$61,FALSE)</f>
        <v>20</v>
      </c>
      <c r="D14">
        <f>COUNTIFS(natural.txt!$C$2:$C$61,FALSE,natural.txt!$E$2:$E$61,"half true")</f>
        <v>0</v>
      </c>
      <c r="F14" t="b">
        <v>0</v>
      </c>
      <c r="G14">
        <f>COUNTIFS(natural.json!$C$2:$C$61,FALSE,natural.json!$E$2:$E$61,TRUE)</f>
        <v>0</v>
      </c>
      <c r="H14">
        <f>COUNTIFS(natural.json!$C$2:$C$61,FALSE,natural.json!$E$2:$E$61,FALSE)</f>
        <v>13</v>
      </c>
      <c r="I14">
        <f>COUNTIFS(natural.json!$C$2:$C$61,FALSE,natural.json!$E$2:$E$61,"half true")</f>
        <v>0</v>
      </c>
      <c r="L14" t="s">
        <v>17</v>
      </c>
      <c r="M14">
        <f>SUM(M9:M13)</f>
        <v>510</v>
      </c>
      <c r="N14">
        <f t="shared" ref="N14:T14" si="1">SUM(N9:N13)</f>
        <v>535</v>
      </c>
      <c r="O14">
        <f t="shared" si="1"/>
        <v>327</v>
      </c>
      <c r="P14">
        <f t="shared" si="1"/>
        <v>406</v>
      </c>
      <c r="Q14">
        <f t="shared" si="1"/>
        <v>466</v>
      </c>
      <c r="R14">
        <f t="shared" si="1"/>
        <v>504</v>
      </c>
      <c r="S14">
        <f t="shared" si="1"/>
        <v>501</v>
      </c>
      <c r="T14">
        <f t="shared" si="1"/>
        <v>539</v>
      </c>
    </row>
    <row r="15" spans="1:20">
      <c r="A15" t="s">
        <v>8</v>
      </c>
      <c r="B15">
        <f>COUNTIFS(natural.txt!$C$2:$C$61,"half true",natural.txt!$E$2:$E$61,TRUE)</f>
        <v>0</v>
      </c>
      <c r="C15">
        <f>COUNTIFS(natural.txt!$C$2:$C$61,"half true",natural.txt!$E$2:$E$61,FALSE)</f>
        <v>0</v>
      </c>
      <c r="D15">
        <f>COUNTIFS(natural.txt!$C$2:$C$61,"half true",natural.txt!$E$2:$E$61,"half true")</f>
        <v>3</v>
      </c>
      <c r="F15" t="s">
        <v>8</v>
      </c>
      <c r="G15">
        <f>COUNTIFS(natural.json!$C$2:$C$61,"half true",natural.json!$E$2:$E$61,TRUE)</f>
        <v>0</v>
      </c>
      <c r="H15">
        <f>COUNTIFS(natural.json!$C$2:$C$61,"half true",natural.json!$E$2:$E$61,FALSE)</f>
        <v>0</v>
      </c>
      <c r="I15">
        <f>COUNTIFS(natural.json!$C$2:$C$61,"half true",natural.json!$E$2:$E$61,"half true")</f>
        <v>4</v>
      </c>
      <c r="L15" t="s">
        <v>18</v>
      </c>
      <c r="M15">
        <f>2*5*B6</f>
        <v>600</v>
      </c>
      <c r="N15">
        <f>M15</f>
        <v>600</v>
      </c>
      <c r="O15">
        <f t="shared" ref="O15:T15" si="2">N15</f>
        <v>600</v>
      </c>
      <c r="P15">
        <f t="shared" si="2"/>
        <v>600</v>
      </c>
      <c r="Q15">
        <f t="shared" si="2"/>
        <v>600</v>
      </c>
      <c r="R15">
        <f t="shared" si="2"/>
        <v>600</v>
      </c>
      <c r="S15">
        <f t="shared" si="2"/>
        <v>600</v>
      </c>
      <c r="T15">
        <f t="shared" si="2"/>
        <v>600</v>
      </c>
    </row>
    <row r="16" spans="1:20">
      <c r="A16" t="s">
        <v>12</v>
      </c>
      <c r="B16">
        <f>SUM(B13:D15)</f>
        <v>60</v>
      </c>
      <c r="F16" t="s">
        <v>12</v>
      </c>
      <c r="G16">
        <f>SUM(G13:I15)</f>
        <v>60</v>
      </c>
      <c r="L16" t="s">
        <v>19</v>
      </c>
      <c r="M16">
        <f>M14/M15</f>
        <v>0.85</v>
      </c>
      <c r="N16">
        <f t="shared" ref="N16:T16" si="3">N14/N15</f>
        <v>0.89166666666666672</v>
      </c>
      <c r="O16">
        <f t="shared" si="3"/>
        <v>0.54500000000000004</v>
      </c>
      <c r="P16">
        <f t="shared" si="3"/>
        <v>0.67666666666666664</v>
      </c>
      <c r="Q16">
        <f t="shared" si="3"/>
        <v>0.77666666666666662</v>
      </c>
      <c r="R16">
        <f t="shared" si="3"/>
        <v>0.84</v>
      </c>
      <c r="S16">
        <f t="shared" si="3"/>
        <v>0.83499999999999996</v>
      </c>
      <c r="T16">
        <f t="shared" si="3"/>
        <v>0.89833333333333332</v>
      </c>
    </row>
    <row r="17" spans="1:9">
      <c r="A17" t="s">
        <v>13</v>
      </c>
      <c r="B17">
        <f>(B13+C14+D15)/B16</f>
        <v>1</v>
      </c>
      <c r="F17" t="s">
        <v>13</v>
      </c>
      <c r="G17">
        <f>(G13+H14+I15)/G16</f>
        <v>1</v>
      </c>
    </row>
    <row r="18" spans="1:9">
      <c r="A18" t="s">
        <v>15</v>
      </c>
      <c r="B18">
        <f>((SUM(B13:D13)*SUM(B13:B15))+(SUM(B14:D14)*SUM(C13:C15))+(SUM(B15:D15)*SUM(D13:D15)))/(B16^2)</f>
        <v>0.49388888888888888</v>
      </c>
      <c r="F18" t="s">
        <v>15</v>
      </c>
      <c r="G18">
        <f>((SUM(G13:I13)*SUM(G13:G15))+(SUM(G14:I14)*SUM(H13:H15))+(SUM(G15:I15)*SUM(I13:I15)))/(G16^2)</f>
        <v>0.56499999999999995</v>
      </c>
    </row>
    <row r="19" spans="1:9">
      <c r="A19" t="s">
        <v>16</v>
      </c>
      <c r="B19">
        <f>(B17-B18)/(1-B18)</f>
        <v>1</v>
      </c>
      <c r="F19" t="s">
        <v>16</v>
      </c>
      <c r="G19">
        <f>(G17-G18)/(1-G18)</f>
        <v>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>COUNTIFS(foaf.rdf!$C$2:$C$61,TRUE,foaf.rdf!$E$2:$E$61,TRUE)</f>
        <v>45</v>
      </c>
      <c r="C23">
        <f>COUNTIFS(foaf.rdf!$C$2:$C$61,TRUE,foaf.rdf!$E$2:$E$61,FALSE)</f>
        <v>0</v>
      </c>
      <c r="D23">
        <f>COUNTIFS(foaf.rdf!$C$2:$C$61,TRUE,foaf.rdf!$E$2:$E$61,"half true")</f>
        <v>0</v>
      </c>
      <c r="F23" t="b">
        <v>1</v>
      </c>
      <c r="G23">
        <f>COUNTIFS(foaf_names.rdf!$C$2:$C$61,TRUE,foaf_names.rdf!$E$2:$E$61,TRUE)</f>
        <v>52</v>
      </c>
      <c r="H23">
        <f>COUNTIFS(foaf_names.rdf!$C$2:$C$61,TRUE,foaf_names.rdf!$E$2:$E$61,FALSE)</f>
        <v>0</v>
      </c>
      <c r="I23">
        <f>COUNTIFS(foaf_names.rdf!$C$2:$C$61,TRUE,foaf_names.rdf!$E$2:$E$61,"half true")</f>
        <v>0</v>
      </c>
    </row>
    <row r="24" spans="1:9">
      <c r="A24" t="b">
        <v>0</v>
      </c>
      <c r="B24">
        <f>COUNTIFS(foaf.rdf!$C$2:$C$61,FALSE,foaf.rdf!$E$2:$E$61,TRUE)</f>
        <v>0</v>
      </c>
      <c r="C24">
        <f>COUNTIFS(foaf.rdf!$C$2:$C$61,FALSE,foaf.rdf!$E$2:$E$61,FALSE)</f>
        <v>12</v>
      </c>
      <c r="D24">
        <f>COUNTIFS(foaf.rdf!$C$2:$C$61,FALSE,foaf.rdf!$E$2:$E$61,"half true")</f>
        <v>0</v>
      </c>
      <c r="F24" t="b">
        <v>0</v>
      </c>
      <c r="G24">
        <f>COUNTIFS(foaf_names.rdf!$C$2:$C$61,FALSE,foaf_names.rdf!$E$2:$E$61,TRUE)</f>
        <v>0</v>
      </c>
      <c r="H24">
        <f>COUNTIFS(foaf_names.rdf!$C$2:$C$61,FALSE,foaf_names.rdf!$E$2:$E$61,FALSE)</f>
        <v>6</v>
      </c>
      <c r="I24">
        <f>COUNTIFS(foaf_names.rdf!$C$2:$C$61,FALSE,foaf_names.rdf!$E$2:$E$61,"half true")</f>
        <v>0</v>
      </c>
    </row>
    <row r="25" spans="1:9">
      <c r="A25" t="s">
        <v>8</v>
      </c>
      <c r="B25">
        <f>COUNTIFS(foaf.rdf!$C$2:$C$61,"half true",foaf.rdf!$E$2:$E$61,TRUE)</f>
        <v>0</v>
      </c>
      <c r="C25">
        <f>COUNTIFS(foaf.rdf!$C$2:$C$61,"half true",foaf.rdf!$E$2:$E$61,FALSE)</f>
        <v>0</v>
      </c>
      <c r="D25">
        <f>COUNTIFS(foaf.rdf!$C$2:$C$61,"half true",foaf.rdf!$E$2:$E$61,"half true")</f>
        <v>3</v>
      </c>
      <c r="F25" t="s">
        <v>8</v>
      </c>
      <c r="G25">
        <f>COUNTIFS(foaf_names.rdf!$C$2:$C$61,"half true",foaf_names.rdf!$E$2:$E$61,TRUE)</f>
        <v>0</v>
      </c>
      <c r="H25">
        <f>COUNTIFS(foaf_names.rdf!$C$2:$C$61,"half true",foaf_names.rdf!$E$2:$E$61,FALSE)</f>
        <v>0</v>
      </c>
      <c r="I25">
        <f>COUNTIFS(foaf_names.rdf!$C$2:$C$61,"half true",foaf_names.rdf!$E$2:$E$61,"half true")</f>
        <v>2</v>
      </c>
    </row>
    <row r="26" spans="1:9">
      <c r="A26" t="s">
        <v>12</v>
      </c>
      <c r="B26">
        <f>SUM(B23:D25)</f>
        <v>60</v>
      </c>
      <c r="F26" t="s">
        <v>12</v>
      </c>
      <c r="G26">
        <f>SUM(G23:I25)</f>
        <v>60</v>
      </c>
    </row>
    <row r="27" spans="1:9">
      <c r="A27" t="s">
        <v>13</v>
      </c>
      <c r="B27">
        <f>(B23+C24+D25)/B26</f>
        <v>1</v>
      </c>
      <c r="F27" t="s">
        <v>13</v>
      </c>
      <c r="G27">
        <f>(G23+H24+I25)/G26</f>
        <v>1</v>
      </c>
    </row>
    <row r="28" spans="1:9">
      <c r="A28" t="s">
        <v>15</v>
      </c>
      <c r="B28">
        <f>((SUM(B23:D23)*SUM(B23:B25))+(SUM(B24:D24)*SUM(C23:C25))+(SUM(B25:D25)*SUM(D23:D25)))/(B26^2)</f>
        <v>0.60499999999999998</v>
      </c>
      <c r="F28" t="s">
        <v>15</v>
      </c>
      <c r="G28">
        <f>((SUM(G23:I23)*SUM(G23:G25))+(SUM(G24:I24)*SUM(H23:H25))+(SUM(G25:I25)*SUM(I23:I25)))/(G26^2)</f>
        <v>0.76222222222222225</v>
      </c>
    </row>
    <row r="29" spans="1:9">
      <c r="A29" t="s">
        <v>16</v>
      </c>
      <c r="B29">
        <f>(B27-B28)/(1-B28)</f>
        <v>1</v>
      </c>
      <c r="F29" t="s">
        <v>16</v>
      </c>
      <c r="G29">
        <f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>COUNTIFS(foaf.json!$C$2:$C$61,TRUE,foaf.json!$E$2:$E$61,TRUE)</f>
        <v>50</v>
      </c>
      <c r="C33">
        <f>COUNTIFS(foaf.json!$C$2:$C$61,TRUE,foaf.json!$E$2:$E$61,FALSE)</f>
        <v>0</v>
      </c>
      <c r="D33">
        <f>COUNTIFS(foaf.json!$C$2:$C$61,TRUE,foaf.json!$E$2:$E$61,"half true")</f>
        <v>0</v>
      </c>
      <c r="F33" t="b">
        <v>1</v>
      </c>
      <c r="G33">
        <f>COUNTIFS(foaf_names.json!$C$2:$C$61,TRUE,foaf_names.json!$E$2:$E$61,TRUE)</f>
        <v>53</v>
      </c>
      <c r="H33">
        <f>COUNTIFS(foaf_names.json!$C$2:$C$61,TRUE,foaf_names.json!$E$2:$E$61,FALSE)</f>
        <v>0</v>
      </c>
      <c r="I33">
        <f>COUNTIFS(foaf_names.json!$C$2:$C$61,TRUE,foaf_names.json!$E$2:$E$61,"half true")</f>
        <v>1</v>
      </c>
    </row>
    <row r="34" spans="1:9">
      <c r="A34" t="b">
        <v>0</v>
      </c>
      <c r="B34">
        <f>COUNTIFS(foaf.json!$C$2:$C$61,FALSE,foaf.json!$E$2:$E$61,TRUE)</f>
        <v>0</v>
      </c>
      <c r="C34">
        <f>COUNTIFS(foaf.json!$C$2:$C$61,FALSE,foaf.json!$E$2:$E$61,FALSE)</f>
        <v>3</v>
      </c>
      <c r="D34">
        <f>COUNTIFS(foaf.json!$C$2:$C$61,FALSE,foaf.json!$E$2:$E$61,"half true")</f>
        <v>0</v>
      </c>
      <c r="F34" t="b">
        <v>0</v>
      </c>
      <c r="G34">
        <f>COUNTIFS(foaf_names.json!$C$2:$C$61,FALSE,foaf_names.json!$E$2:$E$61,TRUE)</f>
        <v>0</v>
      </c>
      <c r="H34">
        <f>COUNTIFS(foaf_names.json!$C$2:$C$61,FALSE,foaf_names.json!$E$2:$E$61,FALSE)</f>
        <v>2</v>
      </c>
      <c r="I34">
        <f>COUNTIFS(foaf_names.json!$C$2:$C$61,FALSE,foaf_names.json!$E$2:$E$61,"half true")</f>
        <v>0</v>
      </c>
    </row>
    <row r="35" spans="1:9">
      <c r="A35" t="s">
        <v>8</v>
      </c>
      <c r="B35">
        <f>COUNTIFS(foaf.json!$C$2:$C$61,"half true",foaf.json!$E$2:$E$61,TRUE)</f>
        <v>0</v>
      </c>
      <c r="C35">
        <f>COUNTIFS(foaf.json!$C$2:$C$61,"half true",foaf.json!$E$2:$E$61,FALSE)</f>
        <v>0</v>
      </c>
      <c r="D35">
        <f>COUNTIFS(foaf.json!$C$2:$C$61,"half true",foaf.json!$E$2:$E$61,"half true")</f>
        <v>7</v>
      </c>
      <c r="F35" t="s">
        <v>8</v>
      </c>
      <c r="G35">
        <f>COUNTIFS(foaf_names.json!$C$2:$C$61,"half true",foaf_names.json!$E$2:$E$61,TRUE)</f>
        <v>0</v>
      </c>
      <c r="H35">
        <f>COUNTIFS(foaf_names.json!$C$2:$C$61,"half true",foaf_names.json!$E$2:$E$61,FALSE)</f>
        <v>1</v>
      </c>
      <c r="I35">
        <f>COUNTIFS(foaf_names.json!$C$2:$C$61,"half true",foaf_names.json!$E$2:$E$61,"half true")</f>
        <v>3</v>
      </c>
    </row>
    <row r="36" spans="1:9">
      <c r="A36" t="s">
        <v>12</v>
      </c>
      <c r="B36">
        <f>SUM(B33:D35)</f>
        <v>60</v>
      </c>
      <c r="F36" t="s">
        <v>12</v>
      </c>
      <c r="G36">
        <f>SUM(G33:I35)</f>
        <v>60</v>
      </c>
    </row>
    <row r="37" spans="1:9">
      <c r="A37" t="s">
        <v>13</v>
      </c>
      <c r="B37">
        <f>(B33+C34+D35)/B36</f>
        <v>1</v>
      </c>
      <c r="F37" t="s">
        <v>13</v>
      </c>
      <c r="G37">
        <f>(G33+H34+I35)/G36</f>
        <v>0.96666666666666667</v>
      </c>
    </row>
    <row r="38" spans="1:9">
      <c r="A38" t="s">
        <v>15</v>
      </c>
      <c r="B38">
        <f>((SUM(B33:D33)*SUM(B33:B35))+(SUM(B34:D34)*SUM(C33:C35))+(SUM(B35:D35)*SUM(D33:D35)))/(B36^2)</f>
        <v>0.71055555555555561</v>
      </c>
      <c r="F38" t="s">
        <v>15</v>
      </c>
      <c r="G38">
        <f>((SUM(G33:I33)*SUM(G33:G35))+(SUM(G34:I34)*SUM(H33:H35))+(SUM(G35:I35)*SUM(I33:I35)))/(G36^2)</f>
        <v>0.80111111111111111</v>
      </c>
    </row>
    <row r="39" spans="1:9">
      <c r="A39" t="s">
        <v>16</v>
      </c>
      <c r="B39">
        <f>(B37-B38)/(1-B38)</f>
        <v>1</v>
      </c>
      <c r="F39" t="s">
        <v>16</v>
      </c>
      <c r="G39">
        <f>(G37-G38)/(1-G38)</f>
        <v>0.83240223463687157</v>
      </c>
    </row>
    <row r="41" spans="1:9">
      <c r="A41" t="s">
        <v>20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>B3+G3+B13+G13+B23+G23+B33+G33</f>
        <v>385</v>
      </c>
      <c r="C43">
        <f>C3+H3+C13+H13+C23+H23+C33+H33</f>
        <v>0</v>
      </c>
      <c r="D43">
        <f>D3+I3+D13+I13+D23+I23+D33+I33</f>
        <v>1</v>
      </c>
    </row>
    <row r="44" spans="1:9">
      <c r="A44" t="b">
        <v>0</v>
      </c>
      <c r="B44">
        <f>B4+G4+B14+G14+B24+G24+B34+G34</f>
        <v>0</v>
      </c>
      <c r="C44">
        <f>C4+H4+C14+H14+C24+H24+C34+H34</f>
        <v>64</v>
      </c>
      <c r="D44">
        <f>D4+I4+D14+I14+D24+I24+D34+I34</f>
        <v>0</v>
      </c>
    </row>
    <row r="45" spans="1:9">
      <c r="A45" t="s">
        <v>8</v>
      </c>
      <c r="B45">
        <f>B5+G5+B15+G15+B25+G25+B35+G35</f>
        <v>0</v>
      </c>
      <c r="C45">
        <f>C5+H5+C15+H15+C25+H25+C35+H35</f>
        <v>1</v>
      </c>
      <c r="D45">
        <f>D5+I5+D15+I15+D25+I25+D35+I35</f>
        <v>29</v>
      </c>
    </row>
    <row r="46" spans="1:9">
      <c r="A46" t="s">
        <v>12</v>
      </c>
      <c r="B46">
        <f>SUM(B43:D45)</f>
        <v>480</v>
      </c>
    </row>
    <row r="47" spans="1:9">
      <c r="A47" t="s">
        <v>13</v>
      </c>
      <c r="B47">
        <f>(B43+C44+D45)/B46</f>
        <v>0.99583333333333335</v>
      </c>
    </row>
    <row r="48" spans="1:9">
      <c r="A48" t="s">
        <v>15</v>
      </c>
      <c r="B48">
        <f>((SUM(B43:D43)*SUM(B43:B45))+(SUM(B44:D44)*SUM(C43:C45))+(SUM(B45:D45)*SUM(D43:D45)))/(B46^2)</f>
        <v>0.66697048611111109</v>
      </c>
    </row>
    <row r="49" spans="1:2">
      <c r="A49" t="s">
        <v>16</v>
      </c>
      <c r="B49">
        <f>(B47-B48)/(1-B48)</f>
        <v>0.98748859637690611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zoomScaleNormal="100" workbookViewId="0">
      <selection activeCell="E1" sqref="E1"/>
    </sheetView>
  </sheetViews>
  <sheetFormatPr defaultColWidth="8.5703125" defaultRowHeight="15"/>
  <cols>
    <col min="1" max="1" width="44.7109375" customWidth="1"/>
    <col min="2" max="2" width="32.42578125" customWidth="1"/>
    <col min="5" max="5" width="19.42578125" customWidth="1"/>
  </cols>
  <sheetData>
    <row r="1" spans="1:5">
      <c r="A1" s="2" t="s">
        <v>21</v>
      </c>
      <c r="B1" s="2" t="s">
        <v>22</v>
      </c>
      <c r="C1" t="s">
        <v>23</v>
      </c>
      <c r="D1" t="s">
        <v>24</v>
      </c>
      <c r="E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f>TRUE()</f>
        <v>1</v>
      </c>
    </row>
    <row r="3" spans="1:5">
      <c r="A3" t="s">
        <v>28</v>
      </c>
      <c r="B3" t="s">
        <v>29</v>
      </c>
      <c r="C3" t="b">
        <f>TRUE()</f>
        <v>1</v>
      </c>
      <c r="E3" t="b">
        <f>TRUE()</f>
        <v>1</v>
      </c>
    </row>
    <row r="4" spans="1:5">
      <c r="A4" t="s">
        <v>30</v>
      </c>
      <c r="B4" t="s">
        <v>31</v>
      </c>
      <c r="C4" t="b">
        <f>TRUE()</f>
        <v>1</v>
      </c>
      <c r="E4" t="b">
        <f>TRUE()</f>
        <v>1</v>
      </c>
    </row>
    <row r="5" spans="1:5">
      <c r="A5" t="s">
        <v>32</v>
      </c>
      <c r="B5" t="s">
        <v>33</v>
      </c>
      <c r="C5" t="b">
        <f>TRUE()</f>
        <v>1</v>
      </c>
      <c r="E5" t="b">
        <f>TRUE()</f>
        <v>1</v>
      </c>
    </row>
    <row r="6" spans="1:5" ht="31.35">
      <c r="A6" t="s">
        <v>34</v>
      </c>
      <c r="B6" s="4" t="s">
        <v>35</v>
      </c>
      <c r="C6" t="s">
        <v>8</v>
      </c>
      <c r="E6" t="s">
        <v>8</v>
      </c>
    </row>
    <row r="7" spans="1:5">
      <c r="A7" t="s">
        <v>36</v>
      </c>
      <c r="B7" t="s">
        <v>37</v>
      </c>
      <c r="C7" t="b">
        <f>TRUE()</f>
        <v>1</v>
      </c>
      <c r="E7" t="b">
        <f>TRUE()</f>
        <v>1</v>
      </c>
    </row>
    <row r="8" spans="1:5">
      <c r="A8" t="s">
        <v>38</v>
      </c>
      <c r="B8" t="s">
        <v>39</v>
      </c>
      <c r="C8" t="b">
        <f>TRUE()</f>
        <v>1</v>
      </c>
      <c r="E8" t="b">
        <f>TRUE()</f>
        <v>1</v>
      </c>
    </row>
    <row r="9" spans="1:5">
      <c r="A9" t="s">
        <v>40</v>
      </c>
      <c r="B9" t="s">
        <v>41</v>
      </c>
      <c r="C9" t="b">
        <f>TRUE()</f>
        <v>1</v>
      </c>
      <c r="E9" t="b">
        <f>TRUE()</f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f>TRUE()</f>
        <v>1</v>
      </c>
    </row>
    <row r="11" spans="1:5">
      <c r="A11" t="s">
        <v>44</v>
      </c>
      <c r="B11" t="s">
        <v>33</v>
      </c>
      <c r="C11" t="b">
        <f>TRUE()</f>
        <v>1</v>
      </c>
      <c r="E11" t="b">
        <f>TRUE()</f>
        <v>1</v>
      </c>
    </row>
    <row r="12" spans="1:5" ht="46.35">
      <c r="A12" t="s">
        <v>45</v>
      </c>
      <c r="B12" s="4" t="s">
        <v>46</v>
      </c>
      <c r="C12" t="s">
        <v>8</v>
      </c>
      <c r="E12" t="s">
        <v>8</v>
      </c>
    </row>
    <row r="13" spans="1:5">
      <c r="A13" t="s">
        <v>47</v>
      </c>
      <c r="B13" t="s">
        <v>48</v>
      </c>
      <c r="C13" t="b">
        <f>TRUE()</f>
        <v>1</v>
      </c>
      <c r="E13" t="b">
        <f>TRUE()</f>
        <v>1</v>
      </c>
    </row>
    <row r="14" spans="1:5">
      <c r="A14" t="s">
        <v>49</v>
      </c>
      <c r="B14" t="s">
        <v>50</v>
      </c>
      <c r="C14" t="b">
        <f>TRUE()</f>
        <v>1</v>
      </c>
      <c r="E14" t="b">
        <f>TRUE()</f>
        <v>1</v>
      </c>
    </row>
    <row r="15" spans="1:5">
      <c r="A15" t="s">
        <v>51</v>
      </c>
      <c r="B15" t="s">
        <v>52</v>
      </c>
      <c r="C15" t="b">
        <f>TRUE()</f>
        <v>1</v>
      </c>
      <c r="E15" t="b">
        <f>TRUE()</f>
        <v>1</v>
      </c>
    </row>
    <row r="16" spans="1:5">
      <c r="A16" t="s">
        <v>53</v>
      </c>
      <c r="B16" t="s">
        <v>54</v>
      </c>
      <c r="C16" t="b">
        <f>TRUE()</f>
        <v>1</v>
      </c>
      <c r="E16" t="b">
        <f>TRUE()</f>
        <v>1</v>
      </c>
    </row>
    <row r="17" spans="1:5">
      <c r="A17" t="s">
        <v>55</v>
      </c>
      <c r="B17" t="s">
        <v>33</v>
      </c>
      <c r="C17" t="b">
        <f>TRUE()</f>
        <v>1</v>
      </c>
      <c r="E17" t="b">
        <f>TRUE()</f>
        <v>1</v>
      </c>
    </row>
    <row r="18" spans="1:5" ht="31.35">
      <c r="A18" t="s">
        <v>56</v>
      </c>
      <c r="B18" s="4" t="s">
        <v>57</v>
      </c>
      <c r="C18" t="b">
        <f>FALSE()</f>
        <v>0</v>
      </c>
      <c r="E18" t="b">
        <f>FALSE()</f>
        <v>0</v>
      </c>
    </row>
    <row r="19" spans="1:5">
      <c r="A19" t="s">
        <v>58</v>
      </c>
      <c r="B19" t="s">
        <v>59</v>
      </c>
      <c r="C19" t="b">
        <f>TRUE()</f>
        <v>1</v>
      </c>
      <c r="E19" t="b">
        <f>TRUE()</f>
        <v>1</v>
      </c>
    </row>
    <row r="20" spans="1:5">
      <c r="A20" t="s">
        <v>60</v>
      </c>
      <c r="B20" t="s">
        <v>61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33</v>
      </c>
      <c r="C23" t="b">
        <f>TRUE()</f>
        <v>1</v>
      </c>
      <c r="E23" t="b">
        <f>TRUE()</f>
        <v>1</v>
      </c>
    </row>
    <row r="24" spans="1:5" ht="31.35">
      <c r="A24" t="s">
        <v>67</v>
      </c>
      <c r="B24" s="4" t="s">
        <v>68</v>
      </c>
      <c r="C24" t="b">
        <f>FALSE()</f>
        <v>0</v>
      </c>
      <c r="E24" t="b">
        <f>FALSE()</f>
        <v>0</v>
      </c>
    </row>
    <row r="25" spans="1:5">
      <c r="A25" t="s">
        <v>69</v>
      </c>
      <c r="B25" t="s">
        <v>70</v>
      </c>
      <c r="C25" t="b">
        <f>TRUE()</f>
        <v>1</v>
      </c>
      <c r="E25" t="b">
        <f>TRUE()</f>
        <v>1</v>
      </c>
    </row>
    <row r="26" spans="1:5">
      <c r="A26" t="s">
        <v>71</v>
      </c>
      <c r="B26" t="s">
        <v>72</v>
      </c>
      <c r="C26" t="b">
        <f>TRUE()</f>
        <v>1</v>
      </c>
      <c r="E26" t="b">
        <f>TRUE()</f>
        <v>1</v>
      </c>
    </row>
    <row r="27" spans="1:5">
      <c r="A27" t="s">
        <v>73</v>
      </c>
      <c r="B27" t="s">
        <v>74</v>
      </c>
      <c r="C27" t="b">
        <f>TRUE()</f>
        <v>1</v>
      </c>
      <c r="E27" t="b">
        <f>TRUE()</f>
        <v>1</v>
      </c>
    </row>
    <row r="28" spans="1:5">
      <c r="A28" t="s">
        <v>75</v>
      </c>
      <c r="B28" t="s">
        <v>76</v>
      </c>
      <c r="C28" t="b">
        <f>TRUE()</f>
        <v>1</v>
      </c>
      <c r="E28" t="b">
        <f>TRUE()</f>
        <v>1</v>
      </c>
    </row>
    <row r="29" spans="1:5">
      <c r="A29" t="s">
        <v>77</v>
      </c>
      <c r="B29" t="s">
        <v>78</v>
      </c>
      <c r="C29" t="b">
        <f>TRUE()</f>
        <v>1</v>
      </c>
      <c r="E29" t="b">
        <f>TRUE()</f>
        <v>1</v>
      </c>
    </row>
    <row r="30" spans="1:5">
      <c r="A30" t="s">
        <v>79</v>
      </c>
      <c r="B30" t="s">
        <v>80</v>
      </c>
      <c r="C30" t="s">
        <v>8</v>
      </c>
      <c r="E30" t="s">
        <v>8</v>
      </c>
    </row>
    <row r="31" spans="1:5">
      <c r="A31" t="s">
        <v>81</v>
      </c>
      <c r="B31" t="s">
        <v>82</v>
      </c>
      <c r="C31" t="b">
        <f>TRUE()</f>
        <v>1</v>
      </c>
      <c r="E31" t="b">
        <f>TRUE()</f>
        <v>1</v>
      </c>
    </row>
    <row r="32" spans="1:5">
      <c r="A32" t="s">
        <v>83</v>
      </c>
      <c r="B32" t="s">
        <v>84</v>
      </c>
      <c r="C32" t="b">
        <f>TRUE()</f>
        <v>1</v>
      </c>
      <c r="E32" t="b">
        <f>TRUE()</f>
        <v>1</v>
      </c>
    </row>
    <row r="33" spans="1:5">
      <c r="A33" t="s">
        <v>85</v>
      </c>
      <c r="B33" t="s">
        <v>86</v>
      </c>
      <c r="C33" t="b">
        <f>TRUE()</f>
        <v>1</v>
      </c>
      <c r="E33" t="b">
        <f>TRUE()</f>
        <v>1</v>
      </c>
    </row>
    <row r="34" spans="1:5">
      <c r="A34" t="s">
        <v>87</v>
      </c>
      <c r="B34" t="s">
        <v>88</v>
      </c>
      <c r="C34" t="b">
        <f>TRUE()</f>
        <v>1</v>
      </c>
      <c r="E34" t="b">
        <f>TRUE()</f>
        <v>1</v>
      </c>
    </row>
    <row r="35" spans="1:5">
      <c r="A35" t="s">
        <v>89</v>
      </c>
      <c r="B35" t="s">
        <v>90</v>
      </c>
      <c r="C35" t="b">
        <f>TRUE()</f>
        <v>1</v>
      </c>
      <c r="E35" t="b">
        <f>TRUE()</f>
        <v>1</v>
      </c>
    </row>
    <row r="36" spans="1:5" ht="31.35">
      <c r="A36" t="s">
        <v>91</v>
      </c>
      <c r="B36" s="4" t="s">
        <v>92</v>
      </c>
      <c r="C36" t="s">
        <v>8</v>
      </c>
      <c r="E36" t="s">
        <v>8</v>
      </c>
    </row>
    <row r="37" spans="1:5">
      <c r="A37" t="s">
        <v>93</v>
      </c>
      <c r="B37" t="s">
        <v>94</v>
      </c>
      <c r="C37" t="b">
        <f>TRUE()</f>
        <v>1</v>
      </c>
      <c r="E37" t="b">
        <f>TRUE()</f>
        <v>1</v>
      </c>
    </row>
    <row r="38" spans="1:5">
      <c r="A38" t="s">
        <v>95</v>
      </c>
      <c r="B38" t="s">
        <v>96</v>
      </c>
      <c r="C38" t="b">
        <f>TRUE()</f>
        <v>1</v>
      </c>
      <c r="E38" t="b">
        <f>TRUE()</f>
        <v>1</v>
      </c>
    </row>
    <row r="39" spans="1:5">
      <c r="A39" t="s">
        <v>97</v>
      </c>
      <c r="B39" t="s">
        <v>98</v>
      </c>
      <c r="C39" t="b">
        <f>TRUE()</f>
        <v>1</v>
      </c>
      <c r="E39" t="b">
        <f>TRUE()</f>
        <v>1</v>
      </c>
    </row>
    <row r="40" spans="1:5">
      <c r="A40" t="s">
        <v>99</v>
      </c>
      <c r="B40" t="s">
        <v>100</v>
      </c>
      <c r="C40" t="b">
        <f>TRUE()</f>
        <v>1</v>
      </c>
      <c r="E40" t="b">
        <f>TRUE()</f>
        <v>1</v>
      </c>
    </row>
    <row r="41" spans="1:5">
      <c r="A41" t="s">
        <v>101</v>
      </c>
      <c r="B41" t="s">
        <v>102</v>
      </c>
      <c r="C41" t="b">
        <f>TRUE()</f>
        <v>1</v>
      </c>
      <c r="E41" t="b">
        <f>TRUE()</f>
        <v>1</v>
      </c>
    </row>
    <row r="42" spans="1:5" ht="46.35">
      <c r="A42" t="s">
        <v>103</v>
      </c>
      <c r="B42" s="4" t="s">
        <v>104</v>
      </c>
      <c r="C42" t="b">
        <f>FALSE()</f>
        <v>0</v>
      </c>
      <c r="E42" t="b">
        <f>FALSE()</f>
        <v>0</v>
      </c>
    </row>
    <row r="43" spans="1:5">
      <c r="A43" t="s">
        <v>105</v>
      </c>
      <c r="B43" t="s">
        <v>106</v>
      </c>
      <c r="C43" t="b">
        <f>TRUE()</f>
        <v>1</v>
      </c>
      <c r="E43" t="b">
        <f>TRUE()</f>
        <v>1</v>
      </c>
    </row>
    <row r="44" spans="1:5">
      <c r="A44" t="s">
        <v>107</v>
      </c>
      <c r="B44" t="s">
        <v>108</v>
      </c>
      <c r="C44" t="b">
        <f>TRUE()</f>
        <v>1</v>
      </c>
      <c r="E44" t="b">
        <f>TRUE()</f>
        <v>1</v>
      </c>
    </row>
    <row r="45" spans="1:5">
      <c r="A45" t="s">
        <v>109</v>
      </c>
      <c r="B45" t="s">
        <v>110</v>
      </c>
      <c r="C45" t="b">
        <f>TRUE()</f>
        <v>1</v>
      </c>
      <c r="E45" t="b">
        <f>TRUE()</f>
        <v>1</v>
      </c>
    </row>
    <row r="46" spans="1:5">
      <c r="A46" t="s">
        <v>111</v>
      </c>
      <c r="B46" t="s">
        <v>43</v>
      </c>
      <c r="C46" t="b">
        <f>TRUE()</f>
        <v>1</v>
      </c>
      <c r="E46" t="b">
        <f>TRUE()</f>
        <v>1</v>
      </c>
    </row>
    <row r="47" spans="1:5">
      <c r="A47" t="s">
        <v>112</v>
      </c>
      <c r="B47" t="s">
        <v>90</v>
      </c>
      <c r="C47" t="b">
        <f>TRUE()</f>
        <v>1</v>
      </c>
      <c r="E47" t="b">
        <f>TRUE()</f>
        <v>1</v>
      </c>
    </row>
    <row r="48" spans="1:5">
      <c r="A48" t="s">
        <v>113</v>
      </c>
      <c r="B48" t="s">
        <v>114</v>
      </c>
      <c r="C48" t="b">
        <f>TRUE()</f>
        <v>1</v>
      </c>
      <c r="E48" t="b">
        <f>TRUE()</f>
        <v>1</v>
      </c>
    </row>
    <row r="49" spans="1:5">
      <c r="A49" t="s">
        <v>115</v>
      </c>
      <c r="B49" t="s">
        <v>116</v>
      </c>
      <c r="C49" t="b">
        <f>TRUE()</f>
        <v>1</v>
      </c>
      <c r="E49" t="b">
        <f>TRUE()</f>
        <v>1</v>
      </c>
    </row>
    <row r="50" spans="1:5">
      <c r="A50" t="s">
        <v>117</v>
      </c>
      <c r="B50" t="s">
        <v>118</v>
      </c>
      <c r="C50" t="b">
        <f>FALSE()</f>
        <v>0</v>
      </c>
      <c r="E50" t="b">
        <f>FALSE()</f>
        <v>0</v>
      </c>
    </row>
    <row r="51" spans="1:5">
      <c r="A51" t="s">
        <v>119</v>
      </c>
      <c r="B51" t="s">
        <v>120</v>
      </c>
      <c r="C51" t="b">
        <f>TRUE()</f>
        <v>1</v>
      </c>
      <c r="E51" t="b">
        <f>TRUE()</f>
        <v>1</v>
      </c>
    </row>
    <row r="52" spans="1:5">
      <c r="A52" t="s">
        <v>121</v>
      </c>
      <c r="B52" t="s">
        <v>122</v>
      </c>
      <c r="C52" t="b">
        <f>TRUE()</f>
        <v>1</v>
      </c>
      <c r="E52" t="b">
        <f>TRUE()</f>
        <v>1</v>
      </c>
    </row>
    <row r="53" spans="1:5">
      <c r="A53" t="s">
        <v>123</v>
      </c>
      <c r="B53" t="s">
        <v>90</v>
      </c>
      <c r="C53" t="b">
        <f>TRUE()</f>
        <v>1</v>
      </c>
      <c r="E53" t="b">
        <f>TRUE()</f>
        <v>1</v>
      </c>
    </row>
    <row r="54" spans="1:5">
      <c r="A54" t="s">
        <v>124</v>
      </c>
      <c r="B54" t="s">
        <v>125</v>
      </c>
      <c r="C54" t="b">
        <f>TRUE()</f>
        <v>1</v>
      </c>
      <c r="E54" t="b">
        <f>TRUE()</f>
        <v>1</v>
      </c>
    </row>
    <row r="55" spans="1:5">
      <c r="A55" t="s">
        <v>126</v>
      </c>
      <c r="B55" t="s">
        <v>116</v>
      </c>
      <c r="C55" t="b">
        <f>TRUE()</f>
        <v>1</v>
      </c>
      <c r="E55" t="b">
        <f>TRUE()</f>
        <v>1</v>
      </c>
    </row>
    <row r="56" spans="1:5">
      <c r="A56" t="s">
        <v>127</v>
      </c>
      <c r="B56" t="s">
        <v>128</v>
      </c>
      <c r="C56" t="b">
        <f>TRUE()</f>
        <v>1</v>
      </c>
      <c r="E56" t="b">
        <f>TRUE()</f>
        <v>1</v>
      </c>
    </row>
    <row r="57" spans="1:5">
      <c r="A57" t="s">
        <v>129</v>
      </c>
      <c r="B57" t="s">
        <v>130</v>
      </c>
      <c r="C57" t="b">
        <f>TRUE()</f>
        <v>1</v>
      </c>
      <c r="E57" t="b">
        <f>TRUE()</f>
        <v>1</v>
      </c>
    </row>
    <row r="58" spans="1:5">
      <c r="A58" t="s">
        <v>131</v>
      </c>
      <c r="B58" t="s">
        <v>132</v>
      </c>
      <c r="C58" t="b">
        <f>TRUE()</f>
        <v>1</v>
      </c>
      <c r="E58" t="b">
        <f>TRUE()</f>
        <v>1</v>
      </c>
    </row>
    <row r="59" spans="1:5">
      <c r="A59" t="s">
        <v>133</v>
      </c>
      <c r="B59" t="s">
        <v>90</v>
      </c>
      <c r="C59" t="b">
        <f>TRUE()</f>
        <v>1</v>
      </c>
      <c r="E59" t="b">
        <f>TRUE()</f>
        <v>1</v>
      </c>
    </row>
    <row r="60" spans="1:5">
      <c r="A60" t="s">
        <v>134</v>
      </c>
      <c r="B60" t="s">
        <v>135</v>
      </c>
      <c r="C60" t="s">
        <v>8</v>
      </c>
      <c r="E60" t="s">
        <v>8</v>
      </c>
    </row>
    <row r="61" spans="1:5">
      <c r="A61" t="s">
        <v>136</v>
      </c>
      <c r="B61" t="s">
        <v>137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zoomScaleNormal="100" workbookViewId="0">
      <selection activeCell="D70" sqref="D70"/>
    </sheetView>
  </sheetViews>
  <sheetFormatPr defaultColWidth="8.5703125" defaultRowHeight="15"/>
  <cols>
    <col min="1" max="1" width="44.7109375" customWidth="1"/>
    <col min="2" max="2" width="44" customWidth="1"/>
    <col min="4" max="4" width="24.28515625" customWidth="1"/>
    <col min="5" max="5" width="12.7109375" customWidth="1"/>
  </cols>
  <sheetData>
    <row r="1" spans="1:5">
      <c r="A1" s="2" t="s">
        <v>21</v>
      </c>
      <c r="B1" s="2" t="s">
        <v>22</v>
      </c>
      <c r="C1" t="s">
        <v>23</v>
      </c>
      <c r="D1" t="s">
        <v>138</v>
      </c>
      <c r="E1" s="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f>TRUE()</f>
        <v>1</v>
      </c>
    </row>
    <row r="3" spans="1:5">
      <c r="A3" t="s">
        <v>28</v>
      </c>
      <c r="B3" t="s">
        <v>29</v>
      </c>
      <c r="C3" t="b">
        <f>TRUE()</f>
        <v>1</v>
      </c>
      <c r="E3" t="b">
        <f>TRUE()</f>
        <v>1</v>
      </c>
    </row>
    <row r="4" spans="1:5">
      <c r="A4" t="s">
        <v>30</v>
      </c>
      <c r="B4" t="s">
        <v>139</v>
      </c>
      <c r="C4" t="b">
        <f>TRUE()</f>
        <v>1</v>
      </c>
      <c r="E4" t="b">
        <f>TRUE()</f>
        <v>1</v>
      </c>
    </row>
    <row r="5" spans="1:5">
      <c r="A5" t="s">
        <v>32</v>
      </c>
      <c r="B5" t="s">
        <v>140</v>
      </c>
      <c r="C5" t="b">
        <f>TRUE()</f>
        <v>1</v>
      </c>
      <c r="E5" t="b">
        <f>TRUE()</f>
        <v>1</v>
      </c>
    </row>
    <row r="6" spans="1:5" ht="31.35">
      <c r="A6" t="s">
        <v>34</v>
      </c>
      <c r="B6" s="4" t="s">
        <v>141</v>
      </c>
      <c r="C6" t="s">
        <v>8</v>
      </c>
      <c r="E6" t="s">
        <v>8</v>
      </c>
    </row>
    <row r="7" spans="1:5">
      <c r="A7" t="s">
        <v>36</v>
      </c>
      <c r="B7" t="s">
        <v>142</v>
      </c>
      <c r="C7" t="b">
        <f>FALSE()</f>
        <v>0</v>
      </c>
      <c r="E7" t="b">
        <f>FALSE()</f>
        <v>0</v>
      </c>
    </row>
    <row r="8" spans="1:5">
      <c r="A8" t="s">
        <v>38</v>
      </c>
      <c r="B8" t="s">
        <v>143</v>
      </c>
      <c r="C8" t="b">
        <f>FALSE()</f>
        <v>0</v>
      </c>
      <c r="E8" t="b">
        <f>FALSE()</f>
        <v>0</v>
      </c>
    </row>
    <row r="9" spans="1:5">
      <c r="A9" t="s">
        <v>40</v>
      </c>
      <c r="B9" t="s">
        <v>41</v>
      </c>
      <c r="C9" t="b">
        <f>TRUE()</f>
        <v>1</v>
      </c>
      <c r="E9" t="b">
        <f>TRUE()</f>
        <v>1</v>
      </c>
    </row>
    <row r="10" spans="1:5">
      <c r="A10" t="s">
        <v>42</v>
      </c>
      <c r="B10" t="s">
        <v>143</v>
      </c>
      <c r="C10" t="b">
        <f>FALSE()</f>
        <v>0</v>
      </c>
      <c r="E10" t="b">
        <f>FALSE()</f>
        <v>0</v>
      </c>
    </row>
    <row r="11" spans="1:5">
      <c r="A11" t="s">
        <v>44</v>
      </c>
      <c r="B11" t="s">
        <v>140</v>
      </c>
      <c r="C11" t="b">
        <f>TRUE()</f>
        <v>1</v>
      </c>
      <c r="E11" t="b">
        <f>TRUE()</f>
        <v>1</v>
      </c>
    </row>
    <row r="12" spans="1:5" ht="31.35">
      <c r="A12" t="s">
        <v>45</v>
      </c>
      <c r="B12" s="4" t="s">
        <v>144</v>
      </c>
      <c r="C12" t="b">
        <f>TRUE()</f>
        <v>1</v>
      </c>
      <c r="E12" t="b">
        <f>TRUE()</f>
        <v>1</v>
      </c>
    </row>
    <row r="13" spans="1:5">
      <c r="A13" t="s">
        <v>47</v>
      </c>
      <c r="B13" t="s">
        <v>145</v>
      </c>
      <c r="C13" t="b">
        <f>FALSE()</f>
        <v>0</v>
      </c>
      <c r="E13" t="b">
        <f>FALSE()</f>
        <v>0</v>
      </c>
    </row>
    <row r="14" spans="1:5">
      <c r="A14" t="s">
        <v>49</v>
      </c>
      <c r="B14" t="s">
        <v>50</v>
      </c>
      <c r="C14" t="b">
        <f>TRUE()</f>
        <v>1</v>
      </c>
      <c r="E14" t="b">
        <f>TRUE()</f>
        <v>1</v>
      </c>
    </row>
    <row r="15" spans="1:5">
      <c r="A15" t="s">
        <v>51</v>
      </c>
      <c r="B15" t="s">
        <v>146</v>
      </c>
      <c r="C15" t="b">
        <f>TRUE()</f>
        <v>1</v>
      </c>
      <c r="E15" t="b">
        <f>TRUE()</f>
        <v>1</v>
      </c>
    </row>
    <row r="16" spans="1:5">
      <c r="A16" t="s">
        <v>53</v>
      </c>
      <c r="B16" t="s">
        <v>147</v>
      </c>
      <c r="C16" t="b">
        <f>TRUE()</f>
        <v>1</v>
      </c>
      <c r="E16" t="b">
        <f>TRUE()</f>
        <v>1</v>
      </c>
    </row>
    <row r="17" spans="1:5">
      <c r="A17" t="s">
        <v>55</v>
      </c>
      <c r="B17" t="s">
        <v>140</v>
      </c>
      <c r="C17" t="b">
        <f>TRUE()</f>
        <v>1</v>
      </c>
      <c r="E17" t="b">
        <f>TRUE()</f>
        <v>1</v>
      </c>
    </row>
    <row r="18" spans="1:5" ht="31.35">
      <c r="A18" t="s">
        <v>56</v>
      </c>
      <c r="B18" s="4" t="s">
        <v>148</v>
      </c>
      <c r="C18" t="b">
        <f>FALSE()</f>
        <v>0</v>
      </c>
      <c r="E18" t="b">
        <f>FALSE()</f>
        <v>0</v>
      </c>
    </row>
    <row r="19" spans="1:5">
      <c r="A19" t="s">
        <v>58</v>
      </c>
      <c r="B19" t="s">
        <v>149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150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151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140</v>
      </c>
      <c r="C23" t="b">
        <f>TRUE()</f>
        <v>1</v>
      </c>
      <c r="E23" t="b">
        <f>TRUE()</f>
        <v>1</v>
      </c>
    </row>
    <row r="24" spans="1:5">
      <c r="A24" t="s">
        <v>67</v>
      </c>
      <c r="B24" t="s">
        <v>152</v>
      </c>
      <c r="C24" t="b">
        <f>TRUE()</f>
        <v>1</v>
      </c>
      <c r="E24" t="b">
        <f>TRUE()</f>
        <v>1</v>
      </c>
    </row>
    <row r="25" spans="1:5">
      <c r="A25" t="s">
        <v>69</v>
      </c>
      <c r="B25" t="s">
        <v>145</v>
      </c>
      <c r="C25" t="b">
        <f>FALSE()</f>
        <v>0</v>
      </c>
      <c r="E25" t="b">
        <f>FALSE()</f>
        <v>0</v>
      </c>
    </row>
    <row r="26" spans="1:5">
      <c r="A26" t="s">
        <v>71</v>
      </c>
      <c r="B26" t="s">
        <v>143</v>
      </c>
      <c r="C26" t="b">
        <f>FALSE()</f>
        <v>0</v>
      </c>
      <c r="E26" t="b">
        <f>FALSE()</f>
        <v>0</v>
      </c>
    </row>
    <row r="27" spans="1:5">
      <c r="A27" t="s">
        <v>73</v>
      </c>
      <c r="B27" t="s">
        <v>143</v>
      </c>
      <c r="C27" t="b">
        <f>FALSE()</f>
        <v>0</v>
      </c>
      <c r="E27" t="b">
        <f>FALSE()</f>
        <v>0</v>
      </c>
    </row>
    <row r="28" spans="1:5">
      <c r="A28" t="s">
        <v>75</v>
      </c>
      <c r="B28" t="s">
        <v>153</v>
      </c>
      <c r="C28" t="b">
        <f>TRUE()</f>
        <v>1</v>
      </c>
      <c r="E28" t="b">
        <f>TRUE()</f>
        <v>1</v>
      </c>
    </row>
    <row r="29" spans="1:5">
      <c r="A29" t="s">
        <v>77</v>
      </c>
      <c r="B29" t="s">
        <v>140</v>
      </c>
      <c r="C29" t="b">
        <f>TRUE()</f>
        <v>1</v>
      </c>
      <c r="E29" t="b">
        <f>TRUE()</f>
        <v>1</v>
      </c>
    </row>
    <row r="30" spans="1:5">
      <c r="A30" t="s">
        <v>79</v>
      </c>
      <c r="B30" t="s">
        <v>80</v>
      </c>
      <c r="C30" t="s">
        <v>8</v>
      </c>
      <c r="E30" t="s">
        <v>8</v>
      </c>
    </row>
    <row r="31" spans="1:5">
      <c r="A31" t="s">
        <v>81</v>
      </c>
      <c r="B31" t="s">
        <v>154</v>
      </c>
      <c r="C31" t="b">
        <f>FALSE()</f>
        <v>0</v>
      </c>
      <c r="E31" t="b">
        <f>FALSE()</f>
        <v>0</v>
      </c>
    </row>
    <row r="32" spans="1:5">
      <c r="A32" t="s">
        <v>83</v>
      </c>
      <c r="B32" t="s">
        <v>155</v>
      </c>
      <c r="C32" t="b">
        <f>TRUE()</f>
        <v>1</v>
      </c>
      <c r="E32" t="b">
        <f>TRUE()</f>
        <v>1</v>
      </c>
    </row>
    <row r="33" spans="1:5">
      <c r="A33" t="s">
        <v>85</v>
      </c>
      <c r="B33" t="s">
        <v>156</v>
      </c>
      <c r="C33" t="b">
        <f>TRUE()</f>
        <v>1</v>
      </c>
      <c r="E33" t="b">
        <f>TRUE()</f>
        <v>1</v>
      </c>
    </row>
    <row r="34" spans="1:5">
      <c r="A34" t="s">
        <v>87</v>
      </c>
      <c r="B34" t="s">
        <v>157</v>
      </c>
      <c r="C34" t="b">
        <f>TRUE()</f>
        <v>1</v>
      </c>
      <c r="E34" t="b">
        <f>TRUE()</f>
        <v>1</v>
      </c>
    </row>
    <row r="35" spans="1:5">
      <c r="A35" t="s">
        <v>89</v>
      </c>
      <c r="B35" t="s">
        <v>158</v>
      </c>
      <c r="C35" t="b">
        <f>TRUE()</f>
        <v>1</v>
      </c>
      <c r="E35" t="b">
        <f>TRUE()</f>
        <v>1</v>
      </c>
    </row>
    <row r="36" spans="1:5">
      <c r="A36" t="s">
        <v>91</v>
      </c>
      <c r="B36" t="s">
        <v>159</v>
      </c>
      <c r="C36" t="b">
        <f>TRUE()</f>
        <v>1</v>
      </c>
      <c r="E36" t="b">
        <f>TRUE()</f>
        <v>1</v>
      </c>
    </row>
    <row r="37" spans="1:5">
      <c r="A37" t="s">
        <v>93</v>
      </c>
      <c r="B37" t="s">
        <v>160</v>
      </c>
      <c r="C37" t="b">
        <f>FALSE()</f>
        <v>0</v>
      </c>
      <c r="E37" t="b">
        <f>FALSE()</f>
        <v>0</v>
      </c>
    </row>
    <row r="38" spans="1:5">
      <c r="A38" t="s">
        <v>95</v>
      </c>
      <c r="B38" t="s">
        <v>143</v>
      </c>
      <c r="C38" t="b">
        <f>FALSE()</f>
        <v>0</v>
      </c>
      <c r="E38" t="b">
        <f>FALSE()</f>
        <v>0</v>
      </c>
    </row>
    <row r="39" spans="1:5">
      <c r="A39" t="s">
        <v>97</v>
      </c>
      <c r="B39" t="s">
        <v>98</v>
      </c>
      <c r="C39" t="b">
        <f>TRUE()</f>
        <v>1</v>
      </c>
      <c r="E39" t="b">
        <f>TRUE()</f>
        <v>1</v>
      </c>
    </row>
    <row r="40" spans="1:5">
      <c r="A40" t="s">
        <v>99</v>
      </c>
      <c r="B40" t="s">
        <v>161</v>
      </c>
      <c r="C40" t="b">
        <f>TRUE()</f>
        <v>1</v>
      </c>
      <c r="E40" t="b">
        <f>TRUE()</f>
        <v>1</v>
      </c>
    </row>
    <row r="41" spans="1:5">
      <c r="A41" t="s">
        <v>101</v>
      </c>
      <c r="B41" t="s">
        <v>158</v>
      </c>
      <c r="C41" t="b">
        <f>TRUE()</f>
        <v>1</v>
      </c>
      <c r="E41" t="b">
        <f>TRUE()</f>
        <v>1</v>
      </c>
    </row>
    <row r="42" spans="1:5">
      <c r="A42" t="s">
        <v>103</v>
      </c>
      <c r="B42" t="s">
        <v>152</v>
      </c>
      <c r="C42" t="b">
        <f>TRUE()</f>
        <v>1</v>
      </c>
      <c r="E42" t="b">
        <f>TRUE()</f>
        <v>1</v>
      </c>
    </row>
    <row r="43" spans="1:5">
      <c r="A43" t="s">
        <v>105</v>
      </c>
      <c r="B43" t="s">
        <v>162</v>
      </c>
      <c r="C43" t="b">
        <f>FALSE()</f>
        <v>0</v>
      </c>
      <c r="E43" t="b">
        <f>FALSE()</f>
        <v>0</v>
      </c>
    </row>
    <row r="44" spans="1:5">
      <c r="A44" t="s">
        <v>107</v>
      </c>
      <c r="B44" t="s">
        <v>108</v>
      </c>
      <c r="C44" t="b">
        <f>TRUE()</f>
        <v>1</v>
      </c>
      <c r="E44" t="b">
        <f>TRUE()</f>
        <v>1</v>
      </c>
    </row>
    <row r="45" spans="1:5">
      <c r="A45" t="s">
        <v>109</v>
      </c>
      <c r="B45" t="s">
        <v>163</v>
      </c>
      <c r="C45" t="b">
        <f>FALSE()</f>
        <v>0</v>
      </c>
      <c r="D45" t="s">
        <v>164</v>
      </c>
      <c r="E45" t="b">
        <f>FALSE()</f>
        <v>0</v>
      </c>
    </row>
    <row r="46" spans="1:5">
      <c r="A46" t="s">
        <v>111</v>
      </c>
      <c r="B46" t="s">
        <v>43</v>
      </c>
      <c r="C46" t="b">
        <f>TRUE()</f>
        <v>1</v>
      </c>
      <c r="E46" t="b">
        <f>TRUE()</f>
        <v>1</v>
      </c>
    </row>
    <row r="47" spans="1:5">
      <c r="A47" t="s">
        <v>112</v>
      </c>
      <c r="B47" t="s">
        <v>158</v>
      </c>
      <c r="C47" t="b">
        <f>TRUE()</f>
        <v>1</v>
      </c>
      <c r="E47" t="b">
        <f>TRUE()</f>
        <v>1</v>
      </c>
    </row>
    <row r="48" spans="1:5">
      <c r="A48" t="s">
        <v>113</v>
      </c>
      <c r="B48" t="s">
        <v>165</v>
      </c>
      <c r="C48" t="s">
        <v>8</v>
      </c>
      <c r="D48" t="s">
        <v>166</v>
      </c>
      <c r="E48" t="s">
        <v>8</v>
      </c>
    </row>
    <row r="49" spans="1:5">
      <c r="A49" t="s">
        <v>115</v>
      </c>
      <c r="B49" t="s">
        <v>116</v>
      </c>
      <c r="C49" t="b">
        <f>TRUE()</f>
        <v>1</v>
      </c>
      <c r="E49" t="b">
        <f>TRUE()</f>
        <v>1</v>
      </c>
    </row>
    <row r="50" spans="1:5">
      <c r="A50" t="s">
        <v>117</v>
      </c>
      <c r="B50" t="s">
        <v>143</v>
      </c>
      <c r="C50" t="b">
        <f>FALSE()</f>
        <v>0</v>
      </c>
      <c r="E50" t="b">
        <f>FALSE()</f>
        <v>0</v>
      </c>
    </row>
    <row r="51" spans="1:5">
      <c r="A51" t="s">
        <v>119</v>
      </c>
      <c r="B51" t="s">
        <v>143</v>
      </c>
      <c r="C51" t="b">
        <f>FALSE()</f>
        <v>0</v>
      </c>
      <c r="E51" t="b">
        <f>FALSE()</f>
        <v>0</v>
      </c>
    </row>
    <row r="52" spans="1:5">
      <c r="A52" t="s">
        <v>121</v>
      </c>
      <c r="B52" t="s">
        <v>167</v>
      </c>
      <c r="C52" t="b">
        <f>TRUE()</f>
        <v>1</v>
      </c>
      <c r="E52" t="b">
        <f>TRUE()</f>
        <v>1</v>
      </c>
    </row>
    <row r="53" spans="1:5">
      <c r="A53" t="s">
        <v>123</v>
      </c>
      <c r="B53" t="s">
        <v>158</v>
      </c>
      <c r="C53" t="b">
        <f>TRUE()</f>
        <v>1</v>
      </c>
      <c r="E53" t="b">
        <f>TRUE()</f>
        <v>1</v>
      </c>
    </row>
    <row r="54" spans="1:5" ht="31.35">
      <c r="A54" t="s">
        <v>124</v>
      </c>
      <c r="B54" s="4" t="s">
        <v>168</v>
      </c>
      <c r="C54" t="b">
        <f>FALSE()</f>
        <v>0</v>
      </c>
      <c r="E54" t="b">
        <f>FALSE()</f>
        <v>0</v>
      </c>
    </row>
    <row r="55" spans="1:5">
      <c r="A55" t="s">
        <v>126</v>
      </c>
      <c r="B55" t="s">
        <v>169</v>
      </c>
      <c r="C55" t="b">
        <f>FALSE()</f>
        <v>0</v>
      </c>
      <c r="E55" t="b">
        <f>FALSE()</f>
        <v>0</v>
      </c>
    </row>
    <row r="56" spans="1:5">
      <c r="A56" t="s">
        <v>127</v>
      </c>
      <c r="B56" t="s">
        <v>170</v>
      </c>
      <c r="C56" t="b">
        <f>FALSE()</f>
        <v>0</v>
      </c>
      <c r="D56" t="s">
        <v>164</v>
      </c>
      <c r="E56" t="b">
        <f>FALSE()</f>
        <v>0</v>
      </c>
    </row>
    <row r="57" spans="1:5">
      <c r="A57" t="s">
        <v>129</v>
      </c>
      <c r="B57" t="s">
        <v>130</v>
      </c>
      <c r="C57" t="b">
        <f>TRUE()</f>
        <v>1</v>
      </c>
      <c r="D57" t="s">
        <v>171</v>
      </c>
      <c r="E57" t="b">
        <f>TRUE()</f>
        <v>1</v>
      </c>
    </row>
    <row r="58" spans="1:5">
      <c r="A58" t="s">
        <v>131</v>
      </c>
      <c r="B58" t="s">
        <v>132</v>
      </c>
      <c r="C58" t="b">
        <f>TRUE()</f>
        <v>1</v>
      </c>
      <c r="E58" t="b">
        <f>TRUE()</f>
        <v>1</v>
      </c>
    </row>
    <row r="59" spans="1:5">
      <c r="A59" t="s">
        <v>133</v>
      </c>
      <c r="B59" t="s">
        <v>158</v>
      </c>
      <c r="C59" t="b">
        <f>TRUE()</f>
        <v>1</v>
      </c>
      <c r="E59" t="b">
        <f>TRUE()</f>
        <v>1</v>
      </c>
    </row>
    <row r="60" spans="1:5" ht="31.35">
      <c r="A60" t="s">
        <v>134</v>
      </c>
      <c r="B60" s="4" t="s">
        <v>172</v>
      </c>
      <c r="C60" t="b">
        <f>TRUE()</f>
        <v>1</v>
      </c>
      <c r="E60" t="b">
        <f>TRUE()</f>
        <v>1</v>
      </c>
    </row>
    <row r="61" spans="1:5">
      <c r="A61" t="s">
        <v>136</v>
      </c>
      <c r="B61" t="s">
        <v>149</v>
      </c>
      <c r="C61" t="b">
        <f>FALSE()</f>
        <v>0</v>
      </c>
      <c r="E6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topLeftCell="B1" zoomScaleNormal="100" workbookViewId="0">
      <selection activeCell="E30" sqref="E30"/>
    </sheetView>
  </sheetViews>
  <sheetFormatPr defaultColWidth="8.5703125" defaultRowHeight="15"/>
  <cols>
    <col min="1" max="1" width="44.28515625" customWidth="1"/>
    <col min="2" max="2" width="29.140625" customWidth="1"/>
    <col min="3" max="3" width="16.7109375" customWidth="1"/>
    <col min="4" max="4" width="23.140625" customWidth="1"/>
    <col min="5" max="5" width="21.7109375" customWidth="1"/>
  </cols>
  <sheetData>
    <row r="1" spans="1:5">
      <c r="A1" s="2" t="s">
        <v>21</v>
      </c>
      <c r="B1" s="2" t="s">
        <v>22</v>
      </c>
      <c r="C1" t="s">
        <v>23</v>
      </c>
      <c r="D1" t="s">
        <v>138</v>
      </c>
      <c r="E1" s="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f>TRUE()</f>
        <v>1</v>
      </c>
    </row>
    <row r="3" spans="1:5">
      <c r="A3" t="s">
        <v>28</v>
      </c>
      <c r="B3" t="s">
        <v>29</v>
      </c>
      <c r="C3" t="b">
        <f>TRUE()</f>
        <v>1</v>
      </c>
      <c r="E3" t="b">
        <f>TRUE()</f>
        <v>1</v>
      </c>
    </row>
    <row r="4" spans="1:5">
      <c r="A4" t="s">
        <v>30</v>
      </c>
      <c r="B4" t="s">
        <v>31</v>
      </c>
      <c r="C4" t="b">
        <f>TRUE()</f>
        <v>1</v>
      </c>
      <c r="E4" t="b">
        <f>TRUE()</f>
        <v>1</v>
      </c>
    </row>
    <row r="5" spans="1:5">
      <c r="A5" t="s">
        <v>32</v>
      </c>
      <c r="B5" t="s">
        <v>78</v>
      </c>
      <c r="C5" t="b">
        <f>TRUE()</f>
        <v>1</v>
      </c>
      <c r="E5" t="b">
        <f>TRUE()</f>
        <v>1</v>
      </c>
    </row>
    <row r="6" spans="1:5">
      <c r="A6" t="s">
        <v>34</v>
      </c>
      <c r="B6" t="s">
        <v>80</v>
      </c>
      <c r="C6" t="s">
        <v>8</v>
      </c>
      <c r="E6" t="s">
        <v>8</v>
      </c>
    </row>
    <row r="7" spans="1:5">
      <c r="A7" t="s">
        <v>36</v>
      </c>
      <c r="B7" t="s">
        <v>145</v>
      </c>
      <c r="C7" t="b">
        <f>FALSE()</f>
        <v>0</v>
      </c>
      <c r="E7" t="b">
        <f>FALSE()</f>
        <v>0</v>
      </c>
    </row>
    <row r="8" spans="1:5">
      <c r="A8" t="s">
        <v>38</v>
      </c>
      <c r="B8" t="s">
        <v>173</v>
      </c>
      <c r="C8" t="b">
        <f>TRUE()</f>
        <v>1</v>
      </c>
      <c r="E8" t="b">
        <f>TRUE()</f>
        <v>1</v>
      </c>
    </row>
    <row r="9" spans="1:5">
      <c r="A9" t="s">
        <v>40</v>
      </c>
      <c r="B9" t="s">
        <v>174</v>
      </c>
      <c r="C9" t="b">
        <f>TRUE()</f>
        <v>1</v>
      </c>
      <c r="E9" t="b">
        <f>TRUE()</f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f>TRUE()</f>
        <v>1</v>
      </c>
    </row>
    <row r="11" spans="1:5">
      <c r="A11" t="s">
        <v>44</v>
      </c>
      <c r="B11" t="s">
        <v>33</v>
      </c>
      <c r="C11" t="b">
        <f>TRUE()</f>
        <v>1</v>
      </c>
      <c r="E11" t="b">
        <f>TRUE()</f>
        <v>1</v>
      </c>
    </row>
    <row r="12" spans="1:5" ht="15" customHeight="1">
      <c r="A12" t="s">
        <v>45</v>
      </c>
      <c r="B12" s="4" t="s">
        <v>175</v>
      </c>
      <c r="C12" t="b">
        <f>FALSE()</f>
        <v>0</v>
      </c>
      <c r="E12" t="b">
        <f>FALSE()</f>
        <v>0</v>
      </c>
    </row>
    <row r="13" spans="1:5">
      <c r="A13" t="s">
        <v>47</v>
      </c>
      <c r="B13" t="s">
        <v>176</v>
      </c>
      <c r="C13" t="b">
        <f>FALSE()</f>
        <v>0</v>
      </c>
      <c r="E13" t="b">
        <f>FALSE()</f>
        <v>0</v>
      </c>
    </row>
    <row r="14" spans="1:5">
      <c r="A14" t="s">
        <v>49</v>
      </c>
      <c r="B14" t="s">
        <v>50</v>
      </c>
      <c r="C14" t="b">
        <f>TRUE()</f>
        <v>1</v>
      </c>
      <c r="E14" t="b">
        <f>TRUE()</f>
        <v>1</v>
      </c>
    </row>
    <row r="15" spans="1:5">
      <c r="A15" t="s">
        <v>51</v>
      </c>
      <c r="B15" t="s">
        <v>52</v>
      </c>
      <c r="C15" t="b">
        <f>TRUE()</f>
        <v>1</v>
      </c>
      <c r="E15" t="b">
        <f>TRUE()</f>
        <v>1</v>
      </c>
    </row>
    <row r="16" spans="1:5">
      <c r="A16" t="s">
        <v>53</v>
      </c>
      <c r="B16" t="s">
        <v>177</v>
      </c>
      <c r="C16" t="b">
        <f>TRUE()</f>
        <v>1</v>
      </c>
      <c r="E16" t="b">
        <f>TRUE()</f>
        <v>1</v>
      </c>
    </row>
    <row r="17" spans="1:5">
      <c r="A17" t="s">
        <v>55</v>
      </c>
      <c r="B17" t="s">
        <v>78</v>
      </c>
      <c r="C17" t="b">
        <f>TRUE()</f>
        <v>1</v>
      </c>
      <c r="E17" t="b">
        <f>TRUE()</f>
        <v>1</v>
      </c>
    </row>
    <row r="18" spans="1:5">
      <c r="A18" t="s">
        <v>56</v>
      </c>
      <c r="B18" t="s">
        <v>178</v>
      </c>
      <c r="C18" t="s">
        <v>8</v>
      </c>
      <c r="E18" t="s">
        <v>8</v>
      </c>
    </row>
    <row r="19" spans="1:5">
      <c r="A19" t="s">
        <v>58</v>
      </c>
      <c r="B19" t="s">
        <v>179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180</v>
      </c>
      <c r="C20" t="b">
        <f>FALSE()</f>
        <v>0</v>
      </c>
      <c r="D20" t="s">
        <v>181</v>
      </c>
      <c r="E20" t="b">
        <f>FALSE()</f>
        <v>0</v>
      </c>
    </row>
    <row r="21" spans="1:5">
      <c r="A21" t="s">
        <v>62</v>
      </c>
      <c r="B21" t="s">
        <v>151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33</v>
      </c>
      <c r="C23" t="b">
        <f>TRUE()</f>
        <v>1</v>
      </c>
      <c r="E23" t="b">
        <f>TRUE()</f>
        <v>1</v>
      </c>
    </row>
    <row r="24" spans="1:5">
      <c r="A24" t="s">
        <v>67</v>
      </c>
      <c r="B24" t="s">
        <v>182</v>
      </c>
      <c r="C24" t="b">
        <f>FALSE()</f>
        <v>0</v>
      </c>
      <c r="E24" t="b">
        <f>FALSE()</f>
        <v>0</v>
      </c>
    </row>
    <row r="25" spans="1:5">
      <c r="A25" t="s">
        <v>69</v>
      </c>
      <c r="B25" t="s">
        <v>183</v>
      </c>
      <c r="C25" t="b">
        <f>TRUE()</f>
        <v>1</v>
      </c>
      <c r="E25" t="b">
        <f>TRUE()</f>
        <v>1</v>
      </c>
    </row>
    <row r="26" spans="1:5">
      <c r="A26" t="s">
        <v>71</v>
      </c>
      <c r="B26" t="s">
        <v>72</v>
      </c>
      <c r="C26" t="b">
        <f>TRUE()</f>
        <v>1</v>
      </c>
      <c r="E26" t="b">
        <f>TRUE()</f>
        <v>1</v>
      </c>
    </row>
    <row r="27" spans="1:5">
      <c r="A27" t="s">
        <v>73</v>
      </c>
      <c r="B27" t="s">
        <v>74</v>
      </c>
      <c r="C27" t="b">
        <f>TRUE()</f>
        <v>1</v>
      </c>
      <c r="E27" t="b">
        <f>TRUE()</f>
        <v>1</v>
      </c>
    </row>
    <row r="28" spans="1:5">
      <c r="A28" t="s">
        <v>75</v>
      </c>
      <c r="B28" t="s">
        <v>76</v>
      </c>
      <c r="C28" t="b">
        <f>TRUE()</f>
        <v>1</v>
      </c>
      <c r="E28" t="b">
        <f>TRUE()</f>
        <v>1</v>
      </c>
    </row>
    <row r="29" spans="1:5">
      <c r="A29" t="s">
        <v>77</v>
      </c>
      <c r="B29" t="s">
        <v>33</v>
      </c>
      <c r="C29" t="b">
        <f>TRUE()</f>
        <v>1</v>
      </c>
      <c r="E29" t="b">
        <f>TRUE()</f>
        <v>1</v>
      </c>
    </row>
    <row r="30" spans="1:5">
      <c r="A30" t="s">
        <v>79</v>
      </c>
      <c r="B30" t="s">
        <v>184</v>
      </c>
      <c r="C30" t="s">
        <v>8</v>
      </c>
      <c r="E30" t="s">
        <v>8</v>
      </c>
    </row>
    <row r="31" spans="1:5">
      <c r="A31" t="s">
        <v>81</v>
      </c>
      <c r="B31" t="s">
        <v>145</v>
      </c>
      <c r="C31" t="b">
        <f>FALSE()</f>
        <v>0</v>
      </c>
      <c r="E31" t="b">
        <f>FALSE()</f>
        <v>0</v>
      </c>
    </row>
    <row r="32" spans="1:5">
      <c r="A32" t="s">
        <v>83</v>
      </c>
      <c r="B32" t="s">
        <v>84</v>
      </c>
      <c r="C32" t="b">
        <f>TRUE()</f>
        <v>1</v>
      </c>
      <c r="E32" t="b">
        <f>TRUE()</f>
        <v>1</v>
      </c>
    </row>
    <row r="33" spans="1:5">
      <c r="A33" t="s">
        <v>85</v>
      </c>
      <c r="B33" t="s">
        <v>86</v>
      </c>
      <c r="C33" t="b">
        <f>TRUE()</f>
        <v>1</v>
      </c>
      <c r="E33" t="b">
        <f>TRUE()</f>
        <v>1</v>
      </c>
    </row>
    <row r="34" spans="1:5">
      <c r="A34" t="s">
        <v>87</v>
      </c>
      <c r="B34" t="s">
        <v>88</v>
      </c>
      <c r="C34" t="b">
        <f>TRUE()</f>
        <v>1</v>
      </c>
      <c r="E34" t="b">
        <f>TRUE()</f>
        <v>1</v>
      </c>
    </row>
    <row r="35" spans="1:5">
      <c r="A35" t="s">
        <v>89</v>
      </c>
      <c r="B35" t="s">
        <v>90</v>
      </c>
      <c r="C35" t="b">
        <f>TRUE()</f>
        <v>1</v>
      </c>
      <c r="E35" t="b">
        <f>TRUE()</f>
        <v>1</v>
      </c>
    </row>
    <row r="36" spans="1:5">
      <c r="A36" t="s">
        <v>91</v>
      </c>
      <c r="B36" t="s">
        <v>185</v>
      </c>
      <c r="C36" t="b">
        <f>FALSE()</f>
        <v>0</v>
      </c>
      <c r="E36" t="b">
        <f>FALSE()</f>
        <v>0</v>
      </c>
    </row>
    <row r="37" spans="1:5">
      <c r="A37" t="s">
        <v>93</v>
      </c>
      <c r="B37" t="s">
        <v>137</v>
      </c>
      <c r="C37" t="b">
        <f>TRUE()</f>
        <v>1</v>
      </c>
      <c r="E37" t="b">
        <f>TRUE()</f>
        <v>1</v>
      </c>
    </row>
    <row r="38" spans="1:5">
      <c r="A38" t="s">
        <v>95</v>
      </c>
      <c r="B38" t="s">
        <v>186</v>
      </c>
      <c r="C38" t="b">
        <f>TRUE()</f>
        <v>1</v>
      </c>
      <c r="E38" t="b">
        <f>TRUE()</f>
        <v>1</v>
      </c>
    </row>
    <row r="39" spans="1:5">
      <c r="A39" t="s">
        <v>97</v>
      </c>
      <c r="B39" t="s">
        <v>187</v>
      </c>
      <c r="C39" t="b">
        <f>TRUE()</f>
        <v>1</v>
      </c>
      <c r="E39" t="b">
        <f>TRUE()</f>
        <v>1</v>
      </c>
    </row>
    <row r="40" spans="1:5">
      <c r="A40" t="s">
        <v>99</v>
      </c>
      <c r="B40" t="s">
        <v>100</v>
      </c>
      <c r="C40" t="b">
        <f>TRUE()</f>
        <v>1</v>
      </c>
      <c r="E40" t="b">
        <f>TRUE()</f>
        <v>1</v>
      </c>
    </row>
    <row r="41" spans="1:5">
      <c r="A41" t="s">
        <v>101</v>
      </c>
      <c r="B41" t="s">
        <v>102</v>
      </c>
      <c r="C41" t="b">
        <f>TRUE()</f>
        <v>1</v>
      </c>
      <c r="E41" t="b">
        <f>TRUE()</f>
        <v>1</v>
      </c>
    </row>
    <row r="42" spans="1:5">
      <c r="A42" t="s">
        <v>103</v>
      </c>
      <c r="B42" t="s">
        <v>188</v>
      </c>
      <c r="C42" t="b">
        <f>FALSE()</f>
        <v>0</v>
      </c>
      <c r="D42" t="s">
        <v>189</v>
      </c>
      <c r="E42" t="b">
        <f>FALSE()</f>
        <v>0</v>
      </c>
    </row>
    <row r="43" spans="1:5">
      <c r="A43" t="s">
        <v>105</v>
      </c>
      <c r="B43" t="s">
        <v>137</v>
      </c>
      <c r="C43" t="b">
        <f>TRUE()</f>
        <v>1</v>
      </c>
      <c r="E43" t="b">
        <f>TRUE()</f>
        <v>1</v>
      </c>
    </row>
    <row r="44" spans="1:5">
      <c r="A44" t="s">
        <v>107</v>
      </c>
      <c r="B44" t="s">
        <v>190</v>
      </c>
      <c r="C44" t="b">
        <f>TRUE()</f>
        <v>1</v>
      </c>
      <c r="E44" t="b">
        <f>TRUE()</f>
        <v>1</v>
      </c>
    </row>
    <row r="45" spans="1:5">
      <c r="A45" t="s">
        <v>109</v>
      </c>
      <c r="B45" t="s">
        <v>191</v>
      </c>
      <c r="C45" t="b">
        <f>TRUE()</f>
        <v>1</v>
      </c>
      <c r="E45" t="b">
        <f>TRUE()</f>
        <v>1</v>
      </c>
    </row>
    <row r="46" spans="1:5">
      <c r="A46" t="s">
        <v>111</v>
      </c>
      <c r="B46" t="s">
        <v>43</v>
      </c>
      <c r="C46" t="b">
        <f>TRUE()</f>
        <v>1</v>
      </c>
      <c r="E46" t="b">
        <f>TRUE()</f>
        <v>1</v>
      </c>
    </row>
    <row r="47" spans="1:5">
      <c r="A47" t="s">
        <v>112</v>
      </c>
      <c r="B47" t="s">
        <v>90</v>
      </c>
      <c r="C47" t="b">
        <f>TRUE()</f>
        <v>1</v>
      </c>
      <c r="E47" t="b">
        <f>TRUE()</f>
        <v>1</v>
      </c>
    </row>
    <row r="48" spans="1:5">
      <c r="A48" t="s">
        <v>113</v>
      </c>
      <c r="B48" t="s">
        <v>114</v>
      </c>
      <c r="C48" t="b">
        <f>TRUE()</f>
        <v>1</v>
      </c>
      <c r="E48" t="b">
        <f>TRUE()</f>
        <v>1</v>
      </c>
    </row>
    <row r="49" spans="1:5">
      <c r="A49" t="s">
        <v>115</v>
      </c>
      <c r="B49" t="s">
        <v>116</v>
      </c>
      <c r="C49" t="b">
        <f>TRUE()</f>
        <v>1</v>
      </c>
      <c r="E49" t="b">
        <f>TRUE()</f>
        <v>1</v>
      </c>
    </row>
    <row r="50" spans="1:5">
      <c r="A50" t="s">
        <v>117</v>
      </c>
      <c r="B50" t="s">
        <v>192</v>
      </c>
      <c r="C50" t="b">
        <f>TRUE()</f>
        <v>1</v>
      </c>
      <c r="E50" t="b">
        <f>TRUE()</f>
        <v>1</v>
      </c>
    </row>
    <row r="51" spans="1:5">
      <c r="A51" t="s">
        <v>119</v>
      </c>
      <c r="B51" t="s">
        <v>193</v>
      </c>
      <c r="C51" t="b">
        <f>TRUE()</f>
        <v>1</v>
      </c>
      <c r="E51" t="b">
        <f>TRUE()</f>
        <v>1</v>
      </c>
    </row>
    <row r="52" spans="1:5">
      <c r="A52" t="s">
        <v>121</v>
      </c>
      <c r="B52" t="s">
        <v>122</v>
      </c>
      <c r="C52" t="b">
        <f>TRUE()</f>
        <v>1</v>
      </c>
      <c r="E52" t="b">
        <f>TRUE()</f>
        <v>1</v>
      </c>
    </row>
    <row r="53" spans="1:5">
      <c r="A53" t="s">
        <v>123</v>
      </c>
      <c r="B53" t="s">
        <v>90</v>
      </c>
      <c r="C53" t="b">
        <f>TRUE()</f>
        <v>1</v>
      </c>
      <c r="E53" t="b">
        <f>TRUE()</f>
        <v>1</v>
      </c>
    </row>
    <row r="54" spans="1:5">
      <c r="A54" t="s">
        <v>124</v>
      </c>
      <c r="B54" t="s">
        <v>194</v>
      </c>
      <c r="C54" t="b">
        <f>FALSE()</f>
        <v>0</v>
      </c>
      <c r="E54" t="b">
        <f>FALSE()</f>
        <v>0</v>
      </c>
    </row>
    <row r="55" spans="1:5">
      <c r="A55" t="s">
        <v>126</v>
      </c>
      <c r="B55" t="s">
        <v>137</v>
      </c>
      <c r="C55" t="b">
        <f>FALSE()</f>
        <v>0</v>
      </c>
      <c r="E55" t="b">
        <f>FALSE()</f>
        <v>0</v>
      </c>
    </row>
    <row r="56" spans="1:5">
      <c r="A56" t="s">
        <v>127</v>
      </c>
      <c r="B56" t="s">
        <v>128</v>
      </c>
      <c r="C56" t="b">
        <f>TRUE()</f>
        <v>1</v>
      </c>
      <c r="E56" t="b">
        <f>TRUE()</f>
        <v>1</v>
      </c>
    </row>
    <row r="57" spans="1:5">
      <c r="A57" t="s">
        <v>129</v>
      </c>
      <c r="B57" t="s">
        <v>130</v>
      </c>
      <c r="C57" t="b">
        <f>TRUE()</f>
        <v>1</v>
      </c>
      <c r="E57" t="b">
        <f>TRUE()</f>
        <v>1</v>
      </c>
    </row>
    <row r="58" spans="1:5">
      <c r="A58" t="s">
        <v>131</v>
      </c>
      <c r="B58" t="s">
        <v>132</v>
      </c>
      <c r="C58" t="b">
        <f>TRUE()</f>
        <v>1</v>
      </c>
      <c r="E58" t="b">
        <f>TRUE()</f>
        <v>1</v>
      </c>
    </row>
    <row r="59" spans="1:5">
      <c r="A59" t="s">
        <v>133</v>
      </c>
      <c r="B59" t="s">
        <v>90</v>
      </c>
      <c r="C59" t="b">
        <f>TRUE()</f>
        <v>1</v>
      </c>
      <c r="E59" t="b">
        <f>TRUE()</f>
        <v>1</v>
      </c>
    </row>
    <row r="60" spans="1:5" ht="46.35">
      <c r="A60" t="s">
        <v>134</v>
      </c>
      <c r="B60" s="4" t="s">
        <v>195</v>
      </c>
      <c r="C60" t="b">
        <f>FALSE()</f>
        <v>0</v>
      </c>
      <c r="E60" t="b">
        <f>FALSE()</f>
        <v>0</v>
      </c>
    </row>
    <row r="61" spans="1:5">
      <c r="A61" t="s">
        <v>136</v>
      </c>
      <c r="B61" t="s">
        <v>137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topLeftCell="A19" zoomScaleNormal="100" workbookViewId="0">
      <selection activeCell="E1" sqref="E1"/>
    </sheetView>
  </sheetViews>
  <sheetFormatPr defaultColWidth="8.5703125" defaultRowHeight="15"/>
  <cols>
    <col min="1" max="1" width="44.140625" customWidth="1"/>
    <col min="2" max="2" width="32.42578125" customWidth="1"/>
    <col min="3" max="3" width="14.7109375" customWidth="1"/>
    <col min="5" max="5" width="24.85546875" customWidth="1"/>
    <col min="6" max="6" width="28.85546875" customWidth="1"/>
  </cols>
  <sheetData>
    <row r="1" spans="1:5">
      <c r="A1" s="2" t="s">
        <v>21</v>
      </c>
      <c r="B1" s="2" t="s">
        <v>22</v>
      </c>
      <c r="C1" t="s">
        <v>23</v>
      </c>
      <c r="D1" t="s">
        <v>138</v>
      </c>
      <c r="E1" s="1" t="s">
        <v>25</v>
      </c>
    </row>
    <row r="2" spans="1:5">
      <c r="A2" t="s">
        <v>26</v>
      </c>
      <c r="B2" t="s">
        <v>196</v>
      </c>
      <c r="C2" t="b">
        <f>TRUE()</f>
        <v>1</v>
      </c>
      <c r="E2" t="b">
        <f>TRUE()</f>
        <v>1</v>
      </c>
    </row>
    <row r="3" spans="1:5">
      <c r="A3" t="s">
        <v>28</v>
      </c>
      <c r="B3" t="s">
        <v>197</v>
      </c>
      <c r="C3" t="b">
        <f>TRUE()</f>
        <v>1</v>
      </c>
      <c r="E3" t="b">
        <f>TRUE()</f>
        <v>1</v>
      </c>
    </row>
    <row r="4" spans="1:5">
      <c r="A4" t="s">
        <v>30</v>
      </c>
      <c r="B4" t="s">
        <v>31</v>
      </c>
      <c r="C4" t="b">
        <f>TRUE()</f>
        <v>1</v>
      </c>
      <c r="E4" t="b">
        <f>TRUE()</f>
        <v>1</v>
      </c>
    </row>
    <row r="5" spans="1:5">
      <c r="A5" t="s">
        <v>32</v>
      </c>
      <c r="B5" t="s">
        <v>33</v>
      </c>
      <c r="C5" t="b">
        <f>TRUE()</f>
        <v>1</v>
      </c>
      <c r="E5" t="b">
        <f>TRUE()</f>
        <v>1</v>
      </c>
    </row>
    <row r="6" spans="1:5">
      <c r="A6" t="s">
        <v>34</v>
      </c>
      <c r="B6" t="s">
        <v>198</v>
      </c>
      <c r="C6" t="s">
        <v>8</v>
      </c>
      <c r="E6" t="s">
        <v>8</v>
      </c>
    </row>
    <row r="7" spans="1:5">
      <c r="A7" t="s">
        <v>36</v>
      </c>
      <c r="B7" t="s">
        <v>37</v>
      </c>
      <c r="C7" t="b">
        <f>TRUE()</f>
        <v>1</v>
      </c>
      <c r="E7" t="b">
        <v>1</v>
      </c>
    </row>
    <row r="8" spans="1:5">
      <c r="A8" t="s">
        <v>38</v>
      </c>
      <c r="B8" t="s">
        <v>173</v>
      </c>
      <c r="C8" t="b">
        <f>TRUE()</f>
        <v>1</v>
      </c>
      <c r="E8" t="b">
        <f>TRUE()</f>
        <v>1</v>
      </c>
    </row>
    <row r="9" spans="1:5">
      <c r="A9" t="s">
        <v>40</v>
      </c>
      <c r="B9" t="s">
        <v>41</v>
      </c>
      <c r="C9" t="b">
        <f>TRUE()</f>
        <v>1</v>
      </c>
      <c r="E9" t="b">
        <f>TRUE()</f>
        <v>1</v>
      </c>
    </row>
    <row r="10" spans="1:5">
      <c r="A10" t="s">
        <v>42</v>
      </c>
      <c r="B10" t="s">
        <v>199</v>
      </c>
      <c r="C10" t="b">
        <f>TRUE()</f>
        <v>1</v>
      </c>
      <c r="E10" t="b">
        <f>TRUE()</f>
        <v>1</v>
      </c>
    </row>
    <row r="11" spans="1:5">
      <c r="A11" t="s">
        <v>44</v>
      </c>
      <c r="B11" t="s">
        <v>33</v>
      </c>
      <c r="C11" t="b">
        <f>TRUE()</f>
        <v>1</v>
      </c>
      <c r="E11" t="b">
        <f>TRUE()</f>
        <v>1</v>
      </c>
    </row>
    <row r="12" spans="1:5">
      <c r="A12" t="s">
        <v>45</v>
      </c>
      <c r="B12" t="s">
        <v>200</v>
      </c>
      <c r="C12" t="s">
        <v>8</v>
      </c>
      <c r="E12" t="s">
        <v>8</v>
      </c>
    </row>
    <row r="13" spans="1:5">
      <c r="A13" t="s">
        <v>47</v>
      </c>
      <c r="B13" t="s">
        <v>48</v>
      </c>
      <c r="C13" t="b">
        <f>TRUE()</f>
        <v>1</v>
      </c>
      <c r="E13" t="b">
        <v>1</v>
      </c>
    </row>
    <row r="14" spans="1:5">
      <c r="A14" t="s">
        <v>49</v>
      </c>
      <c r="B14" t="s">
        <v>50</v>
      </c>
      <c r="C14" t="b">
        <f>TRUE()</f>
        <v>1</v>
      </c>
      <c r="E14" t="b">
        <f>TRUE()</f>
        <v>1</v>
      </c>
    </row>
    <row r="15" spans="1:5">
      <c r="A15" t="s">
        <v>51</v>
      </c>
      <c r="B15" t="s">
        <v>146</v>
      </c>
      <c r="C15" t="b">
        <f>TRUE()</f>
        <v>1</v>
      </c>
      <c r="E15" t="b">
        <f>TRUE()</f>
        <v>1</v>
      </c>
    </row>
    <row r="16" spans="1:5">
      <c r="A16" t="s">
        <v>53</v>
      </c>
      <c r="B16" t="s">
        <v>54</v>
      </c>
      <c r="C16" t="b">
        <f>TRUE()</f>
        <v>1</v>
      </c>
      <c r="E16" t="b">
        <f>TRUE()</f>
        <v>1</v>
      </c>
    </row>
    <row r="17" spans="1:5">
      <c r="A17" t="s">
        <v>55</v>
      </c>
      <c r="B17" t="s">
        <v>33</v>
      </c>
      <c r="C17" t="b">
        <f>TRUE()</f>
        <v>1</v>
      </c>
      <c r="E17" t="b">
        <f>TRUE()</f>
        <v>1</v>
      </c>
    </row>
    <row r="18" spans="1:5">
      <c r="A18" t="s">
        <v>56</v>
      </c>
      <c r="B18" t="s">
        <v>201</v>
      </c>
      <c r="C18" t="s">
        <v>8</v>
      </c>
      <c r="E18" t="s">
        <v>8</v>
      </c>
    </row>
    <row r="19" spans="1:5">
      <c r="A19" t="s">
        <v>58</v>
      </c>
      <c r="B19" t="s">
        <v>59</v>
      </c>
      <c r="C19" t="b">
        <f>TRUE()</f>
        <v>1</v>
      </c>
      <c r="E19" t="b">
        <v>1</v>
      </c>
    </row>
    <row r="20" spans="1:5">
      <c r="A20" t="s">
        <v>60</v>
      </c>
      <c r="B20" t="s">
        <v>150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33</v>
      </c>
      <c r="C23" t="b">
        <f>TRUE()</f>
        <v>1</v>
      </c>
      <c r="E23" t="b">
        <f>TRUE()</f>
        <v>1</v>
      </c>
    </row>
    <row r="24" spans="1:5">
      <c r="A24" t="s">
        <v>67</v>
      </c>
      <c r="B24" t="s">
        <v>202</v>
      </c>
      <c r="C24" t="b">
        <f>FALSE()</f>
        <v>0</v>
      </c>
      <c r="E24" t="b">
        <v>0</v>
      </c>
    </row>
    <row r="25" spans="1:5">
      <c r="A25" t="s">
        <v>69</v>
      </c>
      <c r="B25" t="s">
        <v>203</v>
      </c>
      <c r="C25" t="b">
        <f>TRUE()</f>
        <v>1</v>
      </c>
      <c r="E25" t="b">
        <v>1</v>
      </c>
    </row>
    <row r="26" spans="1:5">
      <c r="A26" t="s">
        <v>71</v>
      </c>
      <c r="B26" t="s">
        <v>72</v>
      </c>
      <c r="C26" t="b">
        <f>TRUE()</f>
        <v>1</v>
      </c>
      <c r="E26" t="b">
        <f>TRUE()</f>
        <v>1</v>
      </c>
    </row>
    <row r="27" spans="1:5">
      <c r="A27" t="s">
        <v>73</v>
      </c>
      <c r="B27" t="s">
        <v>74</v>
      </c>
      <c r="C27" t="b">
        <f>TRUE()</f>
        <v>1</v>
      </c>
      <c r="E27" t="b">
        <f>TRUE()</f>
        <v>1</v>
      </c>
    </row>
    <row r="28" spans="1:5">
      <c r="A28" t="s">
        <v>75</v>
      </c>
      <c r="B28" t="s">
        <v>76</v>
      </c>
      <c r="C28" t="b">
        <f>TRUE()</f>
        <v>1</v>
      </c>
      <c r="E28" t="b">
        <f>TRUE()</f>
        <v>1</v>
      </c>
    </row>
    <row r="29" spans="1:5">
      <c r="A29" t="s">
        <v>77</v>
      </c>
      <c r="B29" t="s">
        <v>78</v>
      </c>
      <c r="C29" t="b">
        <f>TRUE()</f>
        <v>1</v>
      </c>
      <c r="E29" t="b">
        <f>TRUE()</f>
        <v>1</v>
      </c>
    </row>
    <row r="30" spans="1:5">
      <c r="A30" t="s">
        <v>79</v>
      </c>
      <c r="B30" t="s">
        <v>204</v>
      </c>
      <c r="C30" t="s">
        <v>8</v>
      </c>
      <c r="E30" t="s">
        <v>8</v>
      </c>
    </row>
    <row r="31" spans="1:5">
      <c r="A31" t="s">
        <v>81</v>
      </c>
      <c r="B31" t="s">
        <v>82</v>
      </c>
      <c r="C31" t="b">
        <f>TRUE()</f>
        <v>1</v>
      </c>
      <c r="E31" t="b">
        <f>TRUE()</f>
        <v>1</v>
      </c>
    </row>
    <row r="32" spans="1:5">
      <c r="A32" t="s">
        <v>83</v>
      </c>
      <c r="B32" t="s">
        <v>155</v>
      </c>
      <c r="C32" t="b">
        <f>TRUE()</f>
        <v>1</v>
      </c>
      <c r="E32" t="b">
        <f>TRUE()</f>
        <v>1</v>
      </c>
    </row>
    <row r="33" spans="1:5">
      <c r="A33" t="s">
        <v>85</v>
      </c>
      <c r="B33" t="s">
        <v>86</v>
      </c>
      <c r="C33" t="b">
        <f>TRUE()</f>
        <v>1</v>
      </c>
      <c r="E33" t="b">
        <f>TRUE()</f>
        <v>1</v>
      </c>
    </row>
    <row r="34" spans="1:5">
      <c r="A34" t="s">
        <v>87</v>
      </c>
      <c r="B34" t="s">
        <v>88</v>
      </c>
      <c r="C34" t="b">
        <f>TRUE()</f>
        <v>1</v>
      </c>
      <c r="E34" t="b">
        <f>TRUE()</f>
        <v>1</v>
      </c>
    </row>
    <row r="35" spans="1:5">
      <c r="A35" t="s">
        <v>89</v>
      </c>
      <c r="B35" t="s">
        <v>102</v>
      </c>
      <c r="C35" t="b">
        <f>TRUE()</f>
        <v>1</v>
      </c>
      <c r="E35" t="b">
        <f>TRUE()</f>
        <v>1</v>
      </c>
    </row>
    <row r="36" spans="1:5">
      <c r="A36" t="s">
        <v>91</v>
      </c>
      <c r="B36" t="s">
        <v>205</v>
      </c>
      <c r="C36" t="s">
        <v>8</v>
      </c>
      <c r="E36" t="s">
        <v>8</v>
      </c>
    </row>
    <row r="37" spans="1:5">
      <c r="A37" t="s">
        <v>93</v>
      </c>
      <c r="B37" t="s">
        <v>137</v>
      </c>
      <c r="C37" t="b">
        <f>TRUE()</f>
        <v>1</v>
      </c>
      <c r="E37" t="b">
        <f>TRUE()</f>
        <v>1</v>
      </c>
    </row>
    <row r="38" spans="1:5">
      <c r="A38" t="s">
        <v>95</v>
      </c>
      <c r="B38" t="s">
        <v>96</v>
      </c>
      <c r="C38" t="b">
        <f>TRUE()</f>
        <v>1</v>
      </c>
      <c r="E38" t="b">
        <f>TRUE()</f>
        <v>1</v>
      </c>
    </row>
    <row r="39" spans="1:5">
      <c r="A39" t="s">
        <v>97</v>
      </c>
      <c r="B39" t="s">
        <v>98</v>
      </c>
      <c r="C39" t="b">
        <f>TRUE()</f>
        <v>1</v>
      </c>
      <c r="E39" t="b">
        <f>TRUE()</f>
        <v>1</v>
      </c>
    </row>
    <row r="40" spans="1:5">
      <c r="A40" t="s">
        <v>99</v>
      </c>
      <c r="B40" t="s">
        <v>100</v>
      </c>
      <c r="C40" t="b">
        <f>TRUE()</f>
        <v>1</v>
      </c>
      <c r="E40" t="b">
        <f>TRUE()</f>
        <v>1</v>
      </c>
    </row>
    <row r="41" spans="1:5">
      <c r="A41" t="s">
        <v>101</v>
      </c>
      <c r="B41" t="s">
        <v>102</v>
      </c>
      <c r="C41" t="b">
        <f>TRUE()</f>
        <v>1</v>
      </c>
      <c r="E41" t="b">
        <f>TRUE()</f>
        <v>1</v>
      </c>
    </row>
    <row r="42" spans="1:5">
      <c r="A42" t="s">
        <v>103</v>
      </c>
      <c r="B42" t="s">
        <v>206</v>
      </c>
      <c r="C42" t="s">
        <v>8</v>
      </c>
      <c r="E42" t="s">
        <v>8</v>
      </c>
    </row>
    <row r="43" spans="1:5">
      <c r="A43" t="s">
        <v>105</v>
      </c>
      <c r="B43" t="s">
        <v>137</v>
      </c>
      <c r="C43" t="b">
        <f>TRUE()</f>
        <v>1</v>
      </c>
      <c r="E43" t="b">
        <f>TRUE()</f>
        <v>1</v>
      </c>
    </row>
    <row r="44" spans="1:5">
      <c r="A44" t="s">
        <v>107</v>
      </c>
      <c r="B44" t="s">
        <v>190</v>
      </c>
      <c r="C44" t="b">
        <f>TRUE()</f>
        <v>1</v>
      </c>
      <c r="E44" t="b">
        <f>TRUE()</f>
        <v>1</v>
      </c>
    </row>
    <row r="45" spans="1:5">
      <c r="A45" t="s">
        <v>109</v>
      </c>
      <c r="B45" t="s">
        <v>191</v>
      </c>
      <c r="C45" t="b">
        <f>TRUE()</f>
        <v>1</v>
      </c>
      <c r="E45" t="b">
        <f>TRUE()</f>
        <v>1</v>
      </c>
    </row>
    <row r="46" spans="1:5">
      <c r="A46" t="s">
        <v>111</v>
      </c>
      <c r="B46" t="s">
        <v>43</v>
      </c>
      <c r="C46" t="b">
        <f>TRUE()</f>
        <v>1</v>
      </c>
      <c r="E46" t="b">
        <f>TRUE()</f>
        <v>1</v>
      </c>
    </row>
    <row r="47" spans="1:5">
      <c r="A47" t="s">
        <v>112</v>
      </c>
      <c r="B47" t="s">
        <v>102</v>
      </c>
      <c r="C47" t="b">
        <f>TRUE()</f>
        <v>1</v>
      </c>
      <c r="E47" t="b">
        <f>TRUE()</f>
        <v>1</v>
      </c>
    </row>
    <row r="48" spans="1:5">
      <c r="A48" t="s">
        <v>113</v>
      </c>
      <c r="B48" t="s">
        <v>207</v>
      </c>
      <c r="C48" t="b">
        <f>FALSE()</f>
        <v>0</v>
      </c>
      <c r="E48" t="b">
        <v>0</v>
      </c>
    </row>
    <row r="49" spans="1:5">
      <c r="A49" t="s">
        <v>115</v>
      </c>
      <c r="B49" t="s">
        <v>116</v>
      </c>
      <c r="C49" t="b">
        <f>TRUE()</f>
        <v>1</v>
      </c>
      <c r="E49" t="b">
        <f>TRUE()</f>
        <v>1</v>
      </c>
    </row>
    <row r="50" spans="1:5">
      <c r="A50" t="s">
        <v>117</v>
      </c>
      <c r="B50" t="s">
        <v>192</v>
      </c>
      <c r="C50" t="b">
        <f>TRUE()</f>
        <v>1</v>
      </c>
      <c r="E50" t="b">
        <f>TRUE()</f>
        <v>1</v>
      </c>
    </row>
    <row r="51" spans="1:5">
      <c r="A51" t="s">
        <v>119</v>
      </c>
      <c r="B51" t="s">
        <v>193</v>
      </c>
      <c r="C51" t="b">
        <f>TRUE()</f>
        <v>1</v>
      </c>
      <c r="E51" t="b">
        <f>TRUE()</f>
        <v>1</v>
      </c>
    </row>
    <row r="52" spans="1:5">
      <c r="A52" t="s">
        <v>121</v>
      </c>
      <c r="B52" t="s">
        <v>122</v>
      </c>
      <c r="C52" t="b">
        <f>TRUE()</f>
        <v>1</v>
      </c>
      <c r="E52" t="b">
        <f>TRUE()</f>
        <v>1</v>
      </c>
    </row>
    <row r="53" spans="1:5">
      <c r="A53" t="s">
        <v>123</v>
      </c>
      <c r="B53" t="s">
        <v>158</v>
      </c>
      <c r="C53" t="b">
        <f>TRUE()</f>
        <v>1</v>
      </c>
      <c r="E53" t="b">
        <f>TRUE()</f>
        <v>1</v>
      </c>
    </row>
    <row r="54" spans="1:5">
      <c r="A54" t="s">
        <v>124</v>
      </c>
      <c r="B54" t="s">
        <v>208</v>
      </c>
      <c r="C54" t="b">
        <f>FALSE()</f>
        <v>0</v>
      </c>
      <c r="E54" t="b">
        <f>FALSE()</f>
        <v>0</v>
      </c>
    </row>
    <row r="55" spans="1:5">
      <c r="A55" t="s">
        <v>126</v>
      </c>
      <c r="B55" t="s">
        <v>209</v>
      </c>
      <c r="C55" t="b">
        <f>TRUE()</f>
        <v>1</v>
      </c>
      <c r="E55" t="b">
        <v>1</v>
      </c>
    </row>
    <row r="56" spans="1:5">
      <c r="A56" t="s">
        <v>127</v>
      </c>
      <c r="B56" t="s">
        <v>210</v>
      </c>
      <c r="C56" t="b">
        <f>TRUE()</f>
        <v>1</v>
      </c>
      <c r="E56" t="b">
        <f>TRUE()</f>
        <v>1</v>
      </c>
    </row>
    <row r="57" spans="1:5">
      <c r="A57" t="s">
        <v>129</v>
      </c>
      <c r="B57" t="s">
        <v>130</v>
      </c>
      <c r="C57" t="b">
        <f>TRUE()</f>
        <v>1</v>
      </c>
      <c r="E57" t="b">
        <f>TRUE()</f>
        <v>1</v>
      </c>
    </row>
    <row r="58" spans="1:5">
      <c r="A58" t="s">
        <v>131</v>
      </c>
      <c r="B58" t="s">
        <v>132</v>
      </c>
      <c r="C58" t="b">
        <f>TRUE()</f>
        <v>1</v>
      </c>
      <c r="E58" t="b">
        <f>TRUE()</f>
        <v>1</v>
      </c>
    </row>
    <row r="59" spans="1:5">
      <c r="A59" t="s">
        <v>133</v>
      </c>
      <c r="B59" t="s">
        <v>102</v>
      </c>
      <c r="C59" t="b">
        <f>TRUE()</f>
        <v>1</v>
      </c>
      <c r="E59" t="b">
        <f>TRUE()</f>
        <v>1</v>
      </c>
    </row>
    <row r="60" spans="1:5">
      <c r="A60" t="s">
        <v>134</v>
      </c>
      <c r="B60" t="s">
        <v>211</v>
      </c>
      <c r="C60" t="s">
        <v>8</v>
      </c>
      <c r="E60" t="s">
        <v>8</v>
      </c>
    </row>
    <row r="61" spans="1:5">
      <c r="A61" t="s">
        <v>136</v>
      </c>
      <c r="B61" t="s">
        <v>137</v>
      </c>
      <c r="C61" t="b">
        <f>TRUE()</f>
        <v>1</v>
      </c>
      <c r="E61" t="b">
        <f>TRUE()</f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zoomScaleNormal="100" workbookViewId="0">
      <selection activeCell="B12" sqref="B12"/>
    </sheetView>
  </sheetViews>
  <sheetFormatPr defaultColWidth="8.5703125" defaultRowHeight="15"/>
  <cols>
    <col min="1" max="1" width="39" customWidth="1"/>
    <col min="2" max="2" width="31" customWidth="1"/>
    <col min="5" max="5" width="16.7109375" customWidth="1"/>
  </cols>
  <sheetData>
    <row r="1" spans="1:5">
      <c r="A1" s="2" t="s">
        <v>21</v>
      </c>
      <c r="B1" s="2" t="s">
        <v>22</v>
      </c>
      <c r="C1" t="s">
        <v>23</v>
      </c>
      <c r="D1" t="s">
        <v>138</v>
      </c>
      <c r="E1" s="1" t="s">
        <v>25</v>
      </c>
    </row>
    <row r="2" spans="1:5">
      <c r="A2" t="s">
        <v>26</v>
      </c>
      <c r="B2" t="s">
        <v>27</v>
      </c>
      <c r="C2" t="b">
        <f>TRUE()</f>
        <v>1</v>
      </c>
      <c r="E2" t="b">
        <f>TRUE()</f>
        <v>1</v>
      </c>
    </row>
    <row r="3" spans="1:5">
      <c r="A3" t="s">
        <v>28</v>
      </c>
      <c r="B3" t="s">
        <v>29</v>
      </c>
      <c r="C3" t="b">
        <f>TRUE()</f>
        <v>1</v>
      </c>
      <c r="E3" t="b">
        <f>TRUE()</f>
        <v>1</v>
      </c>
    </row>
    <row r="4" spans="1:5">
      <c r="A4" t="s">
        <v>30</v>
      </c>
      <c r="B4" t="s">
        <v>31</v>
      </c>
      <c r="C4" t="b">
        <f>TRUE()</f>
        <v>1</v>
      </c>
      <c r="E4" t="b">
        <f>TRUE()</f>
        <v>1</v>
      </c>
    </row>
    <row r="5" spans="1:5">
      <c r="A5" t="s">
        <v>32</v>
      </c>
      <c r="B5" t="s">
        <v>33</v>
      </c>
      <c r="C5" t="b">
        <f>TRUE()</f>
        <v>1</v>
      </c>
      <c r="E5" t="b">
        <f>TRUE()</f>
        <v>1</v>
      </c>
    </row>
    <row r="6" spans="1:5">
      <c r="A6" t="s">
        <v>34</v>
      </c>
      <c r="B6" t="s">
        <v>212</v>
      </c>
      <c r="C6" t="s">
        <v>8</v>
      </c>
      <c r="E6" t="s">
        <v>8</v>
      </c>
    </row>
    <row r="7" spans="1:5">
      <c r="A7" t="s">
        <v>36</v>
      </c>
      <c r="B7" t="s">
        <v>213</v>
      </c>
      <c r="C7" t="b">
        <f>TRUE()</f>
        <v>1</v>
      </c>
      <c r="E7" t="b">
        <v>1</v>
      </c>
    </row>
    <row r="8" spans="1:5">
      <c r="A8" t="s">
        <v>38</v>
      </c>
      <c r="B8" t="s">
        <v>39</v>
      </c>
      <c r="C8" t="b">
        <f>TRUE()</f>
        <v>1</v>
      </c>
      <c r="E8" t="b">
        <f>TRUE()</f>
        <v>1</v>
      </c>
    </row>
    <row r="9" spans="1:5">
      <c r="A9" t="s">
        <v>40</v>
      </c>
      <c r="B9" t="s">
        <v>174</v>
      </c>
      <c r="C9" t="b">
        <f>TRUE()</f>
        <v>1</v>
      </c>
      <c r="E9" t="b">
        <f>TRUE()</f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f>TRUE()</f>
        <v>1</v>
      </c>
    </row>
    <row r="11" spans="1:5">
      <c r="A11" t="s">
        <v>44</v>
      </c>
      <c r="B11" t="s">
        <v>33</v>
      </c>
      <c r="C11" t="b">
        <f>TRUE()</f>
        <v>1</v>
      </c>
      <c r="E11" t="b">
        <f>TRUE()</f>
        <v>1</v>
      </c>
    </row>
    <row r="12" spans="1:5" ht="46.35">
      <c r="A12" t="s">
        <v>45</v>
      </c>
      <c r="B12" s="4" t="s">
        <v>214</v>
      </c>
      <c r="C12" t="b">
        <f>FALSE()</f>
        <v>0</v>
      </c>
      <c r="E12" t="b">
        <v>0</v>
      </c>
    </row>
    <row r="13" spans="1:5">
      <c r="A13" t="s">
        <v>47</v>
      </c>
      <c r="B13" t="s">
        <v>215</v>
      </c>
      <c r="C13" t="b">
        <f>FALSE()</f>
        <v>0</v>
      </c>
      <c r="E13" t="b">
        <v>0</v>
      </c>
    </row>
    <row r="14" spans="1:5">
      <c r="A14" t="s">
        <v>49</v>
      </c>
      <c r="B14" t="s">
        <v>50</v>
      </c>
      <c r="C14" t="b">
        <f>TRUE()</f>
        <v>1</v>
      </c>
      <c r="E14" t="b">
        <f>TRUE()</f>
        <v>1</v>
      </c>
    </row>
    <row r="15" spans="1:5">
      <c r="A15" t="s">
        <v>51</v>
      </c>
      <c r="B15" t="s">
        <v>146</v>
      </c>
      <c r="C15" t="b">
        <f>TRUE()</f>
        <v>1</v>
      </c>
      <c r="E15" t="b">
        <f>TRUE()</f>
        <v>1</v>
      </c>
    </row>
    <row r="16" spans="1:5">
      <c r="A16" t="s">
        <v>53</v>
      </c>
      <c r="B16" t="s">
        <v>54</v>
      </c>
      <c r="C16" t="b">
        <f>TRUE()</f>
        <v>1</v>
      </c>
      <c r="E16" t="b">
        <f>TRUE()</f>
        <v>1</v>
      </c>
    </row>
    <row r="17" spans="1:5">
      <c r="A17" t="s">
        <v>55</v>
      </c>
      <c r="B17" t="s">
        <v>33</v>
      </c>
      <c r="C17" t="b">
        <f>TRUE()</f>
        <v>1</v>
      </c>
      <c r="E17" t="b">
        <f>TRUE()</f>
        <v>1</v>
      </c>
    </row>
    <row r="18" spans="1:5" ht="31.35">
      <c r="A18" t="s">
        <v>56</v>
      </c>
      <c r="B18" s="4" t="s">
        <v>216</v>
      </c>
      <c r="C18" t="b">
        <f>FALSE()</f>
        <v>0</v>
      </c>
      <c r="E18" t="b">
        <v>0</v>
      </c>
    </row>
    <row r="19" spans="1:5">
      <c r="A19" t="s">
        <v>58</v>
      </c>
      <c r="B19" t="s">
        <v>149</v>
      </c>
      <c r="C19" t="b">
        <f>FALSE()</f>
        <v>0</v>
      </c>
      <c r="E19" t="b">
        <v>0</v>
      </c>
    </row>
    <row r="20" spans="1:5">
      <c r="A20" t="s">
        <v>60</v>
      </c>
      <c r="B20" t="s">
        <v>61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151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33</v>
      </c>
      <c r="C23" t="b">
        <f>TRUE()</f>
        <v>1</v>
      </c>
      <c r="E23" t="b">
        <f>TRUE()</f>
        <v>1</v>
      </c>
    </row>
    <row r="24" spans="1:5">
      <c r="A24" t="s">
        <v>67</v>
      </c>
      <c r="B24" t="s">
        <v>152</v>
      </c>
      <c r="C24" t="b">
        <f>TRUE()</f>
        <v>1</v>
      </c>
      <c r="E24" t="b">
        <v>1</v>
      </c>
    </row>
    <row r="25" spans="1:5">
      <c r="A25" t="s">
        <v>69</v>
      </c>
      <c r="B25" t="s">
        <v>137</v>
      </c>
      <c r="C25" t="b">
        <f>TRUE()</f>
        <v>1</v>
      </c>
      <c r="E25" t="b">
        <v>1</v>
      </c>
    </row>
    <row r="26" spans="1:5">
      <c r="A26" t="s">
        <v>71</v>
      </c>
      <c r="B26" t="s">
        <v>72</v>
      </c>
      <c r="C26" t="b">
        <f>TRUE()</f>
        <v>1</v>
      </c>
      <c r="E26" t="b">
        <f>TRUE()</f>
        <v>1</v>
      </c>
    </row>
    <row r="27" spans="1:5">
      <c r="A27" t="s">
        <v>73</v>
      </c>
      <c r="B27" t="s">
        <v>217</v>
      </c>
      <c r="C27" t="b">
        <f>TRUE()</f>
        <v>1</v>
      </c>
      <c r="E27" t="b">
        <f>TRUE()</f>
        <v>1</v>
      </c>
    </row>
    <row r="28" spans="1:5">
      <c r="A28" t="s">
        <v>75</v>
      </c>
      <c r="B28" t="s">
        <v>76</v>
      </c>
      <c r="C28" t="b">
        <f>TRUE()</f>
        <v>1</v>
      </c>
      <c r="E28" t="b">
        <f>TRUE()</f>
        <v>1</v>
      </c>
    </row>
    <row r="29" spans="1:5">
      <c r="A29" t="s">
        <v>77</v>
      </c>
      <c r="B29" t="s">
        <v>33</v>
      </c>
      <c r="C29" t="b">
        <f>TRUE()</f>
        <v>1</v>
      </c>
      <c r="E29" t="b">
        <f>TRUE()</f>
        <v>1</v>
      </c>
    </row>
    <row r="30" spans="1:5">
      <c r="A30" t="s">
        <v>79</v>
      </c>
      <c r="B30" t="s">
        <v>218</v>
      </c>
      <c r="C30" t="s">
        <v>8</v>
      </c>
      <c r="E30" t="s">
        <v>8</v>
      </c>
    </row>
    <row r="31" spans="1:5">
      <c r="A31" t="s">
        <v>81</v>
      </c>
      <c r="B31" t="s">
        <v>219</v>
      </c>
      <c r="C31" t="b">
        <f>TRUE()</f>
        <v>1</v>
      </c>
      <c r="E31" t="b">
        <v>1</v>
      </c>
    </row>
    <row r="32" spans="1:5">
      <c r="A32" t="s">
        <v>83</v>
      </c>
      <c r="B32" t="s">
        <v>84</v>
      </c>
      <c r="C32" t="b">
        <f>TRUE()</f>
        <v>1</v>
      </c>
      <c r="E32" t="b">
        <f>TRUE()</f>
        <v>1</v>
      </c>
    </row>
    <row r="33" spans="1:5">
      <c r="A33" t="s">
        <v>85</v>
      </c>
      <c r="B33" t="s">
        <v>86</v>
      </c>
      <c r="C33" t="b">
        <f>TRUE()</f>
        <v>1</v>
      </c>
      <c r="E33" t="b">
        <f>TRUE()</f>
        <v>1</v>
      </c>
    </row>
    <row r="34" spans="1:5">
      <c r="A34" t="s">
        <v>87</v>
      </c>
      <c r="B34" t="s">
        <v>88</v>
      </c>
      <c r="C34" t="b">
        <f>TRUE()</f>
        <v>1</v>
      </c>
      <c r="E34" t="b">
        <f>TRUE()</f>
        <v>1</v>
      </c>
    </row>
    <row r="35" spans="1:5">
      <c r="A35" t="s">
        <v>89</v>
      </c>
      <c r="B35" t="s">
        <v>90</v>
      </c>
      <c r="C35" t="b">
        <f>TRUE()</f>
        <v>1</v>
      </c>
      <c r="E35" t="b">
        <f>TRUE()</f>
        <v>1</v>
      </c>
    </row>
    <row r="36" spans="1:5">
      <c r="A36" t="s">
        <v>91</v>
      </c>
      <c r="B36" t="s">
        <v>220</v>
      </c>
      <c r="C36" t="b">
        <f>TRUE()</f>
        <v>1</v>
      </c>
      <c r="E36" t="b">
        <v>1</v>
      </c>
    </row>
    <row r="37" spans="1:5">
      <c r="A37" t="s">
        <v>93</v>
      </c>
      <c r="B37" t="s">
        <v>137</v>
      </c>
      <c r="C37" t="b">
        <f>TRUE()</f>
        <v>1</v>
      </c>
      <c r="E37" t="b">
        <v>1</v>
      </c>
    </row>
    <row r="38" spans="1:5">
      <c r="A38" t="s">
        <v>95</v>
      </c>
      <c r="B38" t="s">
        <v>96</v>
      </c>
      <c r="C38" t="b">
        <f>TRUE()</f>
        <v>1</v>
      </c>
      <c r="E38" t="b">
        <f>TRUE()</f>
        <v>1</v>
      </c>
    </row>
    <row r="39" spans="1:5">
      <c r="A39" t="s">
        <v>97</v>
      </c>
      <c r="B39" t="s">
        <v>187</v>
      </c>
      <c r="C39" t="b">
        <f>TRUE()</f>
        <v>1</v>
      </c>
      <c r="E39" t="b">
        <f>TRUE()</f>
        <v>1</v>
      </c>
    </row>
    <row r="40" spans="1:5">
      <c r="A40" t="s">
        <v>99</v>
      </c>
      <c r="B40" t="s">
        <v>100</v>
      </c>
      <c r="C40" t="b">
        <f>TRUE()</f>
        <v>1</v>
      </c>
      <c r="E40" t="b">
        <f>TRUE()</f>
        <v>1</v>
      </c>
    </row>
    <row r="41" spans="1:5">
      <c r="A41" t="s">
        <v>101</v>
      </c>
      <c r="B41" t="s">
        <v>90</v>
      </c>
      <c r="C41" t="b">
        <f>TRUE()</f>
        <v>1</v>
      </c>
      <c r="E41" t="b">
        <f>TRUE()</f>
        <v>1</v>
      </c>
    </row>
    <row r="42" spans="1:5">
      <c r="A42" t="s">
        <v>103</v>
      </c>
      <c r="B42" t="s">
        <v>152</v>
      </c>
      <c r="C42" t="b">
        <f>TRUE()</f>
        <v>1</v>
      </c>
      <c r="E42" t="b">
        <v>1</v>
      </c>
    </row>
    <row r="43" spans="1:5">
      <c r="A43" t="s">
        <v>105</v>
      </c>
      <c r="B43" t="s">
        <v>137</v>
      </c>
      <c r="C43" t="b">
        <f>TRUE()</f>
        <v>1</v>
      </c>
      <c r="E43" t="b">
        <v>1</v>
      </c>
    </row>
    <row r="44" spans="1:5">
      <c r="A44" t="s">
        <v>107</v>
      </c>
      <c r="B44" t="s">
        <v>108</v>
      </c>
      <c r="C44" t="b">
        <f>TRUE()</f>
        <v>1</v>
      </c>
      <c r="E44" t="b">
        <f>TRUE()</f>
        <v>1</v>
      </c>
    </row>
    <row r="45" spans="1:5">
      <c r="A45" t="s">
        <v>109</v>
      </c>
      <c r="B45" t="s">
        <v>191</v>
      </c>
      <c r="C45" t="b">
        <f>TRUE()</f>
        <v>1</v>
      </c>
      <c r="E45" t="b">
        <f>TRUE()</f>
        <v>1</v>
      </c>
    </row>
    <row r="46" spans="1:5">
      <c r="A46" t="s">
        <v>111</v>
      </c>
      <c r="B46" t="s">
        <v>43</v>
      </c>
      <c r="C46" t="b">
        <f>TRUE()</f>
        <v>1</v>
      </c>
      <c r="E46" t="b">
        <f>TRUE()</f>
        <v>1</v>
      </c>
    </row>
    <row r="47" spans="1:5">
      <c r="A47" t="s">
        <v>112</v>
      </c>
      <c r="B47" t="s">
        <v>90</v>
      </c>
      <c r="C47" t="b">
        <f>TRUE()</f>
        <v>1</v>
      </c>
      <c r="E47" t="b">
        <f>TRUE()</f>
        <v>1</v>
      </c>
    </row>
    <row r="48" spans="1:5">
      <c r="A48" t="s">
        <v>113</v>
      </c>
      <c r="B48" t="s">
        <v>114</v>
      </c>
      <c r="C48" t="b">
        <f>TRUE()</f>
        <v>1</v>
      </c>
      <c r="E48" t="b">
        <v>1</v>
      </c>
    </row>
    <row r="49" spans="1:5">
      <c r="A49" t="s">
        <v>115</v>
      </c>
      <c r="B49" t="s">
        <v>116</v>
      </c>
      <c r="C49" t="b">
        <f>TRUE()</f>
        <v>1</v>
      </c>
      <c r="E49" t="b">
        <v>1</v>
      </c>
    </row>
    <row r="50" spans="1:5">
      <c r="A50" t="s">
        <v>117</v>
      </c>
      <c r="B50" t="s">
        <v>192</v>
      </c>
      <c r="C50" t="b">
        <f>TRUE()</f>
        <v>1</v>
      </c>
      <c r="E50" t="b">
        <f>TRUE()</f>
        <v>1</v>
      </c>
    </row>
    <row r="51" spans="1:5">
      <c r="A51" t="s">
        <v>119</v>
      </c>
      <c r="B51" t="s">
        <v>120</v>
      </c>
      <c r="C51" t="b">
        <f>TRUE()</f>
        <v>1</v>
      </c>
      <c r="E51" t="b">
        <f>TRUE()</f>
        <v>1</v>
      </c>
    </row>
    <row r="52" spans="1:5">
      <c r="A52" t="s">
        <v>121</v>
      </c>
      <c r="B52" t="s">
        <v>122</v>
      </c>
      <c r="C52" t="b">
        <f>TRUE()</f>
        <v>1</v>
      </c>
      <c r="E52" t="b">
        <f>TRUE()</f>
        <v>1</v>
      </c>
    </row>
    <row r="53" spans="1:5">
      <c r="A53" t="s">
        <v>123</v>
      </c>
      <c r="B53" t="s">
        <v>90</v>
      </c>
      <c r="C53" t="b">
        <f>TRUE()</f>
        <v>1</v>
      </c>
      <c r="E53" t="b">
        <f>TRUE()</f>
        <v>1</v>
      </c>
    </row>
    <row r="54" spans="1:5">
      <c r="A54" t="s">
        <v>124</v>
      </c>
      <c r="B54" t="s">
        <v>125</v>
      </c>
      <c r="C54" t="b">
        <f>TRUE()</f>
        <v>1</v>
      </c>
      <c r="E54" t="b">
        <f>TRUE()</f>
        <v>1</v>
      </c>
    </row>
    <row r="55" spans="1:5">
      <c r="A55" t="s">
        <v>126</v>
      </c>
      <c r="B55" t="s">
        <v>116</v>
      </c>
      <c r="C55" t="b">
        <f>TRUE()</f>
        <v>1</v>
      </c>
      <c r="E55" t="b">
        <f>TRUE()</f>
        <v>1</v>
      </c>
    </row>
    <row r="56" spans="1:5">
      <c r="A56" t="s">
        <v>127</v>
      </c>
      <c r="B56" t="s">
        <v>128</v>
      </c>
      <c r="C56" t="b">
        <f>TRUE()</f>
        <v>1</v>
      </c>
      <c r="E56" t="b">
        <f>TRUE()</f>
        <v>1</v>
      </c>
    </row>
    <row r="57" spans="1:5">
      <c r="A57" t="s">
        <v>129</v>
      </c>
      <c r="B57" t="s">
        <v>221</v>
      </c>
      <c r="C57" t="b">
        <f>TRUE()</f>
        <v>1</v>
      </c>
      <c r="E57" t="b">
        <f>TRUE()</f>
        <v>1</v>
      </c>
    </row>
    <row r="58" spans="1:5">
      <c r="A58" t="s">
        <v>131</v>
      </c>
      <c r="B58" t="s">
        <v>132</v>
      </c>
      <c r="C58" t="b">
        <f>TRUE()</f>
        <v>1</v>
      </c>
      <c r="E58" t="b">
        <f>TRUE()</f>
        <v>1</v>
      </c>
    </row>
    <row r="59" spans="1:5">
      <c r="A59" t="s">
        <v>133</v>
      </c>
      <c r="B59" t="s">
        <v>90</v>
      </c>
      <c r="C59" t="b">
        <f>TRUE()</f>
        <v>1</v>
      </c>
      <c r="E59" t="b">
        <f>TRUE()</f>
        <v>1</v>
      </c>
    </row>
    <row r="60" spans="1:5">
      <c r="A60" t="s">
        <v>134</v>
      </c>
      <c r="B60" t="s">
        <v>222</v>
      </c>
      <c r="C60" t="b">
        <f>TRUE()</f>
        <v>1</v>
      </c>
      <c r="E60" t="b">
        <v>1</v>
      </c>
    </row>
    <row r="61" spans="1:5">
      <c r="A61" t="s">
        <v>136</v>
      </c>
      <c r="B61" t="s">
        <v>137</v>
      </c>
      <c r="C61" t="b">
        <f>TRUE()</f>
        <v>1</v>
      </c>
      <c r="E61" t="b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topLeftCell="B1" zoomScaleNormal="100" workbookViewId="0">
      <selection activeCell="D2" sqref="D2"/>
    </sheetView>
  </sheetViews>
  <sheetFormatPr defaultColWidth="8.5703125" defaultRowHeight="15"/>
  <cols>
    <col min="1" max="1" width="55.42578125" customWidth="1"/>
    <col min="2" max="2" width="39" customWidth="1"/>
    <col min="3" max="4" width="16.7109375" customWidth="1"/>
  </cols>
  <sheetData>
    <row r="1" spans="1:5">
      <c r="A1" s="2" t="s">
        <v>21</v>
      </c>
      <c r="B1" s="2" t="s">
        <v>22</v>
      </c>
      <c r="C1" t="s">
        <v>23</v>
      </c>
      <c r="D1" t="s">
        <v>138</v>
      </c>
      <c r="E1" s="1" t="s">
        <v>25</v>
      </c>
    </row>
    <row r="2" spans="1:5">
      <c r="A2" t="s">
        <v>26</v>
      </c>
      <c r="B2" t="s">
        <v>27</v>
      </c>
      <c r="C2" t="b">
        <f>TRUE()</f>
        <v>1</v>
      </c>
      <c r="E2" s="5" t="b">
        <v>1</v>
      </c>
    </row>
    <row r="3" spans="1:5">
      <c r="A3" t="s">
        <v>28</v>
      </c>
      <c r="B3" t="s">
        <v>197</v>
      </c>
      <c r="C3" t="b">
        <f>TRUE()</f>
        <v>1</v>
      </c>
      <c r="E3" t="b">
        <v>1</v>
      </c>
    </row>
    <row r="4" spans="1:5">
      <c r="A4" t="s">
        <v>30</v>
      </c>
      <c r="B4" t="s">
        <v>31</v>
      </c>
      <c r="C4" t="b">
        <f>TRUE()</f>
        <v>1</v>
      </c>
      <c r="E4" t="b">
        <v>1</v>
      </c>
    </row>
    <row r="5" spans="1:5">
      <c r="A5" t="s">
        <v>32</v>
      </c>
      <c r="B5" t="s">
        <v>33</v>
      </c>
      <c r="C5" t="b">
        <f>TRUE()</f>
        <v>1</v>
      </c>
      <c r="E5" t="b">
        <v>1</v>
      </c>
    </row>
    <row r="6" spans="1:5">
      <c r="A6" t="s">
        <v>34</v>
      </c>
      <c r="B6" t="s">
        <v>212</v>
      </c>
      <c r="C6" t="s">
        <v>8</v>
      </c>
      <c r="E6" t="s">
        <v>8</v>
      </c>
    </row>
    <row r="7" spans="1:5">
      <c r="A7" t="s">
        <v>36</v>
      </c>
      <c r="B7" t="s">
        <v>145</v>
      </c>
      <c r="C7" t="b">
        <f>FALSE()</f>
        <v>0</v>
      </c>
      <c r="E7" t="b">
        <v>0</v>
      </c>
    </row>
    <row r="8" spans="1:5">
      <c r="A8" t="s">
        <v>38</v>
      </c>
      <c r="B8" t="s">
        <v>39</v>
      </c>
      <c r="C8" t="b">
        <f>TRUE()</f>
        <v>1</v>
      </c>
      <c r="E8" t="b">
        <v>1</v>
      </c>
    </row>
    <row r="9" spans="1:5">
      <c r="A9" t="s">
        <v>40</v>
      </c>
      <c r="B9" t="s">
        <v>41</v>
      </c>
      <c r="C9" t="b">
        <f>TRUE()</f>
        <v>1</v>
      </c>
      <c r="E9" t="b">
        <v>1</v>
      </c>
    </row>
    <row r="10" spans="1:5">
      <c r="A10" t="s">
        <v>42</v>
      </c>
      <c r="B10" t="s">
        <v>43</v>
      </c>
      <c r="C10" t="b">
        <f>TRUE()</f>
        <v>1</v>
      </c>
      <c r="E10" t="b">
        <v>1</v>
      </c>
    </row>
    <row r="11" spans="1:5">
      <c r="A11" t="s">
        <v>44</v>
      </c>
      <c r="B11" t="s">
        <v>33</v>
      </c>
      <c r="C11" t="b">
        <f>TRUE()</f>
        <v>1</v>
      </c>
      <c r="E11" t="b">
        <v>1</v>
      </c>
    </row>
    <row r="12" spans="1:5" ht="45.75">
      <c r="A12" t="s">
        <v>45</v>
      </c>
      <c r="B12" s="4" t="s">
        <v>214</v>
      </c>
      <c r="C12" t="b">
        <f>FALSE()</f>
        <v>0</v>
      </c>
      <c r="E12" t="b">
        <v>0</v>
      </c>
    </row>
    <row r="13" spans="1:5">
      <c r="A13" t="s">
        <v>47</v>
      </c>
      <c r="B13" t="s">
        <v>223</v>
      </c>
      <c r="C13" t="b">
        <f>FALSE()</f>
        <v>0</v>
      </c>
      <c r="E13" t="b">
        <v>0</v>
      </c>
    </row>
    <row r="14" spans="1:5">
      <c r="A14" t="s">
        <v>49</v>
      </c>
      <c r="B14" t="s">
        <v>50</v>
      </c>
      <c r="C14" t="b">
        <f>TRUE()</f>
        <v>1</v>
      </c>
      <c r="E14" t="b">
        <v>1</v>
      </c>
    </row>
    <row r="15" spans="1:5">
      <c r="A15" t="s">
        <v>51</v>
      </c>
      <c r="B15" t="s">
        <v>146</v>
      </c>
      <c r="C15" t="b">
        <f>TRUE()</f>
        <v>1</v>
      </c>
      <c r="E15" t="b">
        <v>1</v>
      </c>
    </row>
    <row r="16" spans="1:5">
      <c r="A16" t="s">
        <v>53</v>
      </c>
      <c r="B16" t="s">
        <v>177</v>
      </c>
      <c r="C16" t="b">
        <f>TRUE()</f>
        <v>1</v>
      </c>
      <c r="E16" t="b">
        <v>1</v>
      </c>
    </row>
    <row r="17" spans="1:5">
      <c r="A17" t="s">
        <v>55</v>
      </c>
      <c r="B17" t="s">
        <v>33</v>
      </c>
      <c r="C17" t="b">
        <f>TRUE()</f>
        <v>1</v>
      </c>
      <c r="E17" t="b">
        <v>1</v>
      </c>
    </row>
    <row r="18" spans="1:5" ht="45.75">
      <c r="A18" t="s">
        <v>56</v>
      </c>
      <c r="B18" s="4" t="s">
        <v>224</v>
      </c>
      <c r="C18" t="b">
        <f>FALSE()</f>
        <v>0</v>
      </c>
      <c r="E18" t="b">
        <v>0</v>
      </c>
    </row>
    <row r="19" spans="1:5">
      <c r="A19" t="s">
        <v>58</v>
      </c>
      <c r="B19" t="s">
        <v>154</v>
      </c>
      <c r="C19" t="b">
        <f>FALSE()</f>
        <v>0</v>
      </c>
      <c r="E19" t="b">
        <v>0</v>
      </c>
    </row>
    <row r="20" spans="1:5">
      <c r="A20" t="s">
        <v>60</v>
      </c>
      <c r="B20" t="s">
        <v>61</v>
      </c>
      <c r="C20" t="b">
        <f>TRUE()</f>
        <v>1</v>
      </c>
      <c r="E20" t="b"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v>1</v>
      </c>
    </row>
    <row r="22" spans="1:5">
      <c r="A22" t="s">
        <v>64</v>
      </c>
      <c r="B22" t="s">
        <v>225</v>
      </c>
      <c r="C22" t="b">
        <f>TRUE()</f>
        <v>1</v>
      </c>
      <c r="E22" t="b">
        <v>1</v>
      </c>
    </row>
    <row r="23" spans="1:5">
      <c r="A23" t="s">
        <v>66</v>
      </c>
      <c r="B23" t="s">
        <v>33</v>
      </c>
      <c r="C23" t="b">
        <f>TRUE()</f>
        <v>1</v>
      </c>
      <c r="E23" t="b">
        <v>1</v>
      </c>
    </row>
    <row r="24" spans="1:5">
      <c r="A24" t="s">
        <v>67</v>
      </c>
      <c r="B24" t="s">
        <v>152</v>
      </c>
      <c r="C24" t="b">
        <f>TRUE()</f>
        <v>1</v>
      </c>
      <c r="E24" t="b">
        <f>TRUE()</f>
        <v>1</v>
      </c>
    </row>
    <row r="25" spans="1:5">
      <c r="A25" t="s">
        <v>69</v>
      </c>
      <c r="B25" t="s">
        <v>137</v>
      </c>
      <c r="C25" t="b">
        <f>TRUE()</f>
        <v>1</v>
      </c>
      <c r="E25" t="b">
        <f>TRUE()</f>
        <v>1</v>
      </c>
    </row>
    <row r="26" spans="1:5">
      <c r="A26" t="s">
        <v>71</v>
      </c>
      <c r="B26" t="s">
        <v>226</v>
      </c>
      <c r="C26" t="b">
        <f>TRUE()</f>
        <v>1</v>
      </c>
      <c r="E26" t="b">
        <v>1</v>
      </c>
    </row>
    <row r="27" spans="1:5">
      <c r="A27" t="s">
        <v>73</v>
      </c>
      <c r="B27" t="s">
        <v>217</v>
      </c>
      <c r="C27" t="b">
        <f>TRUE()</f>
        <v>1</v>
      </c>
      <c r="E27" t="b">
        <v>1</v>
      </c>
    </row>
    <row r="28" spans="1:5">
      <c r="A28" t="s">
        <v>75</v>
      </c>
      <c r="B28" t="s">
        <v>76</v>
      </c>
      <c r="C28" t="b">
        <f>TRUE()</f>
        <v>1</v>
      </c>
      <c r="E28" t="b">
        <v>1</v>
      </c>
    </row>
    <row r="29" spans="1:5">
      <c r="A29" t="s">
        <v>77</v>
      </c>
      <c r="B29" t="s">
        <v>33</v>
      </c>
      <c r="C29" t="b">
        <f>TRUE()</f>
        <v>1</v>
      </c>
      <c r="E29" t="b">
        <v>1</v>
      </c>
    </row>
    <row r="30" spans="1:5">
      <c r="A30" t="s">
        <v>79</v>
      </c>
      <c r="B30" t="s">
        <v>218</v>
      </c>
      <c r="C30" t="s">
        <v>8</v>
      </c>
      <c r="E30" t="s">
        <v>8</v>
      </c>
    </row>
    <row r="31" spans="1:5">
      <c r="A31" t="s">
        <v>81</v>
      </c>
      <c r="B31" t="s">
        <v>227</v>
      </c>
      <c r="C31" t="b">
        <f>TRUE()</f>
        <v>1</v>
      </c>
      <c r="E31" t="b">
        <v>1</v>
      </c>
    </row>
    <row r="32" spans="1:5">
      <c r="A32" t="s">
        <v>83</v>
      </c>
      <c r="B32" t="s">
        <v>155</v>
      </c>
      <c r="C32" t="b">
        <f>TRUE()</f>
        <v>1</v>
      </c>
      <c r="E32" t="b">
        <v>1</v>
      </c>
    </row>
    <row r="33" spans="1:5">
      <c r="A33" t="s">
        <v>85</v>
      </c>
      <c r="B33" t="s">
        <v>86</v>
      </c>
      <c r="C33" t="b">
        <f>TRUE()</f>
        <v>1</v>
      </c>
      <c r="E33" t="b">
        <v>1</v>
      </c>
    </row>
    <row r="34" spans="1:5">
      <c r="A34" t="s">
        <v>87</v>
      </c>
      <c r="B34" t="s">
        <v>88</v>
      </c>
      <c r="C34" t="b">
        <f>TRUE()</f>
        <v>1</v>
      </c>
      <c r="E34" t="b">
        <v>1</v>
      </c>
    </row>
    <row r="35" spans="1:5">
      <c r="A35" t="s">
        <v>89</v>
      </c>
      <c r="B35" t="s">
        <v>102</v>
      </c>
      <c r="C35" t="b">
        <f>TRUE()</f>
        <v>1</v>
      </c>
      <c r="E35" t="b">
        <v>1</v>
      </c>
    </row>
    <row r="36" spans="1:5">
      <c r="A36" t="s">
        <v>91</v>
      </c>
      <c r="B36" t="s">
        <v>220</v>
      </c>
      <c r="C36" t="b">
        <f>TRUE()</f>
        <v>1</v>
      </c>
      <c r="E36" t="b">
        <v>1</v>
      </c>
    </row>
    <row r="37" spans="1:5">
      <c r="A37" t="s">
        <v>93</v>
      </c>
      <c r="B37" t="s">
        <v>228</v>
      </c>
      <c r="C37" t="b">
        <f>TRUE()</f>
        <v>1</v>
      </c>
      <c r="E37" t="b">
        <v>1</v>
      </c>
    </row>
    <row r="38" spans="1:5">
      <c r="A38" t="s">
        <v>95</v>
      </c>
      <c r="B38" t="s">
        <v>186</v>
      </c>
      <c r="C38" t="b">
        <f>TRUE()</f>
        <v>1</v>
      </c>
      <c r="E38" t="b">
        <v>1</v>
      </c>
    </row>
    <row r="39" spans="1:5">
      <c r="A39" t="s">
        <v>97</v>
      </c>
      <c r="B39" t="s">
        <v>98</v>
      </c>
      <c r="C39" t="b">
        <f>TRUE()</f>
        <v>1</v>
      </c>
      <c r="E39" t="b">
        <v>1</v>
      </c>
    </row>
    <row r="40" spans="1:5">
      <c r="A40" t="s">
        <v>99</v>
      </c>
      <c r="B40" t="s">
        <v>100</v>
      </c>
      <c r="C40" t="b">
        <f>TRUE()</f>
        <v>1</v>
      </c>
      <c r="E40" t="b">
        <v>1</v>
      </c>
    </row>
    <row r="41" spans="1:5">
      <c r="A41" t="s">
        <v>101</v>
      </c>
      <c r="B41" t="s">
        <v>90</v>
      </c>
      <c r="C41" t="b">
        <f>TRUE()</f>
        <v>1</v>
      </c>
      <c r="E41" t="b">
        <v>1</v>
      </c>
    </row>
    <row r="42" spans="1:5">
      <c r="A42" t="s">
        <v>103</v>
      </c>
      <c r="B42" t="s">
        <v>152</v>
      </c>
      <c r="C42" t="b">
        <f>TRUE()</f>
        <v>1</v>
      </c>
      <c r="E42" t="b">
        <v>1</v>
      </c>
    </row>
    <row r="43" spans="1:5">
      <c r="A43" t="s">
        <v>105</v>
      </c>
      <c r="B43" t="s">
        <v>137</v>
      </c>
      <c r="C43" t="b">
        <f>TRUE()</f>
        <v>1</v>
      </c>
      <c r="E43" t="b">
        <v>1</v>
      </c>
    </row>
    <row r="44" spans="1:5">
      <c r="A44" t="s">
        <v>107</v>
      </c>
      <c r="B44" t="s">
        <v>108</v>
      </c>
      <c r="C44" t="b">
        <f>TRUE()</f>
        <v>1</v>
      </c>
      <c r="E44" t="b">
        <v>1</v>
      </c>
    </row>
    <row r="45" spans="1:5">
      <c r="A45" t="s">
        <v>109</v>
      </c>
      <c r="B45" t="s">
        <v>191</v>
      </c>
      <c r="C45" t="b">
        <f>TRUE()</f>
        <v>1</v>
      </c>
      <c r="E45" t="b">
        <v>1</v>
      </c>
    </row>
    <row r="46" spans="1:5">
      <c r="A46" t="s">
        <v>111</v>
      </c>
      <c r="B46" t="s">
        <v>43</v>
      </c>
      <c r="C46" t="b">
        <f>TRUE()</f>
        <v>1</v>
      </c>
      <c r="E46" t="b">
        <v>1</v>
      </c>
    </row>
    <row r="47" spans="1:5">
      <c r="A47" t="s">
        <v>112</v>
      </c>
      <c r="B47" t="s">
        <v>90</v>
      </c>
      <c r="C47" t="b">
        <f>TRUE()</f>
        <v>1</v>
      </c>
      <c r="E47" t="b">
        <v>1</v>
      </c>
    </row>
    <row r="48" spans="1:5">
      <c r="A48" t="s">
        <v>113</v>
      </c>
      <c r="B48" t="s">
        <v>114</v>
      </c>
      <c r="C48" t="b">
        <f>TRUE()</f>
        <v>1</v>
      </c>
      <c r="E48" t="b">
        <v>1</v>
      </c>
    </row>
    <row r="49" spans="1:5">
      <c r="A49" t="s">
        <v>115</v>
      </c>
      <c r="B49" t="s">
        <v>116</v>
      </c>
      <c r="C49" t="b">
        <f>TRUE()</f>
        <v>1</v>
      </c>
      <c r="E49" t="b">
        <v>1</v>
      </c>
    </row>
    <row r="50" spans="1:5">
      <c r="A50" t="s">
        <v>117</v>
      </c>
      <c r="B50" t="s">
        <v>229</v>
      </c>
      <c r="C50" t="b">
        <f>TRUE()</f>
        <v>1</v>
      </c>
      <c r="E50" t="b">
        <v>1</v>
      </c>
    </row>
    <row r="51" spans="1:5">
      <c r="A51" t="s">
        <v>119</v>
      </c>
      <c r="B51" t="s">
        <v>193</v>
      </c>
      <c r="C51" t="b">
        <f>TRUE()</f>
        <v>1</v>
      </c>
      <c r="E51" t="b">
        <v>1</v>
      </c>
    </row>
    <row r="52" spans="1:5">
      <c r="A52" t="s">
        <v>121</v>
      </c>
      <c r="B52" t="s">
        <v>122</v>
      </c>
      <c r="C52" t="b">
        <f>TRUE()</f>
        <v>1</v>
      </c>
      <c r="E52" t="b">
        <v>1</v>
      </c>
    </row>
    <row r="53" spans="1:5">
      <c r="A53" t="s">
        <v>123</v>
      </c>
      <c r="B53" t="s">
        <v>102</v>
      </c>
      <c r="C53" t="b">
        <f>TRUE()</f>
        <v>1</v>
      </c>
      <c r="E53" t="b">
        <v>1</v>
      </c>
    </row>
    <row r="54" spans="1:5">
      <c r="A54" t="s">
        <v>124</v>
      </c>
      <c r="B54" t="s">
        <v>125</v>
      </c>
      <c r="C54" t="b">
        <f>TRUE()</f>
        <v>1</v>
      </c>
      <c r="E54" t="b">
        <v>1</v>
      </c>
    </row>
    <row r="55" spans="1:5">
      <c r="A55" t="s">
        <v>126</v>
      </c>
      <c r="B55" t="s">
        <v>137</v>
      </c>
      <c r="C55" t="b">
        <f>FALSE()</f>
        <v>0</v>
      </c>
      <c r="E55" t="b">
        <v>0</v>
      </c>
    </row>
    <row r="56" spans="1:5">
      <c r="A56" t="s">
        <v>127</v>
      </c>
      <c r="B56" t="s">
        <v>128</v>
      </c>
      <c r="C56" t="b">
        <f>TRUE()</f>
        <v>1</v>
      </c>
      <c r="E56" t="b">
        <v>1</v>
      </c>
    </row>
    <row r="57" spans="1:5">
      <c r="A57" t="s">
        <v>129</v>
      </c>
      <c r="B57" t="s">
        <v>130</v>
      </c>
      <c r="C57" t="b">
        <f>TRUE()</f>
        <v>1</v>
      </c>
      <c r="E57" t="b">
        <v>1</v>
      </c>
    </row>
    <row r="58" spans="1:5">
      <c r="A58" t="s">
        <v>131</v>
      </c>
      <c r="B58" t="s">
        <v>132</v>
      </c>
      <c r="C58" t="b">
        <f>TRUE()</f>
        <v>1</v>
      </c>
      <c r="E58" t="b">
        <v>1</v>
      </c>
    </row>
    <row r="59" spans="1:5">
      <c r="A59" t="s">
        <v>133</v>
      </c>
      <c r="B59" t="s">
        <v>90</v>
      </c>
      <c r="C59" t="b">
        <f>TRUE()</f>
        <v>1</v>
      </c>
      <c r="E59" t="b">
        <v>1</v>
      </c>
    </row>
    <row r="60" spans="1:5">
      <c r="A60" t="s">
        <v>134</v>
      </c>
      <c r="B60" t="s">
        <v>222</v>
      </c>
      <c r="C60" t="b">
        <f>TRUE()</f>
        <v>1</v>
      </c>
      <c r="E60" t="b">
        <f>TRUE()</f>
        <v>1</v>
      </c>
    </row>
    <row r="61" spans="1:5">
      <c r="A61" t="s">
        <v>136</v>
      </c>
      <c r="B61" t="s">
        <v>137</v>
      </c>
      <c r="C61" t="b">
        <f>TRUE()</f>
        <v>1</v>
      </c>
      <c r="E61" t="b">
        <f>TRUE()</f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1"/>
  <sheetViews>
    <sheetView topLeftCell="B1" zoomScaleNormal="100" workbookViewId="0">
      <selection activeCell="E1" sqref="E1"/>
    </sheetView>
  </sheetViews>
  <sheetFormatPr defaultColWidth="8.5703125" defaultRowHeight="15"/>
  <cols>
    <col min="1" max="1" width="41.140625" customWidth="1"/>
    <col min="2" max="2" width="26.85546875" customWidth="1"/>
    <col min="3" max="3" width="16.7109375" customWidth="1"/>
    <col min="4" max="5" width="12.7109375" customWidth="1"/>
    <col min="8" max="8" width="10.5703125" customWidth="1"/>
    <col min="9" max="9" width="14.7109375" customWidth="1"/>
  </cols>
  <sheetData>
    <row r="1" spans="1:8" ht="16.350000000000001">
      <c r="A1" s="2" t="s">
        <v>21</v>
      </c>
      <c r="B1" s="2" t="s">
        <v>22</v>
      </c>
      <c r="C1" t="s">
        <v>23</v>
      </c>
      <c r="D1" t="s">
        <v>138</v>
      </c>
      <c r="E1" s="1" t="s">
        <v>25</v>
      </c>
      <c r="G1" s="6"/>
      <c r="H1" s="6"/>
    </row>
    <row r="2" spans="1:8" ht="16.350000000000001">
      <c r="A2" t="s">
        <v>26</v>
      </c>
      <c r="B2" t="s">
        <v>27</v>
      </c>
      <c r="C2" t="b">
        <f>TRUE()</f>
        <v>1</v>
      </c>
      <c r="E2" s="5" t="b">
        <v>1</v>
      </c>
      <c r="G2" s="4"/>
      <c r="H2" s="7"/>
    </row>
    <row r="3" spans="1:8" ht="16.350000000000001">
      <c r="A3" t="s">
        <v>28</v>
      </c>
      <c r="B3" t="s">
        <v>29</v>
      </c>
      <c r="C3" t="b">
        <f>TRUE()</f>
        <v>1</v>
      </c>
      <c r="E3" s="5" t="b">
        <v>1</v>
      </c>
      <c r="G3" s="4"/>
      <c r="H3" s="7"/>
    </row>
    <row r="4" spans="1:8" ht="16.350000000000001">
      <c r="A4" t="s">
        <v>30</v>
      </c>
      <c r="B4" t="s">
        <v>31</v>
      </c>
      <c r="C4" t="b">
        <f>TRUE()</f>
        <v>1</v>
      </c>
      <c r="E4" s="5" t="b">
        <v>1</v>
      </c>
      <c r="G4" s="4"/>
      <c r="H4" s="7"/>
    </row>
    <row r="5" spans="1:8" ht="16.350000000000001">
      <c r="A5" t="s">
        <v>32</v>
      </c>
      <c r="B5" t="s">
        <v>33</v>
      </c>
      <c r="C5" t="b">
        <f>TRUE()</f>
        <v>1</v>
      </c>
      <c r="E5" s="5" t="b">
        <v>1</v>
      </c>
      <c r="G5" s="4"/>
      <c r="H5" s="7"/>
    </row>
    <row r="6" spans="1:8">
      <c r="A6" t="s">
        <v>34</v>
      </c>
      <c r="B6" t="s">
        <v>230</v>
      </c>
      <c r="C6" t="s">
        <v>8</v>
      </c>
      <c r="E6" t="s">
        <v>8</v>
      </c>
      <c r="G6" s="4"/>
      <c r="H6" s="8"/>
    </row>
    <row r="7" spans="1:8" ht="16.350000000000001">
      <c r="A7" t="s">
        <v>36</v>
      </c>
      <c r="B7" t="s">
        <v>213</v>
      </c>
      <c r="C7" t="b">
        <f>TRUE()</f>
        <v>1</v>
      </c>
      <c r="E7" s="5" t="b">
        <v>1</v>
      </c>
      <c r="G7" s="4"/>
      <c r="H7" s="7"/>
    </row>
    <row r="8" spans="1:8" ht="16.350000000000001">
      <c r="A8" t="s">
        <v>38</v>
      </c>
      <c r="B8" t="s">
        <v>39</v>
      </c>
      <c r="C8" t="b">
        <f>TRUE()</f>
        <v>1</v>
      </c>
      <c r="E8" s="5" t="b">
        <v>1</v>
      </c>
      <c r="G8" s="4"/>
      <c r="H8" s="7"/>
    </row>
    <row r="9" spans="1:8" ht="16.350000000000001">
      <c r="A9" t="s">
        <v>40</v>
      </c>
      <c r="B9" t="s">
        <v>41</v>
      </c>
      <c r="C9" t="b">
        <f>TRUE()</f>
        <v>1</v>
      </c>
      <c r="E9" s="5" t="b">
        <v>1</v>
      </c>
      <c r="G9" s="4"/>
      <c r="H9" s="7"/>
    </row>
    <row r="10" spans="1:8" ht="16.350000000000001">
      <c r="A10" t="s">
        <v>42</v>
      </c>
      <c r="B10" t="s">
        <v>43</v>
      </c>
      <c r="C10" t="b">
        <f>TRUE()</f>
        <v>1</v>
      </c>
      <c r="E10" s="5" t="b">
        <v>1</v>
      </c>
      <c r="G10" s="4"/>
      <c r="H10" s="7"/>
    </row>
    <row r="11" spans="1:8" ht="16.350000000000001">
      <c r="A11" t="s">
        <v>44</v>
      </c>
      <c r="B11" t="s">
        <v>33</v>
      </c>
      <c r="C11" t="b">
        <f>TRUE()</f>
        <v>1</v>
      </c>
      <c r="E11" s="5" t="b">
        <v>1</v>
      </c>
      <c r="G11" s="4"/>
      <c r="H11" s="7"/>
    </row>
    <row r="12" spans="1:8" ht="46.35">
      <c r="A12" t="s">
        <v>45</v>
      </c>
      <c r="B12" s="4" t="s">
        <v>214</v>
      </c>
      <c r="C12" t="b">
        <f>FALSE()</f>
        <v>0</v>
      </c>
      <c r="E12" s="5" t="b">
        <v>0</v>
      </c>
      <c r="G12" s="4"/>
      <c r="H12" s="7"/>
    </row>
    <row r="13" spans="1:8" ht="16.350000000000001">
      <c r="A13" t="s">
        <v>47</v>
      </c>
      <c r="B13" t="s">
        <v>48</v>
      </c>
      <c r="C13" t="b">
        <f>TRUE()</f>
        <v>1</v>
      </c>
      <c r="E13" s="5" t="b">
        <v>1</v>
      </c>
      <c r="G13" s="4"/>
      <c r="H13" s="7"/>
    </row>
    <row r="14" spans="1:8" ht="16.350000000000001">
      <c r="A14" t="s">
        <v>49</v>
      </c>
      <c r="B14" t="s">
        <v>50</v>
      </c>
      <c r="C14" t="b">
        <f>TRUE()</f>
        <v>1</v>
      </c>
      <c r="E14" s="5" t="b">
        <v>1</v>
      </c>
      <c r="G14" s="4"/>
      <c r="H14" s="7"/>
    </row>
    <row r="15" spans="1:8" ht="16.350000000000001">
      <c r="A15" t="s">
        <v>51</v>
      </c>
      <c r="B15" t="s">
        <v>146</v>
      </c>
      <c r="C15" t="b">
        <f>TRUE()</f>
        <v>1</v>
      </c>
      <c r="E15" s="5" t="b">
        <v>1</v>
      </c>
      <c r="G15" s="4"/>
      <c r="H15" s="7"/>
    </row>
    <row r="16" spans="1:8" ht="16.350000000000001">
      <c r="A16" t="s">
        <v>53</v>
      </c>
      <c r="B16" t="s">
        <v>54</v>
      </c>
      <c r="C16" t="b">
        <f>TRUE()</f>
        <v>1</v>
      </c>
      <c r="E16" s="5" t="b">
        <v>1</v>
      </c>
      <c r="G16" s="4"/>
      <c r="H16" s="7"/>
    </row>
    <row r="17" spans="1:8" ht="16.350000000000001">
      <c r="A17" t="s">
        <v>55</v>
      </c>
      <c r="B17" t="s">
        <v>33</v>
      </c>
      <c r="C17" t="b">
        <f>TRUE()</f>
        <v>1</v>
      </c>
      <c r="E17" s="5" t="b">
        <v>1</v>
      </c>
      <c r="G17" s="4"/>
      <c r="H17" s="7"/>
    </row>
    <row r="18" spans="1:8" ht="30.75">
      <c r="A18" t="s">
        <v>56</v>
      </c>
      <c r="B18" s="4" t="s">
        <v>231</v>
      </c>
      <c r="C18" t="s">
        <v>8</v>
      </c>
      <c r="E18" t="s">
        <v>8</v>
      </c>
      <c r="G18" s="4"/>
      <c r="H18" s="8"/>
    </row>
    <row r="19" spans="1:8" ht="16.350000000000001">
      <c r="A19" t="s">
        <v>58</v>
      </c>
      <c r="B19" t="s">
        <v>59</v>
      </c>
      <c r="C19" t="b">
        <f>TRUE()</f>
        <v>1</v>
      </c>
      <c r="E19" s="5" t="b">
        <v>1</v>
      </c>
      <c r="G19" s="4"/>
      <c r="H19" s="7"/>
    </row>
    <row r="20" spans="1:8" ht="16.350000000000001">
      <c r="A20" t="s">
        <v>60</v>
      </c>
      <c r="B20" t="s">
        <v>61</v>
      </c>
      <c r="C20" t="b">
        <f>TRUE()</f>
        <v>1</v>
      </c>
      <c r="E20" s="5" t="b">
        <v>1</v>
      </c>
      <c r="G20" s="4"/>
      <c r="H20" s="7"/>
    </row>
    <row r="21" spans="1:8" ht="16.350000000000001">
      <c r="A21" t="s">
        <v>62</v>
      </c>
      <c r="B21" t="s">
        <v>151</v>
      </c>
      <c r="C21" t="b">
        <f>TRUE()</f>
        <v>1</v>
      </c>
      <c r="E21" s="5" t="b">
        <v>1</v>
      </c>
      <c r="G21" s="4"/>
      <c r="H21" s="7"/>
    </row>
    <row r="22" spans="1:8" ht="16.350000000000001">
      <c r="A22" t="s">
        <v>64</v>
      </c>
      <c r="B22" t="s">
        <v>65</v>
      </c>
      <c r="C22" t="b">
        <f>TRUE()</f>
        <v>1</v>
      </c>
      <c r="E22" s="5" t="b">
        <v>1</v>
      </c>
      <c r="G22" s="4"/>
      <c r="H22" s="7"/>
    </row>
    <row r="23" spans="1:8" ht="16.350000000000001">
      <c r="A23" t="s">
        <v>66</v>
      </c>
      <c r="B23" t="s">
        <v>33</v>
      </c>
      <c r="C23" t="b">
        <f>TRUE()</f>
        <v>1</v>
      </c>
      <c r="E23" s="5" t="b">
        <v>1</v>
      </c>
      <c r="G23" s="4"/>
      <c r="H23" s="7"/>
    </row>
    <row r="24" spans="1:8" ht="16.350000000000001">
      <c r="A24" t="s">
        <v>67</v>
      </c>
      <c r="B24" t="s">
        <v>152</v>
      </c>
      <c r="C24" t="b">
        <f>TRUE()</f>
        <v>1</v>
      </c>
      <c r="E24" s="5" t="b">
        <v>1</v>
      </c>
      <c r="G24" s="4"/>
      <c r="H24" s="7"/>
    </row>
    <row r="25" spans="1:8" ht="16.350000000000001">
      <c r="A25" t="s">
        <v>69</v>
      </c>
      <c r="B25" t="s">
        <v>137</v>
      </c>
      <c r="C25" t="b">
        <f>TRUE()</f>
        <v>1</v>
      </c>
      <c r="E25" s="5" t="b">
        <v>1</v>
      </c>
      <c r="G25" s="4"/>
      <c r="H25" s="7"/>
    </row>
    <row r="26" spans="1:8" ht="16.350000000000001">
      <c r="A26" t="s">
        <v>71</v>
      </c>
      <c r="B26" t="s">
        <v>72</v>
      </c>
      <c r="C26" t="b">
        <f>TRUE()</f>
        <v>1</v>
      </c>
      <c r="E26" s="5" t="b">
        <v>1</v>
      </c>
      <c r="G26" s="4"/>
      <c r="H26" s="7"/>
    </row>
    <row r="27" spans="1:8" ht="16.350000000000001">
      <c r="A27" t="s">
        <v>73</v>
      </c>
      <c r="B27" t="s">
        <v>74</v>
      </c>
      <c r="C27" t="b">
        <f>TRUE()</f>
        <v>1</v>
      </c>
      <c r="E27" s="5" t="b">
        <v>1</v>
      </c>
      <c r="G27" s="4"/>
      <c r="H27" s="7"/>
    </row>
    <row r="28" spans="1:8" ht="16.350000000000001">
      <c r="A28" t="s">
        <v>75</v>
      </c>
      <c r="B28" t="s">
        <v>76</v>
      </c>
      <c r="C28" t="b">
        <f>TRUE()</f>
        <v>1</v>
      </c>
      <c r="E28" s="5" t="b">
        <v>1</v>
      </c>
      <c r="G28" s="4"/>
      <c r="H28" s="7"/>
    </row>
    <row r="29" spans="1:8" ht="16.350000000000001">
      <c r="A29" t="s">
        <v>77</v>
      </c>
      <c r="B29" t="s">
        <v>33</v>
      </c>
      <c r="C29" t="b">
        <f>TRUE()</f>
        <v>1</v>
      </c>
      <c r="E29" s="5" t="b">
        <v>1</v>
      </c>
      <c r="G29" s="4"/>
      <c r="H29" s="7"/>
    </row>
    <row r="30" spans="1:8">
      <c r="A30" t="s">
        <v>79</v>
      </c>
      <c r="B30" t="s">
        <v>218</v>
      </c>
      <c r="C30" t="s">
        <v>8</v>
      </c>
      <c r="E30" t="s">
        <v>8</v>
      </c>
      <c r="G30" s="4"/>
      <c r="H30" s="8"/>
    </row>
    <row r="31" spans="1:8" ht="16.350000000000001">
      <c r="A31" t="s">
        <v>81</v>
      </c>
      <c r="B31" t="s">
        <v>219</v>
      </c>
      <c r="C31" t="b">
        <f>TRUE()</f>
        <v>1</v>
      </c>
      <c r="E31" s="5" t="b">
        <v>1</v>
      </c>
      <c r="G31" s="4"/>
      <c r="H31" s="7"/>
    </row>
    <row r="32" spans="1:8" ht="16.350000000000001">
      <c r="A32" t="s">
        <v>83</v>
      </c>
      <c r="B32" t="s">
        <v>155</v>
      </c>
      <c r="C32" t="b">
        <f>TRUE()</f>
        <v>1</v>
      </c>
      <c r="E32" s="5" t="b">
        <v>1</v>
      </c>
      <c r="G32" s="4"/>
      <c r="H32" s="7"/>
    </row>
    <row r="33" spans="1:8" ht="16.350000000000001">
      <c r="A33" t="s">
        <v>85</v>
      </c>
      <c r="B33" t="s">
        <v>86</v>
      </c>
      <c r="C33" t="b">
        <f>TRUE()</f>
        <v>1</v>
      </c>
      <c r="E33" s="5" t="b">
        <v>1</v>
      </c>
      <c r="G33" s="4"/>
      <c r="H33" s="7"/>
    </row>
    <row r="34" spans="1:8" ht="16.350000000000001">
      <c r="A34" t="s">
        <v>87</v>
      </c>
      <c r="B34" t="s">
        <v>88</v>
      </c>
      <c r="C34" t="b">
        <f>TRUE()</f>
        <v>1</v>
      </c>
      <c r="E34" s="5" t="b">
        <v>1</v>
      </c>
      <c r="G34" s="4"/>
      <c r="H34" s="7"/>
    </row>
    <row r="35" spans="1:8" ht="16.350000000000001">
      <c r="A35" t="s">
        <v>89</v>
      </c>
      <c r="B35" t="s">
        <v>102</v>
      </c>
      <c r="C35" t="b">
        <f>TRUE()</f>
        <v>1</v>
      </c>
      <c r="E35" s="5" t="b">
        <v>1</v>
      </c>
      <c r="G35" s="4"/>
      <c r="H35" s="7"/>
    </row>
    <row r="36" spans="1:8">
      <c r="A36" t="s">
        <v>91</v>
      </c>
      <c r="B36" t="s">
        <v>232</v>
      </c>
      <c r="C36" t="s">
        <v>8</v>
      </c>
      <c r="E36" s="9" t="b">
        <v>0</v>
      </c>
      <c r="G36" s="4"/>
      <c r="H36" s="7"/>
    </row>
    <row r="37" spans="1:8" ht="16.350000000000001">
      <c r="A37" t="s">
        <v>93</v>
      </c>
      <c r="B37" t="s">
        <v>137</v>
      </c>
      <c r="C37" t="b">
        <f>TRUE()</f>
        <v>1</v>
      </c>
      <c r="E37" s="5" t="b">
        <v>1</v>
      </c>
      <c r="G37" s="4"/>
      <c r="H37" s="7"/>
    </row>
    <row r="38" spans="1:8" ht="16.350000000000001">
      <c r="A38" t="s">
        <v>95</v>
      </c>
      <c r="B38" t="s">
        <v>186</v>
      </c>
      <c r="C38" t="b">
        <f>TRUE()</f>
        <v>1</v>
      </c>
      <c r="E38" s="5" t="b">
        <v>1</v>
      </c>
      <c r="G38" s="4"/>
      <c r="H38" s="7"/>
    </row>
    <row r="39" spans="1:8" ht="16.350000000000001">
      <c r="A39" t="s">
        <v>97</v>
      </c>
      <c r="B39" t="s">
        <v>98</v>
      </c>
      <c r="C39" t="b">
        <f>TRUE()</f>
        <v>1</v>
      </c>
      <c r="E39" s="5" t="b">
        <v>1</v>
      </c>
      <c r="G39" s="4"/>
      <c r="H39" s="7"/>
    </row>
    <row r="40" spans="1:8" ht="16.350000000000001">
      <c r="A40" t="s">
        <v>99</v>
      </c>
      <c r="B40" t="s">
        <v>100</v>
      </c>
      <c r="C40" t="b">
        <f>TRUE()</f>
        <v>1</v>
      </c>
      <c r="E40" s="5" t="b">
        <v>1</v>
      </c>
      <c r="G40" s="4"/>
      <c r="H40" s="7"/>
    </row>
    <row r="41" spans="1:8" ht="16.350000000000001">
      <c r="A41" t="s">
        <v>101</v>
      </c>
      <c r="B41" t="s">
        <v>90</v>
      </c>
      <c r="C41" t="b">
        <f>TRUE()</f>
        <v>1</v>
      </c>
      <c r="E41" s="5" t="b">
        <v>1</v>
      </c>
      <c r="G41" s="4"/>
      <c r="H41" s="7"/>
    </row>
    <row r="42" spans="1:8" ht="16.350000000000001">
      <c r="A42" t="s">
        <v>103</v>
      </c>
      <c r="B42" t="s">
        <v>152</v>
      </c>
      <c r="C42" t="b">
        <f>TRUE()</f>
        <v>1</v>
      </c>
      <c r="E42" s="5" t="b">
        <v>1</v>
      </c>
      <c r="G42" s="4"/>
      <c r="H42" s="7"/>
    </row>
    <row r="43" spans="1:8" ht="16.350000000000001">
      <c r="A43" t="s">
        <v>105</v>
      </c>
      <c r="B43" t="s">
        <v>137</v>
      </c>
      <c r="C43" t="b">
        <f>TRUE()</f>
        <v>1</v>
      </c>
      <c r="E43" s="5" t="b">
        <v>1</v>
      </c>
      <c r="G43" s="4"/>
      <c r="H43" s="7"/>
    </row>
    <row r="44" spans="1:8" ht="16.350000000000001">
      <c r="A44" t="s">
        <v>107</v>
      </c>
      <c r="B44" t="s">
        <v>108</v>
      </c>
      <c r="C44" t="b">
        <f>TRUE()</f>
        <v>1</v>
      </c>
      <c r="E44" s="5" t="b">
        <v>1</v>
      </c>
      <c r="G44" s="4"/>
      <c r="H44" s="7"/>
    </row>
    <row r="45" spans="1:8" ht="16.350000000000001">
      <c r="A45" t="s">
        <v>109</v>
      </c>
      <c r="B45" t="s">
        <v>191</v>
      </c>
      <c r="C45" t="b">
        <f>TRUE()</f>
        <v>1</v>
      </c>
      <c r="E45" s="5" t="b">
        <v>1</v>
      </c>
      <c r="G45" s="4"/>
      <c r="H45" s="7"/>
    </row>
    <row r="46" spans="1:8" ht="16.350000000000001">
      <c r="A46" t="s">
        <v>111</v>
      </c>
      <c r="B46" t="s">
        <v>43</v>
      </c>
      <c r="C46" t="b">
        <f>TRUE()</f>
        <v>1</v>
      </c>
      <c r="E46" s="5" t="b">
        <v>1</v>
      </c>
      <c r="G46" s="4"/>
      <c r="H46" s="7"/>
    </row>
    <row r="47" spans="1:8" ht="16.350000000000001">
      <c r="A47" t="s">
        <v>112</v>
      </c>
      <c r="B47" t="s">
        <v>90</v>
      </c>
      <c r="C47" t="b">
        <f>TRUE()</f>
        <v>1</v>
      </c>
      <c r="E47" s="5" t="b">
        <v>1</v>
      </c>
      <c r="G47" s="4"/>
      <c r="H47" s="7"/>
    </row>
    <row r="48" spans="1:8" ht="16.350000000000001">
      <c r="A48" t="s">
        <v>113</v>
      </c>
      <c r="B48" t="s">
        <v>114</v>
      </c>
      <c r="C48" t="b">
        <f>TRUE()</f>
        <v>1</v>
      </c>
      <c r="E48" s="5" t="b">
        <v>1</v>
      </c>
      <c r="G48" s="4"/>
      <c r="H48" s="7"/>
    </row>
    <row r="49" spans="1:8" ht="16.350000000000001">
      <c r="A49" t="s">
        <v>115</v>
      </c>
      <c r="B49" t="s">
        <v>116</v>
      </c>
      <c r="C49" t="b">
        <f>TRUE()</f>
        <v>1</v>
      </c>
      <c r="E49" s="5" t="b">
        <v>1</v>
      </c>
      <c r="G49" s="4"/>
      <c r="H49" s="7"/>
    </row>
    <row r="50" spans="1:8" ht="16.350000000000001">
      <c r="A50" t="s">
        <v>117</v>
      </c>
      <c r="B50" t="s">
        <v>233</v>
      </c>
      <c r="C50" t="b">
        <f>FALSE()</f>
        <v>0</v>
      </c>
      <c r="E50" s="5" t="b">
        <v>0</v>
      </c>
      <c r="G50" s="4"/>
      <c r="H50" s="7"/>
    </row>
    <row r="51" spans="1:8">
      <c r="A51" t="s">
        <v>119</v>
      </c>
      <c r="B51" t="s">
        <v>193</v>
      </c>
      <c r="C51" t="b">
        <f>TRUE()</f>
        <v>1</v>
      </c>
      <c r="E51" s="9" t="b">
        <v>1</v>
      </c>
      <c r="G51" s="4"/>
      <c r="H51" s="7"/>
    </row>
    <row r="52" spans="1:8">
      <c r="A52" t="s">
        <v>121</v>
      </c>
      <c r="B52" t="s">
        <v>122</v>
      </c>
      <c r="C52" t="b">
        <f>TRUE()</f>
        <v>1</v>
      </c>
      <c r="E52" s="9" t="b">
        <v>1</v>
      </c>
      <c r="G52" s="4"/>
      <c r="H52" s="7"/>
    </row>
    <row r="53" spans="1:8">
      <c r="A53" t="s">
        <v>123</v>
      </c>
      <c r="B53" t="s">
        <v>158</v>
      </c>
      <c r="C53" t="b">
        <f>TRUE()</f>
        <v>1</v>
      </c>
      <c r="E53" s="9" t="b">
        <v>1</v>
      </c>
      <c r="G53" s="4"/>
      <c r="H53" s="7"/>
    </row>
    <row r="54" spans="1:8">
      <c r="A54" t="s">
        <v>124</v>
      </c>
      <c r="B54" t="s">
        <v>125</v>
      </c>
      <c r="C54" t="b">
        <f>TRUE()</f>
        <v>1</v>
      </c>
      <c r="E54" s="9" t="b">
        <v>1</v>
      </c>
      <c r="G54" s="4"/>
      <c r="H54" s="7"/>
    </row>
    <row r="55" spans="1:8">
      <c r="A55" t="s">
        <v>126</v>
      </c>
      <c r="B55" t="s">
        <v>116</v>
      </c>
      <c r="C55" t="b">
        <f>TRUE()</f>
        <v>1</v>
      </c>
      <c r="E55" s="9" t="b">
        <v>1</v>
      </c>
      <c r="G55" s="4"/>
      <c r="H55" s="7"/>
    </row>
    <row r="56" spans="1:8">
      <c r="A56" t="s">
        <v>127</v>
      </c>
      <c r="B56" t="s">
        <v>128</v>
      </c>
      <c r="C56" t="b">
        <f>TRUE()</f>
        <v>1</v>
      </c>
      <c r="E56" s="9" t="b">
        <v>1</v>
      </c>
      <c r="G56" s="4"/>
      <c r="H56" s="7"/>
    </row>
    <row r="57" spans="1:8">
      <c r="A57" t="s">
        <v>129</v>
      </c>
      <c r="B57" t="s">
        <v>130</v>
      </c>
      <c r="C57" t="b">
        <f>TRUE()</f>
        <v>1</v>
      </c>
      <c r="E57" s="9" t="b">
        <v>1</v>
      </c>
      <c r="G57" s="4"/>
      <c r="H57" s="7"/>
    </row>
    <row r="58" spans="1:8">
      <c r="A58" t="s">
        <v>131</v>
      </c>
      <c r="B58" t="s">
        <v>132</v>
      </c>
      <c r="C58" t="b">
        <f>TRUE()</f>
        <v>1</v>
      </c>
      <c r="E58" s="9" t="b">
        <v>1</v>
      </c>
      <c r="G58" s="4"/>
      <c r="H58" s="7"/>
    </row>
    <row r="59" spans="1:8">
      <c r="A59" t="s">
        <v>133</v>
      </c>
      <c r="B59" t="s">
        <v>90</v>
      </c>
      <c r="C59" t="b">
        <f>TRUE()</f>
        <v>1</v>
      </c>
      <c r="E59" s="9" t="b">
        <v>1</v>
      </c>
      <c r="G59" s="4"/>
      <c r="H59" s="7"/>
    </row>
    <row r="60" spans="1:8">
      <c r="A60" t="s">
        <v>134</v>
      </c>
      <c r="B60" t="s">
        <v>234</v>
      </c>
      <c r="C60" t="b">
        <f>TRUE()</f>
        <v>1</v>
      </c>
      <c r="E60" t="s">
        <v>8</v>
      </c>
      <c r="G60" s="4"/>
      <c r="H60" s="8"/>
    </row>
    <row r="61" spans="1:8">
      <c r="A61" t="s">
        <v>136</v>
      </c>
      <c r="B61" t="s">
        <v>137</v>
      </c>
      <c r="C61" t="b">
        <f>TRUE()</f>
        <v>1</v>
      </c>
      <c r="E61" s="9" t="b">
        <v>1</v>
      </c>
      <c r="G61" s="4"/>
      <c r="H61" s="7"/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1"/>
  <sheetViews>
    <sheetView zoomScaleNormal="100" workbookViewId="0">
      <selection activeCell="H44" sqref="H44"/>
    </sheetView>
  </sheetViews>
  <sheetFormatPr defaultColWidth="8.5703125" defaultRowHeight="15"/>
  <cols>
    <col min="1" max="2" width="33" style="1" customWidth="1"/>
    <col min="3" max="4" width="8.5703125" style="1"/>
    <col min="5" max="5" width="14.7109375" style="1" customWidth="1"/>
    <col min="6" max="16384" width="8.5703125" style="1"/>
  </cols>
  <sheetData>
    <row r="1" spans="1:9">
      <c r="A1" s="2" t="s">
        <v>21</v>
      </c>
      <c r="B1" s="2" t="s">
        <v>22</v>
      </c>
      <c r="C1" s="1" t="s">
        <v>23</v>
      </c>
      <c r="D1" s="1" t="s">
        <v>138</v>
      </c>
      <c r="E1" s="1" t="s">
        <v>25</v>
      </c>
      <c r="G1" s="10"/>
      <c r="H1" s="6"/>
      <c r="I1" s="6"/>
    </row>
    <row r="2" spans="1:9">
      <c r="A2" s="1" t="s">
        <v>26</v>
      </c>
      <c r="B2" s="1" t="s">
        <v>143</v>
      </c>
      <c r="C2" s="1" t="b">
        <f>FALSE()</f>
        <v>0</v>
      </c>
      <c r="E2" s="11" t="b">
        <v>0</v>
      </c>
      <c r="G2" s="12"/>
      <c r="H2" s="4"/>
      <c r="I2" s="7"/>
    </row>
    <row r="3" spans="1:9">
      <c r="A3" s="1" t="s">
        <v>28</v>
      </c>
      <c r="B3" s="1" t="s">
        <v>29</v>
      </c>
      <c r="C3" s="1" t="b">
        <f>TRUE()</f>
        <v>1</v>
      </c>
      <c r="E3" s="11" t="b">
        <v>1</v>
      </c>
      <c r="G3" s="12"/>
      <c r="H3" s="4"/>
      <c r="I3" s="7"/>
    </row>
    <row r="4" spans="1:9">
      <c r="A4" s="1" t="s">
        <v>30</v>
      </c>
      <c r="B4" s="1" t="s">
        <v>31</v>
      </c>
      <c r="C4" s="1" t="b">
        <f>TRUE()</f>
        <v>1</v>
      </c>
      <c r="E4" s="11" t="b">
        <v>1</v>
      </c>
      <c r="G4" s="12"/>
      <c r="H4" s="4"/>
      <c r="I4" s="7"/>
    </row>
    <row r="5" spans="1:9">
      <c r="A5" s="1" t="s">
        <v>32</v>
      </c>
      <c r="B5" s="1" t="s">
        <v>140</v>
      </c>
      <c r="C5" s="1" t="b">
        <f>TRUE()</f>
        <v>1</v>
      </c>
      <c r="E5" s="11" t="b">
        <v>1</v>
      </c>
      <c r="G5" s="12"/>
      <c r="H5" s="4"/>
      <c r="I5" s="7"/>
    </row>
    <row r="6" spans="1:9">
      <c r="A6" s="1" t="s">
        <v>34</v>
      </c>
      <c r="B6" s="1" t="s">
        <v>212</v>
      </c>
      <c r="C6" s="1" t="s">
        <v>8</v>
      </c>
      <c r="E6" s="1" t="s">
        <v>8</v>
      </c>
      <c r="G6" s="12"/>
      <c r="H6" s="4"/>
      <c r="I6" s="7"/>
    </row>
    <row r="7" spans="1:9">
      <c r="A7" s="1" t="s">
        <v>36</v>
      </c>
      <c r="B7" s="1" t="s">
        <v>149</v>
      </c>
      <c r="C7" s="1" t="b">
        <f>FALSE()</f>
        <v>0</v>
      </c>
      <c r="E7" s="11" t="b">
        <v>0</v>
      </c>
      <c r="G7" s="12"/>
      <c r="H7" s="4"/>
      <c r="I7" s="7"/>
    </row>
    <row r="8" spans="1:9">
      <c r="A8" s="1" t="s">
        <v>38</v>
      </c>
      <c r="B8" s="1" t="s">
        <v>235</v>
      </c>
      <c r="C8" s="1" t="b">
        <f>FALSE()</f>
        <v>0</v>
      </c>
      <c r="E8" s="11" t="b">
        <v>0</v>
      </c>
      <c r="G8" s="12"/>
      <c r="H8" s="4"/>
      <c r="I8" s="7"/>
    </row>
    <row r="9" spans="1:9">
      <c r="A9" s="1" t="s">
        <v>40</v>
      </c>
      <c r="B9" s="1" t="s">
        <v>41</v>
      </c>
      <c r="C9" s="1" t="b">
        <f>TRUE()</f>
        <v>1</v>
      </c>
      <c r="E9" s="11" t="b">
        <v>1</v>
      </c>
      <c r="G9" s="12"/>
      <c r="H9" s="4"/>
      <c r="I9" s="7"/>
    </row>
    <row r="10" spans="1:9">
      <c r="A10" s="1" t="s">
        <v>42</v>
      </c>
      <c r="B10" s="1" t="s">
        <v>199</v>
      </c>
      <c r="C10" s="1" t="b">
        <f>TRUE()</f>
        <v>1</v>
      </c>
      <c r="E10" s="11" t="b">
        <v>1</v>
      </c>
      <c r="G10" s="12"/>
      <c r="H10" s="4"/>
      <c r="I10" s="7"/>
    </row>
    <row r="11" spans="1:9">
      <c r="A11" s="1" t="s">
        <v>44</v>
      </c>
      <c r="B11" s="1" t="s">
        <v>140</v>
      </c>
      <c r="C11" s="1" t="b">
        <f>TRUE()</f>
        <v>1</v>
      </c>
      <c r="E11" s="11" t="b">
        <v>1</v>
      </c>
      <c r="G11" s="12"/>
      <c r="H11" s="4"/>
      <c r="I11" s="7"/>
    </row>
    <row r="12" spans="1:9">
      <c r="A12" s="1" t="s">
        <v>45</v>
      </c>
      <c r="B12" s="1" t="s">
        <v>220</v>
      </c>
      <c r="C12" s="1" t="s">
        <v>8</v>
      </c>
      <c r="E12" s="1" t="s">
        <v>8</v>
      </c>
      <c r="G12" s="12"/>
      <c r="H12" s="4"/>
      <c r="I12" s="8"/>
    </row>
    <row r="13" spans="1:9">
      <c r="A13" s="1" t="s">
        <v>47</v>
      </c>
      <c r="B13" s="1" t="s">
        <v>145</v>
      </c>
      <c r="C13" s="1" t="b">
        <f>FALSE()</f>
        <v>0</v>
      </c>
      <c r="E13" s="11" t="b">
        <v>0</v>
      </c>
      <c r="G13" s="12"/>
      <c r="H13" s="4"/>
      <c r="I13" s="7"/>
    </row>
    <row r="14" spans="1:9">
      <c r="A14" s="1" t="s">
        <v>49</v>
      </c>
      <c r="B14" s="1" t="s">
        <v>236</v>
      </c>
      <c r="C14" s="1" t="b">
        <f>FALSE()</f>
        <v>0</v>
      </c>
      <c r="E14" s="11" t="b">
        <v>0</v>
      </c>
      <c r="G14" s="12"/>
      <c r="H14" s="4"/>
      <c r="I14" s="7"/>
    </row>
    <row r="15" spans="1:9" ht="16.350000000000001">
      <c r="A15" s="1" t="s">
        <v>51</v>
      </c>
      <c r="B15" s="1" t="s">
        <v>146</v>
      </c>
      <c r="C15" s="1" t="b">
        <f>TRUE()</f>
        <v>1</v>
      </c>
      <c r="E15" s="13" t="b">
        <v>1</v>
      </c>
      <c r="G15" s="12"/>
      <c r="H15" s="4"/>
      <c r="I15" s="7"/>
    </row>
    <row r="16" spans="1:9">
      <c r="A16" s="1" t="s">
        <v>53</v>
      </c>
      <c r="B16" s="1" t="s">
        <v>147</v>
      </c>
      <c r="C16" s="1" t="b">
        <f>TRUE()</f>
        <v>1</v>
      </c>
      <c r="E16" s="11" t="b">
        <v>1</v>
      </c>
      <c r="G16" s="12"/>
      <c r="H16" s="4"/>
      <c r="I16" s="7"/>
    </row>
    <row r="17" spans="1:9">
      <c r="A17" s="1" t="s">
        <v>55</v>
      </c>
      <c r="B17" s="1" t="s">
        <v>140</v>
      </c>
      <c r="C17" s="1" t="b">
        <f>TRUE()</f>
        <v>1</v>
      </c>
      <c r="E17" s="11" t="b">
        <v>1</v>
      </c>
      <c r="G17" s="12"/>
      <c r="H17" s="4"/>
      <c r="I17" s="7"/>
    </row>
    <row r="18" spans="1:9" ht="31.35">
      <c r="A18" s="1" t="s">
        <v>56</v>
      </c>
      <c r="B18" s="3" t="s">
        <v>237</v>
      </c>
      <c r="C18" s="1" t="b">
        <f>FALSE()</f>
        <v>0</v>
      </c>
      <c r="E18" s="11" t="b">
        <v>0</v>
      </c>
      <c r="G18" s="12"/>
      <c r="H18" s="4"/>
      <c r="I18" s="7"/>
    </row>
    <row r="19" spans="1:9">
      <c r="A19" s="1" t="s">
        <v>58</v>
      </c>
      <c r="B19" s="1" t="s">
        <v>145</v>
      </c>
      <c r="C19" s="1" t="b">
        <f>FALSE()</f>
        <v>0</v>
      </c>
      <c r="E19" s="11" t="b">
        <v>0</v>
      </c>
      <c r="G19" s="12"/>
      <c r="H19" s="4"/>
      <c r="I19" s="7"/>
    </row>
    <row r="20" spans="1:9">
      <c r="A20" s="1" t="s">
        <v>60</v>
      </c>
      <c r="B20" s="1" t="s">
        <v>150</v>
      </c>
      <c r="C20" s="1" t="b">
        <f>TRUE()</f>
        <v>1</v>
      </c>
      <c r="E20" s="11" t="b">
        <v>1</v>
      </c>
      <c r="G20" s="12"/>
      <c r="H20" s="4"/>
      <c r="I20" s="7"/>
    </row>
    <row r="21" spans="1:9">
      <c r="A21" s="1" t="s">
        <v>62</v>
      </c>
      <c r="B21" s="1" t="s">
        <v>151</v>
      </c>
      <c r="C21" s="1" t="b">
        <f>TRUE()</f>
        <v>1</v>
      </c>
      <c r="E21" s="11" t="b">
        <v>1</v>
      </c>
      <c r="G21" s="12"/>
      <c r="H21" s="4"/>
      <c r="I21" s="7"/>
    </row>
    <row r="22" spans="1:9">
      <c r="A22" s="1" t="s">
        <v>64</v>
      </c>
      <c r="B22" s="1" t="s">
        <v>65</v>
      </c>
      <c r="C22" s="1" t="b">
        <f>TRUE()</f>
        <v>1</v>
      </c>
      <c r="E22" s="11" t="b">
        <v>1</v>
      </c>
      <c r="G22" s="12"/>
      <c r="H22" s="4"/>
      <c r="I22" s="7"/>
    </row>
    <row r="23" spans="1:9">
      <c r="A23" s="1" t="s">
        <v>66</v>
      </c>
      <c r="B23" s="1" t="s">
        <v>140</v>
      </c>
      <c r="C23" s="1" t="b">
        <f>TRUE()</f>
        <v>1</v>
      </c>
      <c r="E23" s="11" t="b">
        <v>1</v>
      </c>
      <c r="G23" s="12"/>
      <c r="H23" s="4"/>
      <c r="I23" s="7"/>
    </row>
    <row r="24" spans="1:9">
      <c r="A24" s="1" t="s">
        <v>67</v>
      </c>
      <c r="B24" s="1" t="s">
        <v>152</v>
      </c>
      <c r="C24" s="1" t="b">
        <f>TRUE()</f>
        <v>1</v>
      </c>
      <c r="E24" s="11" t="b">
        <v>1</v>
      </c>
      <c r="G24" s="12"/>
      <c r="H24" s="4"/>
      <c r="I24" s="8"/>
    </row>
    <row r="25" spans="1:9">
      <c r="A25" s="1" t="s">
        <v>69</v>
      </c>
      <c r="B25" s="1" t="s">
        <v>137</v>
      </c>
      <c r="C25" s="1" t="b">
        <f>TRUE()</f>
        <v>1</v>
      </c>
      <c r="E25" s="11" t="b">
        <v>1</v>
      </c>
      <c r="G25" s="12"/>
      <c r="H25" s="4"/>
      <c r="I25" s="7"/>
    </row>
    <row r="26" spans="1:9">
      <c r="A26" s="1" t="s">
        <v>71</v>
      </c>
      <c r="B26" s="1" t="s">
        <v>226</v>
      </c>
      <c r="C26" s="1" t="b">
        <f>TRUE()</f>
        <v>1</v>
      </c>
      <c r="E26" s="11" t="b">
        <v>1</v>
      </c>
      <c r="G26" s="12"/>
      <c r="H26" s="4"/>
      <c r="I26" s="7"/>
    </row>
    <row r="27" spans="1:9">
      <c r="A27" s="1" t="s">
        <v>73</v>
      </c>
      <c r="B27" s="1" t="s">
        <v>238</v>
      </c>
      <c r="C27" s="1" t="b">
        <f>TRUE()</f>
        <v>1</v>
      </c>
      <c r="E27" s="11" t="b">
        <v>1</v>
      </c>
      <c r="G27" s="12"/>
      <c r="H27" s="4"/>
      <c r="I27" s="7"/>
    </row>
    <row r="28" spans="1:9" ht="16.350000000000001">
      <c r="A28" s="1" t="s">
        <v>75</v>
      </c>
      <c r="B28" s="1" t="s">
        <v>76</v>
      </c>
      <c r="C28" s="1" t="b">
        <f>TRUE()</f>
        <v>1</v>
      </c>
      <c r="E28" s="13" t="b">
        <v>1</v>
      </c>
      <c r="G28" s="12"/>
      <c r="H28" s="4"/>
      <c r="I28" s="7"/>
    </row>
    <row r="29" spans="1:9" ht="16.350000000000001">
      <c r="A29" s="1" t="s">
        <v>77</v>
      </c>
      <c r="B29" s="1" t="s">
        <v>140</v>
      </c>
      <c r="C29" s="1" t="b">
        <f>TRUE()</f>
        <v>1</v>
      </c>
      <c r="E29" s="13" t="b">
        <v>1</v>
      </c>
      <c r="G29" s="12"/>
      <c r="H29" s="4"/>
      <c r="I29" s="7"/>
    </row>
    <row r="30" spans="1:9" ht="16.350000000000001">
      <c r="A30" s="1" t="s">
        <v>79</v>
      </c>
      <c r="B30" s="1" t="s">
        <v>218</v>
      </c>
      <c r="C30" s="1" t="s">
        <v>8</v>
      </c>
      <c r="E30" s="13" t="s">
        <v>8</v>
      </c>
      <c r="G30" s="12"/>
      <c r="H30" s="4"/>
      <c r="I30" s="8"/>
    </row>
    <row r="31" spans="1:9" ht="16.350000000000001">
      <c r="A31" s="1" t="s">
        <v>81</v>
      </c>
      <c r="B31" s="1" t="s">
        <v>145</v>
      </c>
      <c r="C31" s="1" t="b">
        <f>FALSE()</f>
        <v>0</v>
      </c>
      <c r="E31" s="13" t="b">
        <v>0</v>
      </c>
      <c r="G31" s="12"/>
      <c r="H31" s="4"/>
      <c r="I31" s="7"/>
    </row>
    <row r="32" spans="1:9" ht="16.350000000000001">
      <c r="A32" s="1" t="s">
        <v>83</v>
      </c>
      <c r="B32" s="1" t="s">
        <v>155</v>
      </c>
      <c r="C32" s="1" t="b">
        <f>TRUE()</f>
        <v>1</v>
      </c>
      <c r="E32" s="13" t="b">
        <v>1</v>
      </c>
      <c r="G32" s="12"/>
      <c r="H32" s="4"/>
      <c r="I32" s="7"/>
    </row>
    <row r="33" spans="1:9" ht="16.350000000000001">
      <c r="A33" s="1" t="s">
        <v>85</v>
      </c>
      <c r="B33" s="1" t="s">
        <v>86</v>
      </c>
      <c r="C33" s="1" t="b">
        <f>TRUE()</f>
        <v>1</v>
      </c>
      <c r="E33" s="13" t="b">
        <v>1</v>
      </c>
      <c r="G33" s="12"/>
      <c r="H33" s="4"/>
      <c r="I33" s="7"/>
    </row>
    <row r="34" spans="1:9" ht="16.350000000000001">
      <c r="A34" s="1" t="s">
        <v>87</v>
      </c>
      <c r="B34" s="1" t="s">
        <v>88</v>
      </c>
      <c r="C34" s="1" t="b">
        <f>TRUE()</f>
        <v>1</v>
      </c>
      <c r="E34" s="13" t="b">
        <v>1</v>
      </c>
      <c r="G34" s="12"/>
      <c r="H34" s="4"/>
      <c r="I34" s="7"/>
    </row>
    <row r="35" spans="1:9" ht="16.350000000000001">
      <c r="A35" s="1" t="s">
        <v>89</v>
      </c>
      <c r="B35" s="1" t="s">
        <v>158</v>
      </c>
      <c r="C35" s="1" t="b">
        <f>TRUE()</f>
        <v>1</v>
      </c>
      <c r="E35" s="13" t="b">
        <v>1</v>
      </c>
      <c r="G35" s="12"/>
      <c r="H35" s="4"/>
      <c r="I35" s="7"/>
    </row>
    <row r="36" spans="1:9">
      <c r="A36" s="1" t="s">
        <v>91</v>
      </c>
      <c r="B36" s="1" t="s">
        <v>232</v>
      </c>
      <c r="C36" s="1" t="s">
        <v>8</v>
      </c>
      <c r="E36" s="1" t="s">
        <v>8</v>
      </c>
      <c r="G36" s="12"/>
      <c r="H36" s="4"/>
      <c r="I36" s="7"/>
    </row>
    <row r="37" spans="1:9" ht="16.350000000000001">
      <c r="A37" s="1" t="s">
        <v>93</v>
      </c>
      <c r="B37" s="1" t="s">
        <v>162</v>
      </c>
      <c r="C37" s="1" t="b">
        <f>FALSE()</f>
        <v>0</v>
      </c>
      <c r="E37" s="13" t="b">
        <v>0</v>
      </c>
      <c r="G37" s="12"/>
      <c r="H37" s="4"/>
      <c r="I37" s="7"/>
    </row>
    <row r="38" spans="1:9" ht="16.350000000000001">
      <c r="A38" s="1" t="s">
        <v>95</v>
      </c>
      <c r="B38" s="1" t="s">
        <v>186</v>
      </c>
      <c r="C38" s="1" t="b">
        <f>TRUE()</f>
        <v>1</v>
      </c>
      <c r="E38" s="13" t="b">
        <v>1</v>
      </c>
      <c r="G38" s="12"/>
      <c r="H38" s="4"/>
      <c r="I38" s="7"/>
    </row>
    <row r="39" spans="1:9" ht="16.350000000000001">
      <c r="A39" s="1" t="s">
        <v>97</v>
      </c>
      <c r="B39" s="1" t="s">
        <v>98</v>
      </c>
      <c r="C39" s="1" t="b">
        <f>TRUE()</f>
        <v>1</v>
      </c>
      <c r="E39" s="13" t="b">
        <v>1</v>
      </c>
      <c r="G39" s="12"/>
      <c r="H39" s="4"/>
      <c r="I39" s="7"/>
    </row>
    <row r="40" spans="1:9" ht="16.350000000000001">
      <c r="A40" s="1" t="s">
        <v>99</v>
      </c>
      <c r="B40" s="1" t="s">
        <v>100</v>
      </c>
      <c r="C40" s="1" t="b">
        <f>TRUE()</f>
        <v>1</v>
      </c>
      <c r="E40" s="13" t="b">
        <v>1</v>
      </c>
      <c r="G40" s="12"/>
      <c r="H40" s="4"/>
      <c r="I40" s="7"/>
    </row>
    <row r="41" spans="1:9" ht="16.350000000000001">
      <c r="A41" s="1" t="s">
        <v>101</v>
      </c>
      <c r="B41" s="1" t="s">
        <v>158</v>
      </c>
      <c r="C41" s="1" t="b">
        <f>TRUE()</f>
        <v>1</v>
      </c>
      <c r="E41" s="13" t="b">
        <v>1</v>
      </c>
      <c r="G41" s="12"/>
      <c r="H41" s="4"/>
      <c r="I41" s="7"/>
    </row>
    <row r="42" spans="1:9" ht="16.350000000000001">
      <c r="A42" s="1" t="s">
        <v>103</v>
      </c>
      <c r="B42" s="1" t="s">
        <v>152</v>
      </c>
      <c r="C42" s="1" t="b">
        <f>TRUE()</f>
        <v>1</v>
      </c>
      <c r="E42" s="13" t="b">
        <v>1</v>
      </c>
      <c r="G42" s="12"/>
      <c r="H42" s="4"/>
      <c r="I42" s="8"/>
    </row>
    <row r="43" spans="1:9" ht="16.350000000000001">
      <c r="A43" s="1" t="s">
        <v>105</v>
      </c>
      <c r="B43" s="1" t="s">
        <v>162</v>
      </c>
      <c r="C43" s="1" t="b">
        <f>FALSE()</f>
        <v>0</v>
      </c>
      <c r="E43" s="13" t="b">
        <v>0</v>
      </c>
      <c r="G43" s="12"/>
      <c r="H43" s="4"/>
      <c r="I43" s="7"/>
    </row>
    <row r="44" spans="1:9" ht="16.350000000000001">
      <c r="A44" s="1" t="s">
        <v>107</v>
      </c>
      <c r="B44" s="1" t="s">
        <v>108</v>
      </c>
      <c r="C44" s="1" t="b">
        <f>TRUE()</f>
        <v>1</v>
      </c>
      <c r="E44" s="13" t="b">
        <v>1</v>
      </c>
      <c r="G44" s="12"/>
      <c r="H44" s="4"/>
      <c r="I44" s="7"/>
    </row>
    <row r="45" spans="1:9" ht="16.350000000000001">
      <c r="A45" s="1" t="s">
        <v>109</v>
      </c>
      <c r="B45" s="1" t="s">
        <v>191</v>
      </c>
      <c r="C45" s="1" t="b">
        <f>TRUE()</f>
        <v>1</v>
      </c>
      <c r="E45" s="13" t="b">
        <v>1</v>
      </c>
      <c r="G45" s="12"/>
      <c r="H45" s="4"/>
      <c r="I45" s="7"/>
    </row>
    <row r="46" spans="1:9" ht="16.350000000000001">
      <c r="A46" s="1" t="s">
        <v>111</v>
      </c>
      <c r="B46" s="1" t="s">
        <v>43</v>
      </c>
      <c r="C46" s="1" t="b">
        <f>TRUE()</f>
        <v>1</v>
      </c>
      <c r="E46" s="13" t="b">
        <v>1</v>
      </c>
      <c r="G46" s="12"/>
      <c r="H46" s="4"/>
      <c r="I46" s="7"/>
    </row>
    <row r="47" spans="1:9" ht="16.350000000000001">
      <c r="A47" s="1" t="s">
        <v>112</v>
      </c>
      <c r="B47" s="1" t="s">
        <v>158</v>
      </c>
      <c r="C47" s="1" t="b">
        <f>TRUE()</f>
        <v>1</v>
      </c>
      <c r="E47" s="13" t="b">
        <v>1</v>
      </c>
      <c r="G47" s="12"/>
      <c r="H47" s="4"/>
      <c r="I47" s="7"/>
    </row>
    <row r="48" spans="1:9" ht="16.350000000000001">
      <c r="A48" s="1" t="s">
        <v>113</v>
      </c>
      <c r="B48" s="1" t="s">
        <v>114</v>
      </c>
      <c r="C48" s="1" t="b">
        <f>TRUE()</f>
        <v>1</v>
      </c>
      <c r="E48" s="13" t="b">
        <v>1</v>
      </c>
      <c r="G48" s="12"/>
      <c r="H48" s="4"/>
      <c r="I48" s="7"/>
    </row>
    <row r="49" spans="1:9" ht="16.350000000000001">
      <c r="A49" s="1" t="s">
        <v>115</v>
      </c>
      <c r="B49" s="1" t="s">
        <v>116</v>
      </c>
      <c r="C49" s="1" t="b">
        <f>TRUE()</f>
        <v>1</v>
      </c>
      <c r="E49" s="13" t="b">
        <v>1</v>
      </c>
      <c r="G49" s="12"/>
      <c r="H49" s="4"/>
      <c r="I49" s="7"/>
    </row>
    <row r="50" spans="1:9" ht="16.350000000000001">
      <c r="A50" s="1" t="s">
        <v>117</v>
      </c>
      <c r="B50" s="1" t="s">
        <v>239</v>
      </c>
      <c r="C50" s="1" t="b">
        <f>FALSE()</f>
        <v>0</v>
      </c>
      <c r="E50" s="13" t="b">
        <v>0</v>
      </c>
      <c r="G50" s="12"/>
      <c r="H50" s="4"/>
      <c r="I50" s="7"/>
    </row>
    <row r="51" spans="1:9" ht="16.350000000000001">
      <c r="A51" s="1" t="s">
        <v>119</v>
      </c>
      <c r="B51" s="1" t="s">
        <v>120</v>
      </c>
      <c r="C51" s="1" t="b">
        <f>TRUE()</f>
        <v>1</v>
      </c>
      <c r="E51" s="13" t="b">
        <v>1</v>
      </c>
      <c r="G51" s="12"/>
      <c r="H51" s="4"/>
      <c r="I51" s="7"/>
    </row>
    <row r="52" spans="1:9">
      <c r="A52" s="1" t="s">
        <v>121</v>
      </c>
      <c r="B52" s="1" t="s">
        <v>122</v>
      </c>
      <c r="C52" s="1" t="b">
        <f>TRUE()</f>
        <v>1</v>
      </c>
      <c r="E52" s="1" t="b">
        <v>1</v>
      </c>
      <c r="G52" s="12"/>
      <c r="H52" s="4"/>
      <c r="I52" s="7"/>
    </row>
    <row r="53" spans="1:9">
      <c r="A53" s="1" t="s">
        <v>123</v>
      </c>
      <c r="B53" s="1" t="s">
        <v>158</v>
      </c>
      <c r="C53" s="1" t="b">
        <f>TRUE()</f>
        <v>1</v>
      </c>
      <c r="E53" s="1" t="b">
        <v>1</v>
      </c>
      <c r="G53" s="12"/>
      <c r="H53" s="4"/>
      <c r="I53" s="7"/>
    </row>
    <row r="54" spans="1:9">
      <c r="A54" s="1" t="s">
        <v>124</v>
      </c>
      <c r="B54" s="1" t="s">
        <v>125</v>
      </c>
      <c r="C54" s="1" t="b">
        <f>TRUE()</f>
        <v>1</v>
      </c>
      <c r="E54" s="1" t="b">
        <v>1</v>
      </c>
      <c r="G54" s="12"/>
      <c r="H54" s="4"/>
      <c r="I54" s="7"/>
    </row>
    <row r="55" spans="1:9">
      <c r="A55" s="1" t="s">
        <v>126</v>
      </c>
      <c r="B55" s="1" t="s">
        <v>137</v>
      </c>
      <c r="C55" s="1" t="b">
        <f>FALSE()</f>
        <v>0</v>
      </c>
      <c r="E55" s="1" t="b">
        <v>0</v>
      </c>
      <c r="G55" s="12"/>
      <c r="H55" s="4"/>
      <c r="I55" s="7"/>
    </row>
    <row r="56" spans="1:9">
      <c r="A56" s="1" t="s">
        <v>127</v>
      </c>
      <c r="B56" s="1" t="s">
        <v>128</v>
      </c>
      <c r="C56" s="1" t="b">
        <f>TRUE()</f>
        <v>1</v>
      </c>
      <c r="E56" s="1" t="b">
        <v>1</v>
      </c>
      <c r="G56" s="12"/>
      <c r="H56" s="4"/>
      <c r="I56" s="7"/>
    </row>
    <row r="57" spans="1:9">
      <c r="A57" s="1" t="s">
        <v>129</v>
      </c>
      <c r="B57" s="1" t="s">
        <v>130</v>
      </c>
      <c r="C57" s="1" t="b">
        <f>TRUE()</f>
        <v>1</v>
      </c>
      <c r="E57" s="1" t="b">
        <v>1</v>
      </c>
      <c r="G57" s="12"/>
      <c r="H57" s="4"/>
      <c r="I57" s="7"/>
    </row>
    <row r="58" spans="1:9">
      <c r="A58" s="1" t="s">
        <v>131</v>
      </c>
      <c r="B58" s="1" t="s">
        <v>240</v>
      </c>
      <c r="C58" s="1" t="b">
        <f>TRUE()</f>
        <v>1</v>
      </c>
      <c r="E58" s="1" t="b">
        <v>1</v>
      </c>
      <c r="G58" s="12"/>
      <c r="H58" s="4"/>
      <c r="I58" s="7"/>
    </row>
    <row r="59" spans="1:9">
      <c r="A59" s="1" t="s">
        <v>133</v>
      </c>
      <c r="B59" s="1" t="s">
        <v>158</v>
      </c>
      <c r="C59" s="1" t="b">
        <f>TRUE()</f>
        <v>1</v>
      </c>
      <c r="E59" s="1" t="b">
        <v>1</v>
      </c>
      <c r="G59" s="12"/>
      <c r="H59" s="4"/>
      <c r="I59" s="7"/>
    </row>
    <row r="60" spans="1:9">
      <c r="A60" s="1" t="s">
        <v>134</v>
      </c>
      <c r="B60" s="1" t="s">
        <v>222</v>
      </c>
      <c r="C60" s="1" t="b">
        <f>TRUE()</f>
        <v>1</v>
      </c>
      <c r="E60" s="1" t="b">
        <v>1</v>
      </c>
      <c r="G60" s="12"/>
      <c r="H60" s="4"/>
      <c r="I60" s="7"/>
    </row>
    <row r="61" spans="1:9">
      <c r="A61" s="1" t="s">
        <v>136</v>
      </c>
      <c r="B61" s="1" t="s">
        <v>162</v>
      </c>
      <c r="C61" s="1" t="b">
        <f>FALSE()</f>
        <v>0</v>
      </c>
      <c r="E61" s="1" t="b">
        <v>0</v>
      </c>
      <c r="G61" s="12"/>
      <c r="H61" s="4"/>
      <c r="I61" s="7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21</cp:revision>
  <dcterms:created xsi:type="dcterms:W3CDTF">2026-02-26T10:53:42Z</dcterms:created>
  <dcterms:modified xsi:type="dcterms:W3CDTF">2026-09-16T08:11:49Z</dcterms:modified>
  <cp:category/>
  <cp:contentStatus/>
</cp:coreProperties>
</file>