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46" documentId="11_0DFF61F173C17E2F1666F78F54E28DDD7A3FCFD2" xr6:coauthVersionLast="47" xr6:coauthVersionMax="47" xr10:uidLastSave="{FD2B3B90-37F9-4E16-A850-66ADAAD9872C}"/>
  <bookViews>
    <workbookView xWindow="0" yWindow="0" windowWidth="16384" windowHeight="8192" tabRatio="500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2" i="1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H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D45" i="9" s="1"/>
  <c r="C5" i="9"/>
  <c r="C45" i="9" s="1"/>
  <c r="B5" i="9"/>
  <c r="B45" i="9" s="1"/>
  <c r="I4" i="9"/>
  <c r="H4" i="9"/>
  <c r="G4" i="9"/>
  <c r="D4" i="9"/>
  <c r="D44" i="9" s="1"/>
  <c r="C4" i="9"/>
  <c r="C44" i="9" s="1"/>
  <c r="B4" i="9"/>
  <c r="B44" i="9" s="1"/>
  <c r="I3" i="9"/>
  <c r="H3" i="9"/>
  <c r="G3" i="9"/>
  <c r="D3" i="9"/>
  <c r="D43" i="9" s="1"/>
  <c r="C3" i="9"/>
  <c r="C43" i="9" s="1"/>
  <c r="B3" i="9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30" i="8"/>
  <c r="C30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1" i="8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E2" i="8"/>
  <c r="C2" i="8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E19" i="7"/>
  <c r="C19" i="7"/>
  <c r="E18" i="7"/>
  <c r="C18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E7" i="7"/>
  <c r="C7" i="7"/>
  <c r="E6" i="7"/>
  <c r="C6" i="7"/>
  <c r="E5" i="7"/>
  <c r="C5" i="7"/>
  <c r="E4" i="7"/>
  <c r="C4" i="7"/>
  <c r="E3" i="7"/>
  <c r="C3" i="7"/>
  <c r="E2" i="7"/>
  <c r="C2" i="7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E6" i="6"/>
  <c r="C6" i="6"/>
  <c r="E5" i="6"/>
  <c r="C5" i="6"/>
  <c r="E4" i="6"/>
  <c r="C4" i="6"/>
  <c r="E3" i="6"/>
  <c r="C3" i="6"/>
  <c r="E2" i="6"/>
  <c r="C2" i="6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30" i="5"/>
  <c r="C30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8" i="5"/>
  <c r="C18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37" i="4"/>
  <c r="C37" i="4"/>
  <c r="E36" i="4"/>
  <c r="C36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  <c r="E3" i="2"/>
  <c r="C3" i="2"/>
  <c r="E2" i="2"/>
  <c r="C2" i="2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M3" i="9" l="1"/>
  <c r="M2" i="9"/>
  <c r="M4" i="9" s="1"/>
  <c r="M10" i="9" s="1"/>
  <c r="M15" i="9" s="1"/>
  <c r="N3" i="9"/>
  <c r="N2" i="9"/>
  <c r="N4" i="9" s="1"/>
  <c r="N10" i="9" s="1"/>
  <c r="N15" i="9" s="1"/>
  <c r="O3" i="9"/>
  <c r="O2" i="9"/>
  <c r="O4" i="9" s="1"/>
  <c r="O10" i="9" s="1"/>
  <c r="O15" i="9" s="1"/>
  <c r="P3" i="9"/>
  <c r="P2" i="9"/>
  <c r="P4" i="9" s="1"/>
  <c r="P10" i="9" s="1"/>
  <c r="P15" i="9" s="1"/>
  <c r="Q3" i="9"/>
  <c r="Q2" i="9"/>
  <c r="Q4" i="9" s="1"/>
  <c r="Q10" i="9" s="1"/>
  <c r="Q15" i="9" s="1"/>
  <c r="R3" i="9"/>
  <c r="R2" i="9"/>
  <c r="R4" i="9" s="1"/>
  <c r="R10" i="9" s="1"/>
  <c r="R15" i="9" s="1"/>
  <c r="S3" i="9"/>
  <c r="S2" i="9"/>
  <c r="S4" i="9" s="1"/>
  <c r="S10" i="9" s="1"/>
  <c r="S15" i="9" s="1"/>
  <c r="T3" i="9"/>
  <c r="T2" i="9"/>
  <c r="T4" i="9" s="1"/>
  <c r="T10" i="9" s="1"/>
  <c r="T15" i="9" s="1"/>
  <c r="B43" i="9"/>
  <c r="B6" i="9"/>
  <c r="M16" i="9" s="1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46" i="9"/>
  <c r="B9" i="9" l="1"/>
  <c r="B48" i="9"/>
  <c r="B47" i="9"/>
  <c r="B49" i="9" s="1"/>
  <c r="N16" i="9" l="1"/>
  <c r="M17" i="9"/>
  <c r="O16" i="9" l="1"/>
  <c r="N17" i="9"/>
  <c r="P16" i="9" l="1"/>
  <c r="O17" i="9"/>
  <c r="Q16" i="9" l="1"/>
  <c r="P17" i="9"/>
  <c r="R16" i="9" l="1"/>
  <c r="Q17" i="9"/>
  <c r="S16" i="9" l="1"/>
  <c r="R17" i="9"/>
  <c r="T16" i="9" l="1"/>
  <c r="T17" i="9" s="1"/>
  <c r="S17" i="9"/>
</calcChain>
</file>

<file path=xl/sharedStrings.xml><?xml version="1.0" encoding="utf-8"?>
<sst xmlns="http://schemas.openxmlformats.org/spreadsheetml/2006/main" count="714" uniqueCount="136">
  <si>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</si>
  <si>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</si>
  <si>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</si>
  <si>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</si>
  <si>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</si>
  <si>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</si>
  <si>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</si>
  <si>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</si>
  <si>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</si>
  <si>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</si>
  <si>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</si>
  <si>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</si>
  <si>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</si>
  <si>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</si>
  <si>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</si>
  <si>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data from all attempts</t>
  </si>
  <si>
    <t>Kappa</t>
  </si>
  <si>
    <t>sum_true</t>
  </si>
  <si>
    <t>sum_data</t>
  </si>
  <si>
    <t>accuracy</t>
  </si>
  <si>
    <t>OVERALL</t>
  </si>
  <si>
    <t>prompt</t>
  </si>
  <si>
    <t>answer</t>
  </si>
  <si>
    <t>validity</t>
  </si>
  <si>
    <t>note</t>
  </si>
  <si>
    <t>validity_ds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</si>
  <si>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</si>
  <si>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</si>
  <si>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</si>
  <si>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</si>
  <si>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</si>
  <si>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</si>
  <si>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43</t>
  </si>
  <si>
    <t>What is Saša Škrtić's gender?</t>
  </si>
  <si>
    <t>MALE</t>
  </si>
  <si>
    <t>List all Saša Škrtić's friends.</t>
  </si>
  <si>
    <t>Saša Škrtić has no</t>
  </si>
  <si>
    <t>How many friends does Saša Škrtić have?</t>
  </si>
  <si>
    <t>1</t>
  </si>
  <si>
    <t>What is Duje Ravlić's first name?</t>
  </si>
  <si>
    <t>Duje</t>
  </si>
  <si>
    <t>What is Duje Ravlić's last name?</t>
  </si>
  <si>
    <t>Ravlić</t>
  </si>
  <si>
    <t>What is Duje Ravlić's age?</t>
  </si>
  <si>
    <t>35</t>
  </si>
  <si>
    <t>What is Duje Ravlić's gender?</t>
  </si>
  <si>
    <t>List all Duje Ravlić's friends.</t>
  </si>
  <si>
    <t>Jagoda Draženović, Mon</t>
  </si>
  <si>
    <t>How many friends does Duje Ravlić have?</t>
  </si>
  <si>
    <t>What is Eduard Tutić's first name?</t>
  </si>
  <si>
    <t>Eduard</t>
  </si>
  <si>
    <t>What is Eduard Tutić's last name?</t>
  </si>
  <si>
    <t>Tutić</t>
  </si>
  <si>
    <t>What is Eduard Tutić's age?</t>
  </si>
  <si>
    <t>What is Eduard Tutić's gender?</t>
  </si>
  <si>
    <t>Male</t>
  </si>
  <si>
    <t>List all Eduard Tutić's friends.</t>
  </si>
  <si>
    <t>Mia Popić</t>
  </si>
  <si>
    <t>How many friends does Eduard Tutić have?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</si>
  <si>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</si>
  <si>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</si>
  <si>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</si>
  <si>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</si>
  <si>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</si>
  <si>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20</t>
  </si>
  <si>
    <t>What is Jagoda Draženović's gender?</t>
  </si>
  <si>
    <t>Jagoda Draženović is female</t>
  </si>
  <si>
    <t>List all Jagoda Draženović's friends.</t>
  </si>
  <si>
    <t>Jagoda Draženović's friend</t>
  </si>
  <si>
    <t>How many friends does Jagoda Draženović have?</t>
  </si>
  <si>
    <t>What is Monika Rimac's first name?</t>
  </si>
  <si>
    <t>Monika</t>
  </si>
  <si>
    <t>What is Monika Rimac's last name?</t>
  </si>
  <si>
    <t>Rimac</t>
  </si>
  <si>
    <t>What is Monika Rimac's age?</t>
  </si>
  <si>
    <t>What is Monika Rimac's gender?</t>
  </si>
  <si>
    <t>Female</t>
  </si>
  <si>
    <t>List all Monika Rimac's friends.</t>
  </si>
  <si>
    <t>Monika Rimac has no friends listed.</t>
  </si>
  <si>
    <t>How many friends does Monika Rimac have?</t>
  </si>
  <si>
    <t>Monika Rimac has 1 friend.</t>
  </si>
  <si>
    <t>What is Mia Popić's first name?</t>
  </si>
  <si>
    <t>Mia</t>
  </si>
  <si>
    <t>What is Mia Popić's last name?</t>
  </si>
  <si>
    <t>Popić</t>
  </si>
  <si>
    <t>What is Mia Popić's age?</t>
  </si>
  <si>
    <t>27</t>
  </si>
  <si>
    <t>What is Mia Popić's gender?</t>
  </si>
  <si>
    <t>List all Mia Popić's friends.</t>
  </si>
  <si>
    <t>Mia Popić's only friend is Mia Pop</t>
  </si>
  <si>
    <t>How many friends does Mia Popić have?</t>
  </si>
  <si>
    <t>Mia Popić has 1 friend.</t>
  </si>
  <si>
    <t>Duje Ravlić</t>
  </si>
  <si>
    <t>Duje Ravlić's friends: Saš</t>
  </si>
  <si>
    <t>Monika Rimac</t>
  </si>
  <si>
    <t>FEMALE</t>
  </si>
  <si>
    <t>Jagoda Draženović</t>
  </si>
  <si>
    <t>Mia Popić: Eduard Tutić</t>
  </si>
  <si>
    <t>that's a colon in between the names, not a comma</t>
  </si>
  <si>
    <t>Duje Ravlić knows no one.</t>
  </si>
  <si>
    <t>Monika Rimac is 20 years old</t>
  </si>
  <si>
    <t>Monika Rimac knows Jagoda Dražen</t>
  </si>
  <si>
    <t>Mia Popić knows no one.</t>
  </si>
  <si>
    <t>Duje Ravlić knows Saša �</t>
  </si>
  <si>
    <t>Mia Popić knows Eduard Tutić</t>
  </si>
  <si>
    <t>No friends listed for Saša Šk</t>
  </si>
  <si>
    <t>No friends listed for Duje Ravlić.</t>
  </si>
  <si>
    <t xml:space="preserve">Jagoda Draženović has </t>
  </si>
  <si>
    <t>Mia Popić's friend is Mia (th</t>
  </si>
  <si>
    <t>Duje Ravlić's only friend is Sa</t>
  </si>
  <si>
    <t>Mia Popić's only friend is Eduard</t>
  </si>
  <si>
    <t>43 years old.</t>
  </si>
  <si>
    <t>Duje Ravlić, Eduard Tuti</t>
  </si>
  <si>
    <t>2</t>
  </si>
  <si>
    <t>35 years old.</t>
  </si>
  <si>
    <t>Duje Ravlić is a male.</t>
  </si>
  <si>
    <t>Duje Ravlić and Saša �</t>
  </si>
  <si>
    <t>The model might have wanted to say "...are friends"</t>
  </si>
  <si>
    <t>1 (Saša Škrtić</t>
  </si>
  <si>
    <t>Eduard Tutić is 43</t>
  </si>
  <si>
    <t>Eduard Tutić is a male.</t>
  </si>
  <si>
    <t>1: Mia Popić</t>
  </si>
  <si>
    <t xml:space="preserve">Jagoda Draženović is </t>
  </si>
  <si>
    <t>Jagoda Draženović is a</t>
  </si>
  <si>
    <t>Monika Rimac is a female.</t>
  </si>
  <si>
    <t>Monika Rimac has 1 friend: Jag</t>
  </si>
  <si>
    <t>Mia Popić's last name is Popić</t>
  </si>
  <si>
    <t>Mia Popić is 27 years old</t>
  </si>
  <si>
    <t>Mia Popić is a female.</t>
  </si>
  <si>
    <t>Mia Popić is friends with Eduard T</t>
  </si>
  <si>
    <t>Mia Popić has 1 friend: Edu</t>
  </si>
  <si>
    <t xml:space="preserve">Saša Škrtić is </t>
  </si>
  <si>
    <t>Duje Ravlić is 35 years</t>
  </si>
  <si>
    <t>Duje Ravlić has 1 friend:</t>
  </si>
  <si>
    <t>Monika Rimac's last name is Rimac</t>
  </si>
  <si>
    <t>Monika Rimac and Jagoda Dražen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</si>
</sst>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F9941-CA34-4596-8435-93ADF65A1186}">
  <dimension ref="A1:T49"/>
  <sheetViews>
    <sheetView tabSelected="1" workbookViewId="0"/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9.7109375" bestFit="1" customWidth="1"/>
    <col min="13" max="13" width="21" bestFit="1" customWidth="1"/>
    <col min="14" max="14" width="15.28515625" bestFit="1" customWidth="1"/>
    <col min="15" max="15" width="12.5703125" bestFit="1" customWidth="1"/>
    <col min="16" max="16" width="11.5703125" bestFit="1" customWidth="1"/>
    <col min="17" max="17" width="12.5703125" bestFit="1" customWidth="1"/>
    <col min="18" max="18" width="14.7109375" bestFit="1" customWidth="1"/>
    <col min="19" max="19" width="12.570312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31</v>
      </c>
      <c r="N2">
        <f ca="1">G3+G4+G5</f>
        <v>36</v>
      </c>
      <c r="O2">
        <f ca="1">B13+B14+B15</f>
        <v>29</v>
      </c>
      <c r="P2">
        <f ca="1">G13+G14+G15</f>
        <v>30</v>
      </c>
      <c r="Q2">
        <f ca="1">B23+B24+B25</f>
        <v>34</v>
      </c>
      <c r="R2">
        <f ca="1">G23+G24+G25</f>
        <v>36</v>
      </c>
      <c r="S2">
        <f ca="1">B33+B34+B35</f>
        <v>31</v>
      </c>
      <c r="T2">
        <f ca="1">G33+G34+G35</f>
        <v>36</v>
      </c>
    </row>
    <row r="3" spans="1:20">
      <c r="A3" t="b">
        <v>1</v>
      </c>
      <c r="B3">
        <f ca="1">COUNTIFS(INDIRECT(A1 &amp; "!$C$2:$C$86"),TRUE, INDIRECT(A1 &amp; "!$E$2:$E$86"),TRUE)</f>
        <v>31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36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  <c r="L3" t="s">
        <v>10</v>
      </c>
      <c r="M3">
        <f ca="1">SUM(B3:D3)</f>
        <v>31</v>
      </c>
      <c r="N3">
        <f ca="1">SUM(G3:I3)</f>
        <v>36</v>
      </c>
      <c r="O3">
        <f ca="1">SUM(B13:D13)</f>
        <v>29</v>
      </c>
      <c r="P3">
        <f ca="1">SUM(G13:I13)</f>
        <v>30</v>
      </c>
      <c r="Q3">
        <f ca="1">SUM(B23:D23)</f>
        <v>34</v>
      </c>
      <c r="R3">
        <f ca="1">G23+H23+I23</f>
        <v>36</v>
      </c>
      <c r="S3">
        <f ca="1">B33+C33+D33</f>
        <v>31</v>
      </c>
      <c r="T3">
        <f ca="1">G33+H33+I33</f>
        <v>36</v>
      </c>
    </row>
    <row r="4" spans="1:20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5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0</v>
      </c>
      <c r="H4">
        <f ca="1">COUNTIFS(INDIRECT(F1 &amp; "!$C$2:$C$86"),FALSE, INDIRECT(F1 &amp; "!$E$2:$E$86"),FALSE)</f>
        <v>0</v>
      </c>
      <c r="I4">
        <f ca="1">COUNTIFS(INDIRECT(F1 &amp; "!$C$2:$C$86"),FALSE, INDIRECT(F1 &amp; "!$E$2:$E$86"),"half true")</f>
        <v>0</v>
      </c>
      <c r="L4" t="s">
        <v>11</v>
      </c>
      <c r="M4">
        <f ca="1">SUM(M2:M3)</f>
        <v>62</v>
      </c>
      <c r="N4">
        <f t="shared" ref="N4:T4" ca="1" si="0">SUM(N2:N3)</f>
        <v>72</v>
      </c>
      <c r="O4">
        <f t="shared" ca="1" si="0"/>
        <v>58</v>
      </c>
      <c r="P4">
        <f t="shared" ca="1" si="0"/>
        <v>60</v>
      </c>
      <c r="Q4">
        <f t="shared" ca="1" si="0"/>
        <v>68</v>
      </c>
      <c r="R4">
        <f t="shared" ca="1" si="0"/>
        <v>72</v>
      </c>
      <c r="S4">
        <f t="shared" ca="1" si="0"/>
        <v>62</v>
      </c>
      <c r="T4">
        <f t="shared" ca="1" si="0"/>
        <v>72</v>
      </c>
    </row>
    <row r="5" spans="1:20">
      <c r="A5" t="s">
        <v>8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8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20">
      <c r="A6" t="s">
        <v>12</v>
      </c>
      <c r="B6">
        <f ca="1">SUM(B3:D5)</f>
        <v>36</v>
      </c>
      <c r="F6" t="s">
        <v>12</v>
      </c>
      <c r="G6">
        <f ca="1">SUM(G3:I5)</f>
        <v>36</v>
      </c>
    </row>
    <row r="7" spans="1:20">
      <c r="A7" t="s">
        <v>13</v>
      </c>
      <c r="B7">
        <f ca="1">(B3+C4+D5)/B6</f>
        <v>1</v>
      </c>
      <c r="F7" t="s">
        <v>13</v>
      </c>
      <c r="G7">
        <f ca="1">(G3+H4+I5)/G6</f>
        <v>1</v>
      </c>
    </row>
    <row r="8" spans="1:20">
      <c r="A8" t="s">
        <v>14</v>
      </c>
      <c r="B8">
        <f ca="1">((SUM(B3:D3)*SUM(B3:B5))+(SUM(B4:D4)*SUM(C3:C5))+(SUM(B5:D5)*SUM(D3:D5)))/(B6^2)</f>
        <v>0.76080246913580252</v>
      </c>
      <c r="F8" t="s">
        <v>14</v>
      </c>
      <c r="G8">
        <f ca="1">((SUM(G3:I3)*SUM(G3:G5))+(SUM(G4:I4)*SUM(H3:H5))+(SUM(G5:I5)*SUM(I3:I5)))/(G6^2)</f>
        <v>1</v>
      </c>
      <c r="M8" t="s">
        <v>15</v>
      </c>
    </row>
    <row r="9" spans="1:20">
      <c r="A9" t="s">
        <v>16</v>
      </c>
      <c r="B9">
        <f ca="1">(B7-B8)/(1-B8)</f>
        <v>1</v>
      </c>
      <c r="F9" t="s">
        <v>16</v>
      </c>
      <c r="G9" t="e">
        <f ca="1">(G7-G8)/(1-G8)</f>
        <v>#DIV/0!</v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</row>
    <row r="10" spans="1:20">
      <c r="M10">
        <f ca="1">M4</f>
        <v>62</v>
      </c>
      <c r="N10">
        <f t="shared" ref="N10:T10" ca="1" si="1">N4</f>
        <v>72</v>
      </c>
      <c r="O10">
        <f t="shared" ca="1" si="1"/>
        <v>58</v>
      </c>
      <c r="P10">
        <f t="shared" ca="1" si="1"/>
        <v>60</v>
      </c>
      <c r="Q10">
        <f t="shared" ca="1" si="1"/>
        <v>68</v>
      </c>
      <c r="R10">
        <f t="shared" ca="1" si="1"/>
        <v>72</v>
      </c>
      <c r="S10">
        <f t="shared" ca="1" si="1"/>
        <v>62</v>
      </c>
      <c r="T10">
        <f t="shared" ca="1" si="1"/>
        <v>72</v>
      </c>
    </row>
    <row r="11" spans="1:20">
      <c r="A11" t="s">
        <v>2</v>
      </c>
      <c r="F11" t="s">
        <v>3</v>
      </c>
      <c r="M11">
        <v>62</v>
      </c>
      <c r="N11">
        <v>68</v>
      </c>
      <c r="O11">
        <v>54</v>
      </c>
      <c r="P11">
        <v>64</v>
      </c>
      <c r="Q11">
        <v>66</v>
      </c>
      <c r="R11">
        <v>72</v>
      </c>
      <c r="S11">
        <v>64</v>
      </c>
      <c r="T11">
        <v>72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  <c r="M12">
        <v>64</v>
      </c>
      <c r="N12">
        <v>68</v>
      </c>
      <c r="O12">
        <v>58</v>
      </c>
      <c r="P12">
        <v>58</v>
      </c>
      <c r="Q12">
        <v>66</v>
      </c>
      <c r="R12">
        <v>72</v>
      </c>
      <c r="S12">
        <v>62</v>
      </c>
      <c r="T12">
        <v>72</v>
      </c>
    </row>
    <row r="13" spans="1:20">
      <c r="A13" t="b">
        <v>1</v>
      </c>
      <c r="B13">
        <f ca="1">COUNTIFS(INDIRECT(A11 &amp; "!$C$2:$C$86"),TRUE, INDIRECT(A11 &amp; "!$E$2:$E$86"),TRUE)</f>
        <v>29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"!$C$2:$C$86"),TRUE, INDIRECT(F11 &amp; "!$E$2:$E$86"),TRUE)</f>
        <v>30</v>
      </c>
      <c r="H13">
        <f ca="1">COUNTIFS(INDIRECT(F11 &amp; "!$C$2:$C$86"),TRUE, INDIRECT(F11 &amp; "!$E$2:$E$86"),FALSE)</f>
        <v>0</v>
      </c>
      <c r="I13">
        <f ca="1">COUNTIFS(INDIRECT(F11 &amp; "!$C$2:$C$86"),TRUE, INDIRECT(F11 &amp; "!$E$2:$E$86"),"half true")</f>
        <v>0</v>
      </c>
      <c r="M13">
        <v>64</v>
      </c>
      <c r="N13">
        <v>70</v>
      </c>
      <c r="O13">
        <v>58</v>
      </c>
      <c r="P13">
        <v>62</v>
      </c>
      <c r="Q13">
        <v>66</v>
      </c>
      <c r="R13">
        <v>70</v>
      </c>
      <c r="S13">
        <v>64</v>
      </c>
      <c r="T13">
        <v>72</v>
      </c>
    </row>
    <row r="14" spans="1:20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6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"!$C$2:$C$86"),FALSE, INDIRECT(F11 &amp; "!$E$2:$E$86"),TRUE)</f>
        <v>0</v>
      </c>
      <c r="H14">
        <f ca="1">COUNTIFS(INDIRECT(F11 &amp; "!$C$2:$C$86"),FALSE, INDIRECT(F11 &amp; "!$E$2:$E$86"),FALSE)</f>
        <v>5</v>
      </c>
      <c r="I14">
        <f ca="1">COUNTIFS(INDIRECT(F11 &amp; "!$C$2:$C$86"),FALSE, INDIRECT(F11 &amp; "!$E$2:$E$86"),"half true")</f>
        <v>0</v>
      </c>
      <c r="M14">
        <v>64</v>
      </c>
      <c r="N14">
        <v>72</v>
      </c>
      <c r="O14">
        <v>56</v>
      </c>
      <c r="P14">
        <v>62</v>
      </c>
      <c r="Q14">
        <v>68</v>
      </c>
      <c r="R14">
        <v>72</v>
      </c>
      <c r="S14">
        <v>62</v>
      </c>
      <c r="T14">
        <v>72</v>
      </c>
    </row>
    <row r="15" spans="1:20">
      <c r="A15" t="s">
        <v>8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1</v>
      </c>
      <c r="D15">
        <f ca="1">COUNTIFS(INDIRECT(A11 &amp; "!$C$2:$C$86"),"half true", INDIRECT(A11 &amp; "!$E$2:$E$86"),"half true")</f>
        <v>0</v>
      </c>
      <c r="F15" t="s">
        <v>8</v>
      </c>
      <c r="G15">
        <f ca="1">COUNTIFS(INDIRECT(F11 &amp; "!$C$2:$C$86"),"half true", INDIRECT(F11 &amp; "!$E$2:$E$86"),TRUE)</f>
        <v>0</v>
      </c>
      <c r="H15">
        <f ca="1">COUNTIFS(INDIRECT(F11 &amp; "!$C$2:$C$86"),"half true", INDIRECT(F11 &amp; "!$E$2:$E$86"),FALSE)</f>
        <v>1</v>
      </c>
      <c r="I15">
        <f ca="1">COUNTIFS(INDIRECT(F11 &amp; "!$C$2:$C$86"),"half true", INDIRECT(F11 &amp; "!$E$2:$E$86"),"half true")</f>
        <v>0</v>
      </c>
      <c r="L15" t="s">
        <v>17</v>
      </c>
      <c r="M15">
        <f ca="1">SUM(M10:M14)</f>
        <v>316</v>
      </c>
      <c r="N15">
        <f t="shared" ref="N15:T15" ca="1" si="2">SUM(N10:N14)</f>
        <v>350</v>
      </c>
      <c r="O15">
        <f t="shared" ca="1" si="2"/>
        <v>284</v>
      </c>
      <c r="P15">
        <f t="shared" ca="1" si="2"/>
        <v>306</v>
      </c>
      <c r="Q15">
        <f t="shared" ca="1" si="2"/>
        <v>334</v>
      </c>
      <c r="R15">
        <f t="shared" ca="1" si="2"/>
        <v>358</v>
      </c>
      <c r="S15">
        <f t="shared" ca="1" si="2"/>
        <v>314</v>
      </c>
      <c r="T15">
        <f t="shared" ca="1" si="2"/>
        <v>360</v>
      </c>
    </row>
    <row r="16" spans="1:20">
      <c r="A16" t="s">
        <v>12</v>
      </c>
      <c r="B16">
        <f ca="1">SUM(B13:D15)</f>
        <v>36</v>
      </c>
      <c r="F16" t="s">
        <v>12</v>
      </c>
      <c r="G16">
        <f ca="1">SUM(G13:I15)</f>
        <v>36</v>
      </c>
      <c r="L16" t="s">
        <v>18</v>
      </c>
      <c r="M16">
        <f ca="1">2*5*B6</f>
        <v>360</v>
      </c>
      <c r="N16">
        <f ca="1">M16</f>
        <v>360</v>
      </c>
      <c r="O16">
        <f t="shared" ref="O16:T16" ca="1" si="3">N16</f>
        <v>360</v>
      </c>
      <c r="P16">
        <f t="shared" ca="1" si="3"/>
        <v>360</v>
      </c>
      <c r="Q16">
        <f t="shared" ca="1" si="3"/>
        <v>360</v>
      </c>
      <c r="R16">
        <f t="shared" ca="1" si="3"/>
        <v>360</v>
      </c>
      <c r="S16">
        <f t="shared" ca="1" si="3"/>
        <v>360</v>
      </c>
      <c r="T16">
        <f t="shared" ca="1" si="3"/>
        <v>360</v>
      </c>
    </row>
    <row r="17" spans="1:20">
      <c r="A17" t="s">
        <v>13</v>
      </c>
      <c r="B17">
        <f ca="1">(B13+C14+D15)/B16</f>
        <v>0.97222222222222221</v>
      </c>
      <c r="F17" t="s">
        <v>13</v>
      </c>
      <c r="G17">
        <f ca="1">(G13+H14+I15)/G16</f>
        <v>0.97222222222222221</v>
      </c>
      <c r="L17" t="s">
        <v>19</v>
      </c>
      <c r="M17">
        <f ca="1">M15/M16</f>
        <v>0.87777777777777777</v>
      </c>
      <c r="N17">
        <f t="shared" ref="N17:T17" ca="1" si="4">N15/N16</f>
        <v>0.97222222222222221</v>
      </c>
      <c r="O17">
        <f t="shared" ca="1" si="4"/>
        <v>0.78888888888888886</v>
      </c>
      <c r="P17">
        <f t="shared" ca="1" si="4"/>
        <v>0.85</v>
      </c>
      <c r="Q17">
        <f t="shared" ca="1" si="4"/>
        <v>0.92777777777777781</v>
      </c>
      <c r="R17">
        <f t="shared" ca="1" si="4"/>
        <v>0.99444444444444446</v>
      </c>
      <c r="S17">
        <f t="shared" ca="1" si="4"/>
        <v>0.87222222222222223</v>
      </c>
      <c r="T17">
        <f t="shared" ca="1" si="4"/>
        <v>1</v>
      </c>
    </row>
    <row r="18" spans="1:20">
      <c r="A18" t="s">
        <v>14</v>
      </c>
      <c r="B18">
        <f ca="1">((SUM(B13:D13)*SUM(B13:B15))+(SUM(B14:D14)*SUM(C13:C15))+(SUM(B15:D15)*SUM(D13:D15)))/(B16^2)</f>
        <v>0.68132716049382713</v>
      </c>
      <c r="F18" t="s">
        <v>14</v>
      </c>
      <c r="G18">
        <f ca="1">((SUM(G13:I13)*SUM(G13:G15))+(SUM(G14:I14)*SUM(H13:H15))+(SUM(G15:I15)*SUM(I13:I15)))/(G16^2)</f>
        <v>0.71759259259259256</v>
      </c>
    </row>
    <row r="19" spans="1:20">
      <c r="A19" t="s">
        <v>16</v>
      </c>
      <c r="B19">
        <f ca="1">(B17-B18)/(1-B18)</f>
        <v>0.9128329297820823</v>
      </c>
      <c r="F19" t="s">
        <v>16</v>
      </c>
      <c r="G19">
        <f ca="1">(G17-G18)/(1-G18)</f>
        <v>0.90163934426229508</v>
      </c>
    </row>
    <row r="21" spans="1:20">
      <c r="A21" t="s">
        <v>4</v>
      </c>
      <c r="F21" t="s">
        <v>5</v>
      </c>
    </row>
    <row r="22" spans="1:20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20">
      <c r="A23" t="b">
        <v>1</v>
      </c>
      <c r="B23">
        <f ca="1">COUNTIFS(INDIRECT(A21 &amp; "!$C$2:$C$86"),TRUE, INDIRECT(A21 &amp; "!$E$2:$E$86"),TRUE)</f>
        <v>34</v>
      </c>
      <c r="C23">
        <f ca="1">COUNTIFS(INDIRECT(A21 &amp; "!$C$2:$C$86"),TRUE, INDIRECT(A21 &amp; "!$E$2:$E$86"),FALSE)</f>
        <v>0</v>
      </c>
      <c r="D23">
        <f ca="1">COUNTIFS(INDIRECT(A21 &amp; "!$C$2:$C$86"),TRUE, INDIRECT(A21 &amp; "!$E$2:$E$86"),"half true")</f>
        <v>0</v>
      </c>
      <c r="F23" t="b">
        <v>1</v>
      </c>
      <c r="G23">
        <f ca="1">COUNTIFS(INDIRECT(F21 &amp; "!$C$2:$C$86"),TRUE, INDIRECT(F21 &amp; "!$E$2:$E$86"),TRUE)</f>
        <v>36</v>
      </c>
      <c r="H23">
        <f ca="1">COUNTIFS(INDIRECT(F21 &amp; "!$C$2:$C$86"),TRUE, INDIRECT(F21 &amp; "!$E$2:$E$86"),FALSE)</f>
        <v>0</v>
      </c>
      <c r="I23">
        <f ca="1">COUNTIFS(INDIRECT(F21 &amp; "!$C$2:$C$86"),TRUE, INDIRECT(F21 &amp; "!$E$2:$E$86"),"half true")</f>
        <v>0</v>
      </c>
    </row>
    <row r="24" spans="1:20">
      <c r="A24" t="b">
        <v>0</v>
      </c>
      <c r="B24">
        <f ca="1">COUNTIFS(INDIRECT(A21 &amp; "!$C$2:$C$86"),FALSE, INDIRECT(A21 &amp; "!$E$2:$E$86"),TRUE)</f>
        <v>0</v>
      </c>
      <c r="C24">
        <f ca="1">COUNTIFS(INDIRECT(A21 &amp; "!$C$2:$C$86"),FALSE, INDIRECT(A21 &amp; "!$E$2:$E$86"),FALSE)</f>
        <v>2</v>
      </c>
      <c r="D24">
        <f ca="1">COUNTIFS(INDIRECT(A21 &amp; "!$C$2:$C$86"),FALSE, INDIRECT(A21 &amp; "!$E$2:$E$86"),"half true")</f>
        <v>0</v>
      </c>
      <c r="F24" t="b">
        <v>0</v>
      </c>
      <c r="G24">
        <f ca="1">COUNTIFS(INDIRECT(F21 &amp; "!$C$2:$C$86"),FALSE, INDIRECT(F21 &amp; "!$E$2:$E$86"),TRUE)</f>
        <v>0</v>
      </c>
      <c r="H24">
        <f ca="1">COUNTIFS(INDIRECT(F21 &amp; "!$C$2:$C$86"),FALSE, INDIRECT(F21 &amp; "!$E$2:$E$86"),FALSE)</f>
        <v>0</v>
      </c>
      <c r="I24">
        <f ca="1">COUNTIFS(INDIRECT(F21 &amp; "!$C$2:$C$86"),FALSE, INDIRECT(F21 &amp; "!$E$2:$E$86"),"half true")</f>
        <v>0</v>
      </c>
    </row>
    <row r="25" spans="1:20">
      <c r="A25" t="s">
        <v>8</v>
      </c>
      <c r="B25">
        <f ca="1">COUNTIFS(INDIRECT(A21 &amp; "!$C$2:$C$86"),"half true", INDIRECT(A21 &amp; "!$E$2:$E$86"),TRUE)</f>
        <v>0</v>
      </c>
      <c r="C25">
        <f ca="1">COUNTIFS(INDIRECT(A21 &amp; "!$C$2:$C$86"),"half true", INDIRECT(A21 &amp; "!$E$2:$E$86"),FALSE)</f>
        <v>0</v>
      </c>
      <c r="D25">
        <f ca="1">COUNTIFS(INDIRECT(A21 &amp; "!$C$2:$C$86"),"half true", INDIRECT(A21 &amp; "!$E$2:$E$86"),"half true")</f>
        <v>0</v>
      </c>
      <c r="F25" t="s">
        <v>8</v>
      </c>
      <c r="G25">
        <f ca="1">COUNTIFS(INDIRECT(F21 &amp; "!$C$2:$C$86"),"half true", INDIRECT(F21 &amp; "!$E$2:$E$86"),TRUE)</f>
        <v>0</v>
      </c>
      <c r="H25">
        <f ca="1">COUNTIFS(INDIRECT(F21 &amp; "!$C$2:$C$86"),"half true", INDIRECT(F21 &amp; "!$E$2:$E$86"),FALSE)</f>
        <v>0</v>
      </c>
      <c r="I25">
        <f ca="1">COUNTIFS(INDIRECT(F21 &amp; "!$C$2:$C$86"),"half true", INDIRECT(F21 &amp; "!$E$2:$E$86"),"half true")</f>
        <v>0</v>
      </c>
    </row>
    <row r="26" spans="1:20">
      <c r="A26" t="s">
        <v>12</v>
      </c>
      <c r="B26">
        <f ca="1">SUM(B23:D25)</f>
        <v>36</v>
      </c>
      <c r="F26" t="s">
        <v>12</v>
      </c>
      <c r="G26">
        <f ca="1">SUM(G23:I25)</f>
        <v>36</v>
      </c>
    </row>
    <row r="27" spans="1:20">
      <c r="A27" t="s">
        <v>13</v>
      </c>
      <c r="B27">
        <f ca="1">(B23+C24+D25)/B26</f>
        <v>1</v>
      </c>
      <c r="F27" t="s">
        <v>13</v>
      </c>
      <c r="G27">
        <f ca="1">(G23+H24+I25)/G26</f>
        <v>1</v>
      </c>
    </row>
    <row r="28" spans="1:20">
      <c r="A28" t="s">
        <v>14</v>
      </c>
      <c r="B28">
        <f ca="1">((SUM(B23:D23)*SUM(B23:B25))+(SUM(B24:D24)*SUM(C23:C25))+(SUM(B25:D25)*SUM(D23:D25)))/(B26^2)</f>
        <v>0.89506172839506171</v>
      </c>
      <c r="F28" t="s">
        <v>14</v>
      </c>
      <c r="G28">
        <f ca="1">((SUM(G23:I23)*SUM(G23:G25))+(SUM(G24:I24)*SUM(H23:H25))+(SUM(G25:I25)*SUM(I23:I25)))/(G26^2)</f>
        <v>1</v>
      </c>
    </row>
    <row r="29" spans="1:20">
      <c r="A29" t="s">
        <v>16</v>
      </c>
      <c r="B29">
        <f ca="1">(B27-B28)/(1-B28)</f>
        <v>1</v>
      </c>
      <c r="F29" t="s">
        <v>16</v>
      </c>
      <c r="G29" t="e">
        <f ca="1">(G27-G28)/(1-G28)</f>
        <v>#DIV/0!</v>
      </c>
    </row>
    <row r="31" spans="1:20">
      <c r="A31" t="s">
        <v>6</v>
      </c>
      <c r="F31" t="s">
        <v>7</v>
      </c>
    </row>
    <row r="32" spans="1:20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"!$C$2:$C$86"),TRUE, INDIRECT(A31 &amp; "!$E$2:$E$86"),TRUE)</f>
        <v>31</v>
      </c>
      <c r="C33">
        <f ca="1">COUNTIFS(INDIRECT(A31 &amp; "!$C$2:$C$86"),TRUE, INDIRECT(A31 &amp; "!$E$2:$E$86"),FALSE)</f>
        <v>0</v>
      </c>
      <c r="D33">
        <f ca="1">COUNTIFS(INDIRECT(A31 &amp; "!$C$2:$C$86"),TRUE, INDIRECT(A31 &amp; "!$E$2:$E$86"),"half true")</f>
        <v>0</v>
      </c>
      <c r="F33" t="b">
        <v>1</v>
      </c>
      <c r="G33">
        <f ca="1">COUNTIFS(INDIRECT(F31 &amp; "!$C$2:$C$86"),TRUE, INDIRECT(F31 &amp; "!$E$2:$E$86"),TRUE)</f>
        <v>36</v>
      </c>
      <c r="H33">
        <f ca="1">COUNTIFS(INDIRECT(F31 &amp; "!$C$2:$C$86"),TRUE, INDIRECT(F31 &amp; "!$E$2:$E$86"),FALSE)</f>
        <v>0</v>
      </c>
      <c r="I33">
        <f ca="1">COUNTIFS(INDIRECT(F31 &amp; "!$C$2:$C$86"),TRUE, INDIRECT(F31 &amp; "!$E$2:$E$86"),"half true")</f>
        <v>0</v>
      </c>
    </row>
    <row r="34" spans="1:9">
      <c r="A34" t="b">
        <v>0</v>
      </c>
      <c r="B34">
        <f ca="1">COUNTIFS(INDIRECT(A31 &amp; "!$C$2:$C$86"),FALSE, INDIRECT(A31 &amp; "!$E$2:$E$86"),TRUE)</f>
        <v>0</v>
      </c>
      <c r="C34">
        <f ca="1">COUNTIFS(INDIRECT(A31 &amp; "!$C$2:$C$86"),FALSE, INDIRECT(A31 &amp; "!$E$2:$E$86"),FALSE)</f>
        <v>5</v>
      </c>
      <c r="D34">
        <f ca="1">COUNTIFS(INDIRECT(A31 &amp; "!$C$2:$C$86"),FALSE, INDIRECT(A31 &amp; "!$E$2:$E$86"),"half true")</f>
        <v>0</v>
      </c>
      <c r="F34" t="b">
        <v>0</v>
      </c>
      <c r="G34">
        <f ca="1">COUNTIFS(INDIRECT(F31 &amp; "!$C$2:$C$86"),FALSE, INDIRECT(F31 &amp; "!$E$2:$E$86"),TRUE)</f>
        <v>0</v>
      </c>
      <c r="H34">
        <f ca="1">COUNTIFS(INDIRECT(F31 &amp; "!$C$2:$C$86"),FALSE, INDIRECT(F31 &amp; "!$E$2:$E$86"),FALSE)</f>
        <v>0</v>
      </c>
      <c r="I34">
        <f ca="1">COUNTIFS(INDIRECT(F31 &amp; "!$C$2:$C$86"),FALSE, INDIRECT(F31 &amp; "!$E$2:$E$86"),"half true")</f>
        <v>0</v>
      </c>
    </row>
    <row r="35" spans="1:9">
      <c r="A35" t="s">
        <v>8</v>
      </c>
      <c r="B35">
        <f ca="1">COUNTIFS(INDIRECT(A31 &amp; "!$C$2:$C$86"),"half true", INDIRECT(A31 &amp; "!$E$2:$E$86"),TRUE)</f>
        <v>0</v>
      </c>
      <c r="C35">
        <f ca="1">COUNTIFS(INDIRECT(A31 &amp; "!$C$2:$C$86"),"half true", INDIRECT(A31 &amp; "!$E$2:$E$86"),FALSE)</f>
        <v>0</v>
      </c>
      <c r="D35">
        <f ca="1">COUNTIFS(INDIRECT(A31 &amp; "!$C$2:$C$86"),"half true", INDIRECT(A31 &amp; "!$E$2:$E$86"),"half true")</f>
        <v>0</v>
      </c>
      <c r="F35" t="s">
        <v>8</v>
      </c>
      <c r="G35">
        <f ca="1">COUNTIFS(INDIRECT(F31 &amp; "!$C$2:$C$86"),"half true", INDIRECT(F31 &amp; "!$E$2:$E$86"),TRUE)</f>
        <v>0</v>
      </c>
      <c r="H35">
        <f ca="1">COUNTIFS(INDIRECT(F31 &amp; "!$C$2:$C$86"),"half true", INDIRECT(F31 &amp; "!$E$2:$E$86"),FALSE)</f>
        <v>0</v>
      </c>
      <c r="I35">
        <f ca="1">COUNTIFS(INDIRECT(F31 &amp; "!$C$2:$C$86"),"half true", INDIRECT(F31 &amp; "!$E$2:$E$86"),"half true")</f>
        <v>0</v>
      </c>
    </row>
    <row r="36" spans="1:9">
      <c r="A36" t="s">
        <v>12</v>
      </c>
      <c r="B36">
        <f ca="1">SUM(B33:D35)</f>
        <v>36</v>
      </c>
      <c r="F36" t="s">
        <v>12</v>
      </c>
      <c r="G36">
        <f ca="1">SUM(G33:I35)</f>
        <v>36</v>
      </c>
    </row>
    <row r="37" spans="1:9">
      <c r="A37" t="s">
        <v>13</v>
      </c>
      <c r="B37">
        <f ca="1">(B33+C34+D35)/B36</f>
        <v>1</v>
      </c>
      <c r="F37" t="s">
        <v>13</v>
      </c>
      <c r="G37">
        <f ca="1">(G33+H34+I35)/G36</f>
        <v>1</v>
      </c>
    </row>
    <row r="38" spans="1:9">
      <c r="A38" t="s">
        <v>14</v>
      </c>
      <c r="B38">
        <f ca="1">((SUM(B33:D33)*SUM(B33:B35))+(SUM(B34:D34)*SUM(C33:C35))+(SUM(B35:D35)*SUM(D33:D35)))/(B36^2)</f>
        <v>0.76080246913580252</v>
      </c>
      <c r="F38" t="s">
        <v>14</v>
      </c>
      <c r="G38">
        <f ca="1">((SUM(G33:I33)*SUM(G33:G35))+(SUM(G34:I34)*SUM(H33:H35))+(SUM(G35:I35)*SUM(I33:I35)))/(G36^2)</f>
        <v>1</v>
      </c>
    </row>
    <row r="39" spans="1:9">
      <c r="A39" t="s">
        <v>16</v>
      </c>
      <c r="B39">
        <f ca="1">(B37-B38)/(1-B38)</f>
        <v>1</v>
      </c>
      <c r="F39" t="s">
        <v>16</v>
      </c>
      <c r="G39" t="e">
        <f ca="1">(G37-G38)/(1-G38)</f>
        <v>#DIV/0!</v>
      </c>
    </row>
    <row r="41" spans="1:9">
      <c r="A41" t="s">
        <v>20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263</v>
      </c>
      <c r="C43">
        <f t="shared" ref="C43:D45" ca="1" si="5">C3+H3+C13+H13+C23+H23+C33+H33</f>
        <v>0</v>
      </c>
      <c r="D43">
        <f t="shared" ca="1" si="5"/>
        <v>0</v>
      </c>
    </row>
    <row r="44" spans="1:9">
      <c r="A44" t="b">
        <v>0</v>
      </c>
      <c r="B44">
        <f t="shared" ref="B44:B45" ca="1" si="6">B4+G4+B14+G14+B24+G24+B34+G34</f>
        <v>0</v>
      </c>
      <c r="C44">
        <f t="shared" ca="1" si="5"/>
        <v>23</v>
      </c>
      <c r="D44">
        <f t="shared" ca="1" si="5"/>
        <v>0</v>
      </c>
    </row>
    <row r="45" spans="1:9">
      <c r="A45" t="s">
        <v>8</v>
      </c>
      <c r="B45">
        <f t="shared" ca="1" si="6"/>
        <v>0</v>
      </c>
      <c r="C45">
        <f t="shared" ca="1" si="5"/>
        <v>2</v>
      </c>
      <c r="D45">
        <f t="shared" ca="1" si="5"/>
        <v>0</v>
      </c>
    </row>
    <row r="46" spans="1:9">
      <c r="A46" t="s">
        <v>12</v>
      </c>
      <c r="B46">
        <f ca="1">SUM(B43:D45)</f>
        <v>288</v>
      </c>
    </row>
    <row r="47" spans="1:9">
      <c r="A47" t="s">
        <v>13</v>
      </c>
      <c r="B47">
        <f ca="1">(B43+C44+D45)/B46</f>
        <v>0.99305555555555558</v>
      </c>
    </row>
    <row r="48" spans="1:9">
      <c r="A48" t="s">
        <v>14</v>
      </c>
      <c r="B48">
        <f ca="1">((SUM(B43:D43)*SUM(B43:B45))+(SUM(B44:D44)*SUM(C43:C45))+(SUM(B45:D45)*SUM(D43:D45)))/(B46^2)</f>
        <v>0.84085648148148151</v>
      </c>
    </row>
    <row r="49" spans="1:2">
      <c r="A49" t="s">
        <v>16</v>
      </c>
      <c r="B49">
        <f ca="1">(B47-B48)/(1-B48)</f>
        <v>0.95636363636363653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5" customWidth="1"/>
    <col min="2" max="2" width="33.140625" customWidth="1"/>
    <col min="5" max="5" width="10.425781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34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36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37</v>
      </c>
      <c r="B7" t="s">
        <v>38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34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46</v>
      </c>
      <c r="B12" t="s">
        <v>47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48</v>
      </c>
      <c r="B13" t="s">
        <v>38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49</v>
      </c>
      <c r="B14" t="s">
        <v>50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51</v>
      </c>
      <c r="B15" t="s">
        <v>52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53</v>
      </c>
      <c r="B16" t="s">
        <v>32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55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58</v>
      </c>
      <c r="B19" t="s">
        <v>38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64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66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68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69</v>
      </c>
      <c r="B25" t="s">
        <v>38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64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76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78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79</v>
      </c>
      <c r="B31" t="s">
        <v>80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76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89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91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7"/>
  <sheetViews>
    <sheetView zoomScaleNormal="100" workbookViewId="0">
      <selection activeCell="D36" sqref="D36"/>
    </sheetView>
  </sheetViews>
  <sheetFormatPr defaultColWidth="8.5703125" defaultRowHeight="15"/>
  <cols>
    <col min="1" max="1" width="43.7109375" customWidth="1"/>
    <col min="2" max="2" width="25.28515625" customWidth="1"/>
    <col min="4" max="4" width="21" customWidth="1"/>
    <col min="5" max="5" width="12.710937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34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92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37</v>
      </c>
      <c r="B7" t="s">
        <v>38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34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46</v>
      </c>
      <c r="B12" t="s">
        <v>93</v>
      </c>
      <c r="C12" t="b">
        <f>TRUE()</f>
        <v>1</v>
      </c>
      <c r="E12" t="b">
        <f>TRUE()</f>
        <v>1</v>
      </c>
      <c r="F12" t="b">
        <f t="shared" si="0"/>
        <v>1</v>
      </c>
    </row>
    <row r="13" spans="1:6">
      <c r="A13" t="s">
        <v>48</v>
      </c>
      <c r="B13" t="s">
        <v>38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49</v>
      </c>
      <c r="B14" t="s">
        <v>50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51</v>
      </c>
      <c r="B15" t="s">
        <v>52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53</v>
      </c>
      <c r="B16" t="s">
        <v>32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34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58</v>
      </c>
      <c r="B19" t="s">
        <v>38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64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76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38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64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95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96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79</v>
      </c>
      <c r="B31" t="s">
        <v>38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76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97</v>
      </c>
      <c r="C36" t="b">
        <f>TRUE()</f>
        <v>1</v>
      </c>
      <c r="D36" t="s">
        <v>98</v>
      </c>
      <c r="E36" t="b">
        <f>TRUE()</f>
        <v>1</v>
      </c>
      <c r="F36" t="b">
        <f t="shared" si="0"/>
        <v>1</v>
      </c>
    </row>
    <row r="37" spans="1:6">
      <c r="A37" t="s">
        <v>90</v>
      </c>
      <c r="B37" t="s">
        <v>38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.5703125" customWidth="1"/>
    <col min="2" max="2" width="33.28515625" customWidth="1"/>
    <col min="5" max="5" width="10.57031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34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92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37</v>
      </c>
      <c r="B7" t="s">
        <v>38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34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46</v>
      </c>
      <c r="B12" t="s">
        <v>99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48</v>
      </c>
      <c r="B13" t="s">
        <v>38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49</v>
      </c>
      <c r="B14" t="s">
        <v>50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51</v>
      </c>
      <c r="B15" t="s">
        <v>52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53</v>
      </c>
      <c r="B16" t="s">
        <v>32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34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58</v>
      </c>
      <c r="B19" t="s">
        <v>38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64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95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38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100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95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101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79</v>
      </c>
      <c r="B31" t="s">
        <v>38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95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102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38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5.140625" customWidth="1"/>
    <col min="2" max="2" width="29.42578125" customWidth="1"/>
    <col min="5" max="5" width="12.710937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34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92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37</v>
      </c>
      <c r="B7" t="s">
        <v>38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34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46</v>
      </c>
      <c r="B12" t="s">
        <v>103</v>
      </c>
      <c r="C12" t="b">
        <f>TRUE()</f>
        <v>1</v>
      </c>
      <c r="E12" t="b">
        <f>TRUE()</f>
        <v>1</v>
      </c>
      <c r="F12" t="b">
        <f t="shared" si="0"/>
        <v>1</v>
      </c>
    </row>
    <row r="13" spans="1:6">
      <c r="A13" t="s">
        <v>48</v>
      </c>
      <c r="B13" t="s">
        <v>38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49</v>
      </c>
      <c r="B14" t="s">
        <v>50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51</v>
      </c>
      <c r="B15" t="s">
        <v>52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53</v>
      </c>
      <c r="B16" t="s">
        <v>32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34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58</v>
      </c>
      <c r="B19" t="s">
        <v>38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64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95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38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64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95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96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79</v>
      </c>
      <c r="B31" t="s">
        <v>38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95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104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90</v>
      </c>
      <c r="B37" t="s">
        <v>38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4.140625" customWidth="1"/>
    <col min="2" max="2" width="33.85546875" customWidth="1"/>
    <col min="5" max="5" width="10.570312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55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105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37</v>
      </c>
      <c r="B7" t="s">
        <v>38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34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46</v>
      </c>
      <c r="B12" t="s">
        <v>106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48</v>
      </c>
      <c r="B13" t="s">
        <v>38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49</v>
      </c>
      <c r="B14" t="s">
        <v>50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51</v>
      </c>
      <c r="B15" t="s">
        <v>52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53</v>
      </c>
      <c r="B16" t="s">
        <v>32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55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58</v>
      </c>
      <c r="B19" t="s">
        <v>38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64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76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107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64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76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78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79</v>
      </c>
      <c r="B31" t="s">
        <v>38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76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108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90</v>
      </c>
      <c r="B37" t="s">
        <v>38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7"/>
  <sheetViews>
    <sheetView zoomScaleNormal="100" workbookViewId="0">
      <selection activeCell="H18" sqref="H18"/>
    </sheetView>
  </sheetViews>
  <sheetFormatPr defaultColWidth="8.5703125" defaultRowHeight="15"/>
  <cols>
    <col min="1" max="1" width="43.42578125" customWidth="1"/>
    <col min="2" max="2" width="29.85546875" customWidth="1"/>
    <col min="5" max="5" width="12.710937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31</v>
      </c>
      <c r="B4" t="s">
        <v>32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33</v>
      </c>
      <c r="B5" t="s">
        <v>34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92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37</v>
      </c>
      <c r="B7" t="s">
        <v>38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44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34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46</v>
      </c>
      <c r="B12" t="s">
        <v>109</v>
      </c>
      <c r="C12" t="b">
        <f>TRUE()</f>
        <v>1</v>
      </c>
      <c r="E12" t="b">
        <f>TRUE()</f>
        <v>1</v>
      </c>
      <c r="F12" t="b">
        <f t="shared" si="0"/>
        <v>1</v>
      </c>
    </row>
    <row r="13" spans="1:6">
      <c r="A13" t="s">
        <v>48</v>
      </c>
      <c r="B13" t="s">
        <v>38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49</v>
      </c>
      <c r="B14" t="s">
        <v>50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51</v>
      </c>
      <c r="B15" t="s">
        <v>52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53</v>
      </c>
      <c r="B16" t="s">
        <v>32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55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58</v>
      </c>
      <c r="B19" t="s">
        <v>38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64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76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38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64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95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96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79</v>
      </c>
      <c r="B31" t="s">
        <v>38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84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86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76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110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90</v>
      </c>
      <c r="B37" t="s">
        <v>38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5.140625" style="2" customWidth="1"/>
    <col min="2" max="2" width="34" style="2" customWidth="1"/>
    <col min="3" max="4" width="8.5703125" style="2"/>
    <col min="5" max="5" width="11.7109375" style="2" customWidth="1"/>
    <col min="6" max="16384" width="8.5703125" style="2"/>
  </cols>
  <sheetData>
    <row r="1" spans="1:6">
      <c r="A1" s="1" t="s">
        <v>21</v>
      </c>
      <c r="B1" s="1" t="s">
        <v>22</v>
      </c>
      <c r="C1" s="2" t="s">
        <v>23</v>
      </c>
      <c r="D1" s="2" t="s">
        <v>24</v>
      </c>
      <c r="E1" s="2" t="s">
        <v>25</v>
      </c>
      <c r="F1" s="2" t="s">
        <v>26</v>
      </c>
    </row>
    <row r="2" spans="1:6">
      <c r="A2" s="2" t="s">
        <v>27</v>
      </c>
      <c r="B2" s="2" t="s">
        <v>28</v>
      </c>
      <c r="C2" s="2" t="b">
        <f>TRUE()</f>
        <v>1</v>
      </c>
      <c r="E2" s="2" t="b">
        <f>TRUE()</f>
        <v>1</v>
      </c>
      <c r="F2" s="2" t="b">
        <f>C2=E2</f>
        <v>1</v>
      </c>
    </row>
    <row r="3" spans="1:6">
      <c r="A3" s="2" t="s">
        <v>29</v>
      </c>
      <c r="B3" s="2" t="s">
        <v>30</v>
      </c>
      <c r="C3" s="2" t="b">
        <f>TRUE()</f>
        <v>1</v>
      </c>
      <c r="E3" s="2" t="b">
        <f>TRUE()</f>
        <v>1</v>
      </c>
      <c r="F3" s="2" t="b">
        <f t="shared" ref="F3:F37" si="0">C3=E3</f>
        <v>1</v>
      </c>
    </row>
    <row r="4" spans="1:6">
      <c r="A4" s="2" t="s">
        <v>31</v>
      </c>
      <c r="B4" s="2" t="s">
        <v>111</v>
      </c>
      <c r="C4" s="2" t="b">
        <f>TRUE()</f>
        <v>1</v>
      </c>
      <c r="E4" s="2" t="b">
        <f>TRUE()</f>
        <v>1</v>
      </c>
      <c r="F4" s="2" t="b">
        <f t="shared" si="0"/>
        <v>1</v>
      </c>
    </row>
    <row r="5" spans="1:6">
      <c r="A5" s="2" t="s">
        <v>33</v>
      </c>
      <c r="B5" s="2" t="s">
        <v>55</v>
      </c>
      <c r="C5" s="2" t="b">
        <f>TRUE()</f>
        <v>1</v>
      </c>
      <c r="E5" s="2" t="b">
        <f>TRUE()</f>
        <v>1</v>
      </c>
      <c r="F5" s="2" t="b">
        <f t="shared" si="0"/>
        <v>1</v>
      </c>
    </row>
    <row r="6" spans="1:6">
      <c r="A6" s="2" t="s">
        <v>35</v>
      </c>
      <c r="B6" s="2" t="s">
        <v>112</v>
      </c>
      <c r="C6" s="2" t="b">
        <f>FALSE()</f>
        <v>0</v>
      </c>
      <c r="E6" s="2" t="b">
        <f>FALSE()</f>
        <v>0</v>
      </c>
      <c r="F6" s="2" t="b">
        <f t="shared" si="0"/>
        <v>1</v>
      </c>
    </row>
    <row r="7" spans="1:6">
      <c r="A7" s="2" t="s">
        <v>37</v>
      </c>
      <c r="B7" s="2" t="s">
        <v>113</v>
      </c>
      <c r="C7" s="2" t="b">
        <f>FALSE()</f>
        <v>0</v>
      </c>
      <c r="E7" s="2" t="b">
        <f>FALSE()</f>
        <v>0</v>
      </c>
      <c r="F7" s="2" t="b">
        <f t="shared" si="0"/>
        <v>1</v>
      </c>
    </row>
    <row r="8" spans="1:6">
      <c r="A8" s="2" t="s">
        <v>39</v>
      </c>
      <c r="B8" s="2" t="s">
        <v>40</v>
      </c>
      <c r="C8" s="2" t="b">
        <f>TRUE()</f>
        <v>1</v>
      </c>
      <c r="E8" s="2" t="b">
        <f>TRUE()</f>
        <v>1</v>
      </c>
      <c r="F8" s="2" t="b">
        <f t="shared" si="0"/>
        <v>1</v>
      </c>
    </row>
    <row r="9" spans="1:6">
      <c r="A9" s="2" t="s">
        <v>41</v>
      </c>
      <c r="B9" s="2" t="s">
        <v>42</v>
      </c>
      <c r="C9" s="2" t="b">
        <f>TRUE()</f>
        <v>1</v>
      </c>
      <c r="E9" s="2" t="b">
        <f>TRUE()</f>
        <v>1</v>
      </c>
      <c r="F9" s="2" t="b">
        <f t="shared" si="0"/>
        <v>1</v>
      </c>
    </row>
    <row r="10" spans="1:6">
      <c r="A10" s="2" t="s">
        <v>43</v>
      </c>
      <c r="B10" s="2" t="s">
        <v>114</v>
      </c>
      <c r="C10" s="2" t="b">
        <f>TRUE()</f>
        <v>1</v>
      </c>
      <c r="E10" s="2" t="b">
        <f>TRUE()</f>
        <v>1</v>
      </c>
      <c r="F10" s="2" t="b">
        <f t="shared" si="0"/>
        <v>1</v>
      </c>
    </row>
    <row r="11" spans="1:6">
      <c r="A11" s="2" t="s">
        <v>45</v>
      </c>
      <c r="B11" s="2" t="s">
        <v>115</v>
      </c>
      <c r="C11" s="2" t="b">
        <f>TRUE()</f>
        <v>1</v>
      </c>
      <c r="E11" s="2" t="b">
        <f>TRUE()</f>
        <v>1</v>
      </c>
      <c r="F11" s="2" t="b">
        <f t="shared" si="0"/>
        <v>1</v>
      </c>
    </row>
    <row r="12" spans="1:6">
      <c r="A12" s="2" t="s">
        <v>46</v>
      </c>
      <c r="B12" s="2" t="s">
        <v>116</v>
      </c>
      <c r="C12" s="2" t="s">
        <v>8</v>
      </c>
      <c r="D12" s="2" t="s">
        <v>117</v>
      </c>
      <c r="E12" s="2" t="b">
        <v>0</v>
      </c>
      <c r="F12" s="2" t="b">
        <f t="shared" si="0"/>
        <v>0</v>
      </c>
    </row>
    <row r="13" spans="1:6">
      <c r="A13" s="2" t="s">
        <v>48</v>
      </c>
      <c r="B13" s="2" t="s">
        <v>118</v>
      </c>
      <c r="C13" s="2" t="b">
        <f>TRUE()</f>
        <v>1</v>
      </c>
      <c r="E13" s="2" t="b">
        <f>TRUE()</f>
        <v>1</v>
      </c>
      <c r="F13" s="2" t="b">
        <f t="shared" si="0"/>
        <v>1</v>
      </c>
    </row>
    <row r="14" spans="1:6">
      <c r="A14" s="2" t="s">
        <v>49</v>
      </c>
      <c r="B14" s="2" t="s">
        <v>50</v>
      </c>
      <c r="C14" s="2" t="b">
        <f>TRUE()</f>
        <v>1</v>
      </c>
      <c r="E14" s="2" t="b">
        <f>TRUE()</f>
        <v>1</v>
      </c>
      <c r="F14" s="2" t="b">
        <f t="shared" si="0"/>
        <v>1</v>
      </c>
    </row>
    <row r="15" spans="1:6">
      <c r="A15" s="2" t="s">
        <v>51</v>
      </c>
      <c r="B15" s="2" t="s">
        <v>52</v>
      </c>
      <c r="C15" s="2" t="b">
        <f>TRUE()</f>
        <v>1</v>
      </c>
      <c r="E15" s="2" t="b">
        <f>TRUE()</f>
        <v>1</v>
      </c>
      <c r="F15" s="2" t="b">
        <f t="shared" si="0"/>
        <v>1</v>
      </c>
    </row>
    <row r="16" spans="1:6">
      <c r="A16" s="2" t="s">
        <v>53</v>
      </c>
      <c r="B16" s="2" t="s">
        <v>119</v>
      </c>
      <c r="C16" s="2" t="b">
        <f>TRUE()</f>
        <v>1</v>
      </c>
      <c r="E16" s="2" t="b">
        <f>TRUE()</f>
        <v>1</v>
      </c>
      <c r="F16" s="2" t="b">
        <f t="shared" si="0"/>
        <v>1</v>
      </c>
    </row>
    <row r="17" spans="1:6">
      <c r="A17" s="2" t="s">
        <v>54</v>
      </c>
      <c r="B17" s="2" t="s">
        <v>120</v>
      </c>
      <c r="C17" s="2" t="b">
        <f>TRUE()</f>
        <v>1</v>
      </c>
      <c r="E17" s="2" t="b">
        <f>TRUE()</f>
        <v>1</v>
      </c>
      <c r="F17" s="2" t="b">
        <f t="shared" si="0"/>
        <v>1</v>
      </c>
    </row>
    <row r="18" spans="1:6">
      <c r="A18" s="2" t="s">
        <v>56</v>
      </c>
      <c r="B18" s="2" t="s">
        <v>57</v>
      </c>
      <c r="C18" s="2" t="b">
        <f>TRUE()</f>
        <v>1</v>
      </c>
      <c r="E18" s="2" t="b">
        <f>TRUE()</f>
        <v>1</v>
      </c>
      <c r="F18" s="2" t="b">
        <f t="shared" si="0"/>
        <v>1</v>
      </c>
    </row>
    <row r="19" spans="1:6">
      <c r="A19" s="2" t="s">
        <v>58</v>
      </c>
      <c r="B19" s="2" t="s">
        <v>121</v>
      </c>
      <c r="C19" s="2" t="b">
        <f>TRUE()</f>
        <v>1</v>
      </c>
      <c r="E19" s="2" t="b">
        <f>TRUE()</f>
        <v>1</v>
      </c>
      <c r="F19" s="2" t="b">
        <f t="shared" si="0"/>
        <v>1</v>
      </c>
    </row>
    <row r="20" spans="1:6">
      <c r="A20" s="2" t="s">
        <v>59</v>
      </c>
      <c r="B20" s="2" t="s">
        <v>60</v>
      </c>
      <c r="C20" s="2" t="b">
        <f>TRUE()</f>
        <v>1</v>
      </c>
      <c r="E20" s="2" t="b">
        <f>TRUE()</f>
        <v>1</v>
      </c>
      <c r="F20" s="2" t="b">
        <f t="shared" si="0"/>
        <v>1</v>
      </c>
    </row>
    <row r="21" spans="1:6">
      <c r="A21" s="2" t="s">
        <v>61</v>
      </c>
      <c r="B21" s="2" t="s">
        <v>62</v>
      </c>
      <c r="C21" s="2" t="b">
        <f>TRUE()</f>
        <v>1</v>
      </c>
      <c r="E21" s="2" t="b">
        <f>TRUE()</f>
        <v>1</v>
      </c>
      <c r="F21" s="2" t="b">
        <f t="shared" si="0"/>
        <v>1</v>
      </c>
    </row>
    <row r="22" spans="1:6">
      <c r="A22" s="2" t="s">
        <v>63</v>
      </c>
      <c r="B22" s="2" t="s">
        <v>122</v>
      </c>
      <c r="C22" s="2" t="b">
        <f>FALSE()</f>
        <v>0</v>
      </c>
      <c r="E22" s="2" t="b">
        <f>FALSE()</f>
        <v>0</v>
      </c>
      <c r="F22" s="2" t="b">
        <f t="shared" si="0"/>
        <v>1</v>
      </c>
    </row>
    <row r="23" spans="1:6">
      <c r="A23" s="2" t="s">
        <v>65</v>
      </c>
      <c r="B23" s="2" t="s">
        <v>123</v>
      </c>
      <c r="C23" s="2" t="b">
        <f>FALSE()</f>
        <v>0</v>
      </c>
      <c r="E23" s="2" t="b">
        <f>FALSE()</f>
        <v>0</v>
      </c>
      <c r="F23" s="2" t="b">
        <f t="shared" si="0"/>
        <v>1</v>
      </c>
    </row>
    <row r="24" spans="1:6">
      <c r="A24" s="2" t="s">
        <v>67</v>
      </c>
      <c r="B24" s="2" t="s">
        <v>94</v>
      </c>
      <c r="C24" s="2" t="b">
        <f>TRUE()</f>
        <v>1</v>
      </c>
      <c r="E24" s="2" t="b">
        <f>TRUE()</f>
        <v>1</v>
      </c>
      <c r="F24" s="2" t="b">
        <f t="shared" si="0"/>
        <v>1</v>
      </c>
    </row>
    <row r="25" spans="1:6">
      <c r="A25" s="2" t="s">
        <v>69</v>
      </c>
      <c r="B25" s="2" t="s">
        <v>107</v>
      </c>
      <c r="C25" s="2" t="b">
        <f>FALSE()</f>
        <v>0</v>
      </c>
      <c r="E25" s="2" t="b">
        <f>FALSE()</f>
        <v>0</v>
      </c>
      <c r="F25" s="2" t="b">
        <f t="shared" si="0"/>
        <v>1</v>
      </c>
    </row>
    <row r="26" spans="1:6">
      <c r="A26" s="2" t="s">
        <v>70</v>
      </c>
      <c r="B26" s="2" t="s">
        <v>71</v>
      </c>
      <c r="C26" s="2" t="b">
        <f>TRUE()</f>
        <v>1</v>
      </c>
      <c r="E26" s="2" t="b">
        <f>TRUE()</f>
        <v>1</v>
      </c>
      <c r="F26" s="2" t="b">
        <f t="shared" si="0"/>
        <v>1</v>
      </c>
    </row>
    <row r="27" spans="1:6">
      <c r="A27" s="2" t="s">
        <v>72</v>
      </c>
      <c r="B27" s="2" t="s">
        <v>73</v>
      </c>
      <c r="C27" s="2" t="b">
        <f>TRUE()</f>
        <v>1</v>
      </c>
      <c r="E27" s="2" t="b">
        <f>TRUE()</f>
        <v>1</v>
      </c>
      <c r="F27" s="2" t="b">
        <f t="shared" si="0"/>
        <v>1</v>
      </c>
    </row>
    <row r="28" spans="1:6">
      <c r="A28" s="2" t="s">
        <v>74</v>
      </c>
      <c r="B28" s="2" t="s">
        <v>100</v>
      </c>
      <c r="C28" s="2" t="b">
        <f>TRUE()</f>
        <v>1</v>
      </c>
      <c r="E28" s="2" t="b">
        <f>TRUE()</f>
        <v>1</v>
      </c>
      <c r="F28" s="2" t="b">
        <f t="shared" si="0"/>
        <v>1</v>
      </c>
    </row>
    <row r="29" spans="1:6">
      <c r="A29" s="2" t="s">
        <v>75</v>
      </c>
      <c r="B29" s="2" t="s">
        <v>124</v>
      </c>
      <c r="C29" s="2" t="b">
        <f>TRUE()</f>
        <v>1</v>
      </c>
      <c r="E29" s="2" t="b">
        <f>TRUE()</f>
        <v>1</v>
      </c>
      <c r="F29" s="2" t="b">
        <f t="shared" si="0"/>
        <v>1</v>
      </c>
    </row>
    <row r="30" spans="1:6">
      <c r="A30" s="2" t="s">
        <v>77</v>
      </c>
      <c r="B30" s="2" t="s">
        <v>96</v>
      </c>
      <c r="C30" s="2" t="b">
        <f>TRUE()</f>
        <v>1</v>
      </c>
      <c r="E30" s="2" t="b">
        <f>TRUE()</f>
        <v>1</v>
      </c>
      <c r="F30" s="2" t="b">
        <f t="shared" si="0"/>
        <v>1</v>
      </c>
    </row>
    <row r="31" spans="1:6">
      <c r="A31" s="2" t="s">
        <v>79</v>
      </c>
      <c r="B31" s="2" t="s">
        <v>125</v>
      </c>
      <c r="C31" s="2" t="b">
        <f>TRUE()</f>
        <v>1</v>
      </c>
      <c r="E31" s="2" t="b">
        <f>TRUE()</f>
        <v>1</v>
      </c>
      <c r="F31" s="2" t="b">
        <f t="shared" si="0"/>
        <v>1</v>
      </c>
    </row>
    <row r="32" spans="1:6">
      <c r="A32" s="2" t="s">
        <v>81</v>
      </c>
      <c r="B32" s="2" t="s">
        <v>82</v>
      </c>
      <c r="C32" s="2" t="b">
        <f>TRUE()</f>
        <v>1</v>
      </c>
      <c r="E32" s="2" t="b">
        <f>TRUE()</f>
        <v>1</v>
      </c>
      <c r="F32" s="2" t="b">
        <f t="shared" si="0"/>
        <v>1</v>
      </c>
    </row>
    <row r="33" spans="1:6">
      <c r="A33" s="2" t="s">
        <v>83</v>
      </c>
      <c r="B33" s="2" t="s">
        <v>126</v>
      </c>
      <c r="C33" s="2" t="b">
        <f>TRUE()</f>
        <v>1</v>
      </c>
      <c r="E33" s="2" t="b">
        <f>TRUE()</f>
        <v>1</v>
      </c>
      <c r="F33" s="2" t="b">
        <f t="shared" si="0"/>
        <v>1</v>
      </c>
    </row>
    <row r="34" spans="1:6">
      <c r="A34" s="2" t="s">
        <v>85</v>
      </c>
      <c r="B34" s="2" t="s">
        <v>127</v>
      </c>
      <c r="C34" s="2" t="b">
        <f>TRUE()</f>
        <v>1</v>
      </c>
      <c r="E34" s="2" t="b">
        <f>TRUE()</f>
        <v>1</v>
      </c>
      <c r="F34" s="2" t="b">
        <f t="shared" si="0"/>
        <v>1</v>
      </c>
    </row>
    <row r="35" spans="1:6">
      <c r="A35" s="2" t="s">
        <v>87</v>
      </c>
      <c r="B35" s="2" t="s">
        <v>128</v>
      </c>
      <c r="C35" s="2" t="b">
        <f>TRUE()</f>
        <v>1</v>
      </c>
      <c r="E35" s="2" t="b">
        <f>TRUE()</f>
        <v>1</v>
      </c>
      <c r="F35" s="2" t="b">
        <f t="shared" si="0"/>
        <v>1</v>
      </c>
    </row>
    <row r="36" spans="1:6">
      <c r="A36" s="2" t="s">
        <v>88</v>
      </c>
      <c r="B36" s="2" t="s">
        <v>129</v>
      </c>
      <c r="C36" s="2" t="b">
        <f>TRUE()</f>
        <v>1</v>
      </c>
      <c r="E36" s="2" t="b">
        <f>TRUE()</f>
        <v>1</v>
      </c>
      <c r="F36" s="2" t="b">
        <f t="shared" si="0"/>
        <v>1</v>
      </c>
    </row>
    <row r="37" spans="1:6">
      <c r="A37" s="2" t="s">
        <v>90</v>
      </c>
      <c r="B37" s="2" t="s">
        <v>130</v>
      </c>
      <c r="C37" s="2" t="b">
        <f>TRUE()</f>
        <v>1</v>
      </c>
      <c r="E37" s="2" t="b">
        <f>TRUE()</f>
        <v>1</v>
      </c>
      <c r="F37" s="2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.7109375" customWidth="1"/>
    <col min="2" max="2" width="31.5703125" customWidth="1"/>
    <col min="5" max="5" width="12.7109375" customWidth="1"/>
  </cols>
  <sheetData>
    <row r="1" spans="1:6">
      <c r="A1" s="1" t="s">
        <v>21</v>
      </c>
      <c r="B1" s="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>
      <c r="A2" t="s">
        <v>27</v>
      </c>
      <c r="B2" t="s">
        <v>28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29</v>
      </c>
      <c r="B3" t="s">
        <v>30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31</v>
      </c>
      <c r="B4" t="s">
        <v>131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33</v>
      </c>
      <c r="B5" t="s">
        <v>55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35</v>
      </c>
      <c r="B6" t="s">
        <v>92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37</v>
      </c>
      <c r="B7" t="s">
        <v>113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39</v>
      </c>
      <c r="B8" t="s">
        <v>40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41</v>
      </c>
      <c r="B9" t="s">
        <v>42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43</v>
      </c>
      <c r="B10" t="s">
        <v>132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45</v>
      </c>
      <c r="B11" t="s">
        <v>115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46</v>
      </c>
      <c r="B12" t="s">
        <v>116</v>
      </c>
      <c r="C12" t="s">
        <v>8</v>
      </c>
      <c r="E12" t="b">
        <v>0</v>
      </c>
      <c r="F12" t="b">
        <f t="shared" si="0"/>
        <v>0</v>
      </c>
    </row>
    <row r="13" spans="1:6">
      <c r="A13" t="s">
        <v>48</v>
      </c>
      <c r="B13" t="s">
        <v>133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49</v>
      </c>
      <c r="B14" t="s">
        <v>50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51</v>
      </c>
      <c r="B15" t="s">
        <v>52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53</v>
      </c>
      <c r="B16" t="s">
        <v>119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120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58</v>
      </c>
      <c r="B19" t="s">
        <v>113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122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65</v>
      </c>
      <c r="B23" t="s">
        <v>123</v>
      </c>
      <c r="C23" t="b">
        <f>FALSE()</f>
        <v>0</v>
      </c>
      <c r="E23" t="b">
        <f>FALSE()</f>
        <v>0</v>
      </c>
      <c r="F23" t="b">
        <f t="shared" si="0"/>
        <v>1</v>
      </c>
    </row>
    <row r="24" spans="1:6">
      <c r="A24" t="s">
        <v>67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107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134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100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75</v>
      </c>
      <c r="B29" t="s">
        <v>124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77</v>
      </c>
      <c r="B30" t="s">
        <v>135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79</v>
      </c>
      <c r="B31" t="s">
        <v>125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81</v>
      </c>
      <c r="B32" t="s">
        <v>82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83</v>
      </c>
      <c r="B33" t="s">
        <v>126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85</v>
      </c>
      <c r="B34" t="s">
        <v>127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87</v>
      </c>
      <c r="B35" t="s">
        <v>128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88</v>
      </c>
      <c r="B36" t="s">
        <v>129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90</v>
      </c>
      <c r="B37" t="s">
        <v>130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7</cp:revision>
  <dcterms:created xsi:type="dcterms:W3CDTF">2026-06-08T08:28:30Z</dcterms:created>
  <dcterms:modified xsi:type="dcterms:W3CDTF">2026-09-16T09:02:15Z</dcterms:modified>
  <cp:category/>
  <cp:contentStatus/>
</cp:coreProperties>
</file>