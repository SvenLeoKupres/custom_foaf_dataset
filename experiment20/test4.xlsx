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37" documentId="11_4926D36790F4256B9F61A50E875181F8119B046D" xr6:coauthVersionLast="47" xr6:coauthVersionMax="47" xr10:uidLastSave="{267F2094-912B-411A-948B-881A3D052A17}"/>
  <bookViews>
    <workbookView xWindow="0" yWindow="0" windowWidth="16384" windowHeight="8192" tabRatio="500" firstSheet="8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I35" i="9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<sst xmlns="http://schemas.openxmlformats.org/spreadsheetml/2006/main" count="700" uniqueCount="130">
  <si>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</si>
  <si>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</si>
  <si>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</si>
  <si>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</si>
  <si>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</si>
  <si>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</si>
  <si>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</si>
  <si>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</si>
  <si>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</si>
  <si>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</si>
  <si>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</si>
  <si>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</si>
  <si>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</si>
  <si>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</si>
  <si>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</si>
  <si>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</si>
  <si>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</si>
  <si>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</si>
  <si>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</si>
  <si>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</si>
  <si>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</si>
  <si>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</si>
  <si>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same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</si>
  <si>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</si>
  <si>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</si>
  <si>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</si>
  <si>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</si>
  <si>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</si>
  <si>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</si>
  <si>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</si>
  <si>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</t>
  </si>
  <si>
    <t>List all Saša Škrtić's friends.</t>
  </si>
  <si>
    <t>Saša Škrtić has no</t>
  </si>
  <si>
    <t>How many friends does Saša Škrtić have?</t>
  </si>
  <si>
    <t>1</t>
  </si>
  <si>
    <t>What is Duje Ravlić's first name?</t>
  </si>
  <si>
    <t>Duje</t>
  </si>
  <si>
    <t>What is Duje Ravlić's last name?</t>
  </si>
  <si>
    <t>Ravlić</t>
  </si>
  <si>
    <t>What is Duje Ravlić's age?</t>
  </si>
  <si>
    <t>35</t>
  </si>
  <si>
    <t>What is Duje Ravlić's gender?</t>
  </si>
  <si>
    <t>List all Duje Ravlić's friends.</t>
  </si>
  <si>
    <t>Jagoda Draženović, Mon</t>
  </si>
  <si>
    <t>How many friends does Duje Ravlić have?</t>
  </si>
  <si>
    <t>What is Eduard Tutić's first name?</t>
  </si>
  <si>
    <t>Eduard</t>
  </si>
  <si>
    <t>What is Eduard Tutić's last name?</t>
  </si>
  <si>
    <t>Tutić</t>
  </si>
  <si>
    <t>What is Eduard Tutić's age?</t>
  </si>
  <si>
    <t>What is Eduard Tutić's gender?</t>
  </si>
  <si>
    <t>Eduard Tutić is male.</t>
  </si>
  <si>
    <t>List all Eduard Tutić's friends.</t>
  </si>
  <si>
    <t>Mia Popić</t>
  </si>
  <si>
    <t>How many friends does Eduard Tutić have?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</si>
  <si>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</si>
  <si>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</si>
  <si>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</si>
  <si>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</si>
  <si>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</si>
  <si>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</si>
  <si>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</si>
  <si>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</si>
  <si>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</si>
  <si>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</si>
  <si>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</si>
  <si>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</si>
  <si>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</si>
  <si>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</si>
  <si>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</t>
  </si>
  <si>
    <t>What is Monika Rimac's age?</t>
  </si>
  <si>
    <t>What is Monika Rimac's gender?</t>
  </si>
  <si>
    <t>Female</t>
  </si>
  <si>
    <t>List all Monika Rimac's friends.</t>
  </si>
  <si>
    <t>Monika Rimac has no friends listed.</t>
  </si>
  <si>
    <t>How many friends does Monika Rimac have?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</si>
  <si>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</si>
  <si>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</si>
  <si>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</si>
  <si>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</si>
  <si>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</si>
  <si>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</si>
  <si>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</si>
  <si>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Mia Popić's gender is FEMALE.</t>
  </si>
  <si>
    <t>List all Mia Popić's friends.</t>
  </si>
  <si>
    <t>Mia Popić's only friend is Mia Pop</t>
  </si>
  <si>
    <t>How many friends does Mia Popić have?</t>
  </si>
  <si>
    <t>Mia Popić has 1 friend.</t>
  </si>
  <si>
    <t>Duje Ravlić</t>
  </si>
  <si>
    <t>Duje Ravlić has no friends listed.</t>
  </si>
  <si>
    <t>Jagoda Draženović</t>
  </si>
  <si>
    <t>Mia Popić's only friend is Eduard</t>
  </si>
  <si>
    <t>Duje Ravlić knows no one.</t>
  </si>
  <si>
    <t>Eduard Tutić is 43</t>
  </si>
  <si>
    <t>Jagoda Draženović is female</t>
  </si>
  <si>
    <t>No direct friends listed for Monika Rimac.</t>
  </si>
  <si>
    <t>Mia Popić knows no one.</t>
  </si>
  <si>
    <t>Duje Ravlić knows Saša �</t>
  </si>
  <si>
    <t>Mia Popić knows Eduard Tutić</t>
  </si>
  <si>
    <t>None</t>
  </si>
  <si>
    <t>Male</t>
  </si>
  <si>
    <t>Eduard Tutić has 1 friend</t>
  </si>
  <si>
    <t>Duje Ravlić: Saša �</t>
  </si>
  <si>
    <t>Mia Popić's friend is Eduard T</t>
  </si>
  <si>
    <t>Saša Škrtić is</t>
  </si>
  <si>
    <t>1 (Duje Ravlić)</t>
  </si>
  <si>
    <t>Duje Ravlić is 35 years</t>
  </si>
  <si>
    <t>Duje Ravlić is a male.</t>
  </si>
  <si>
    <t>Duje Ravlić and Saša �</t>
  </si>
  <si>
    <t>1 (Saša Škrtić</t>
  </si>
  <si>
    <t>Eduard Tutić is a male.</t>
  </si>
  <si>
    <t>1: Mia Popić.</t>
  </si>
  <si>
    <t>Jagoda Draženović is</t>
  </si>
  <si>
    <t>Jagoda Draženović is a</t>
  </si>
  <si>
    <t>Jagoda Draženović has</t>
  </si>
  <si>
    <t>Monika Rimac is 20 years old</t>
  </si>
  <si>
    <t>Monika Rimac is a female.</t>
  </si>
  <si>
    <t>Monika Rimac is friends with Jagoda Dra</t>
  </si>
  <si>
    <t>Monika Rimac has 1 friend: Jag</t>
  </si>
  <si>
    <t>Mia Popić's last name is Popić</t>
  </si>
  <si>
    <t>Mia Popić is 27 years old</t>
  </si>
  <si>
    <t>Mia Popić is a female.</t>
  </si>
  <si>
    <t>Mia Popić is friends with Eduard T</t>
  </si>
  <si>
    <t>Mia Popić has 1 friend: Edu</t>
  </si>
  <si>
    <t>Saša Škrtić is male</t>
  </si>
  <si>
    <t>2</t>
  </si>
  <si>
    <t>Duje Ravlić has 1 friend:</t>
  </si>
  <si>
    <t>Eduard Tutić is friends with Mia</t>
  </si>
  <si>
    <t>Monika Rimac's last name is Rimac</t>
  </si>
  <si>
    <t>Monika Rimac and Jagoda Dražen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</si>
</sst>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DDB8-1EAC-4A05-A44B-315A830CB8F3}">
  <dimension ref="A1:T49"/>
  <sheetViews>
    <sheetView tabSelected="1" workbookViewId="0">
      <selection activeCell="M4" sqref="M4:T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32</v>
      </c>
      <c r="N2">
        <f ca="1">G3+G4+G5</f>
        <v>35</v>
      </c>
      <c r="O2">
        <f ca="1">B13+B14+B15</f>
        <v>29</v>
      </c>
      <c r="P2">
        <f ca="1">G13+G14+G15</f>
        <v>31</v>
      </c>
      <c r="Q2">
        <f ca="1">B23+B24+B25</f>
        <v>33</v>
      </c>
      <c r="R2">
        <f ca="1">G23+G24+G25</f>
        <v>35</v>
      </c>
      <c r="S2">
        <f ca="1">B33+B34+B35</f>
        <v>32</v>
      </c>
      <c r="T2">
        <f ca="1">G33+G34+G35</f>
        <v>36</v>
      </c>
    </row>
    <row r="3" spans="1:20">
      <c r="A3" t="b">
        <v>1</v>
      </c>
      <c r="B3">
        <f ca="1">COUNTIFS(INDIRECT(A1 &amp; "!$C$2:$C$86"),TRUE, INDIRECT(A1 &amp; "!$E$2:$E$86"),TRUE)</f>
        <v>32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35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10</v>
      </c>
      <c r="M3">
        <f ca="1">SUM(B3:D3)</f>
        <v>32</v>
      </c>
      <c r="N3">
        <f ca="1">SUM(G3:I3)</f>
        <v>35</v>
      </c>
      <c r="O3">
        <f ca="1">SUM(B13:D13)</f>
        <v>29</v>
      </c>
      <c r="P3">
        <f ca="1">SUM(G13:I13)</f>
        <v>31</v>
      </c>
      <c r="Q3">
        <f ca="1">SUM(B23:D23)</f>
        <v>33</v>
      </c>
      <c r="R3">
        <f ca="1">G23+H23+I23</f>
        <v>35</v>
      </c>
      <c r="S3">
        <f ca="1">B33+C33+D33</f>
        <v>32</v>
      </c>
      <c r="T3">
        <f ca="1">G33+H33+I33</f>
        <v>36</v>
      </c>
    </row>
    <row r="4" spans="1:20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4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1</v>
      </c>
      <c r="I4">
        <f ca="1">COUNTIFS(INDIRECT(F1 &amp; "!$C$2:$C$86"),FALSE, INDIRECT(F1 &amp; "!$E$2:$E$86"),"half true")</f>
        <v>0</v>
      </c>
      <c r="L4" t="s">
        <v>11</v>
      </c>
      <c r="M4">
        <f ca="1">SUM(M2:M3)</f>
        <v>64</v>
      </c>
      <c r="N4">
        <f t="shared" ref="N4:T4" ca="1" si="0">SUM(N2:N3)</f>
        <v>70</v>
      </c>
      <c r="O4">
        <f t="shared" ca="1" si="0"/>
        <v>58</v>
      </c>
      <c r="P4">
        <f t="shared" ca="1" si="0"/>
        <v>62</v>
      </c>
      <c r="Q4">
        <f t="shared" ca="1" si="0"/>
        <v>66</v>
      </c>
      <c r="R4">
        <f t="shared" ca="1" si="0"/>
        <v>70</v>
      </c>
      <c r="S4">
        <f t="shared" ca="1" si="0"/>
        <v>64</v>
      </c>
      <c r="T4">
        <f t="shared" ca="1" si="0"/>
        <v>72</v>
      </c>
    </row>
    <row r="5" spans="1:20">
      <c r="A5" t="s">
        <v>8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8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0.80246913580246915</v>
      </c>
      <c r="F8" t="s">
        <v>14</v>
      </c>
      <c r="G8">
        <f ca="1">((SUM(G3:I3)*SUM(G3:G5))+(SUM(G4:I4)*SUM(H3:H5))+(SUM(G5:I5)*SUM(I3:I5)))/(G6^2)</f>
        <v>0.94598765432098764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1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"!$C$2:$C$86"),TRUE, INDIRECT(A11 &amp; "!$E$2:$E$86"),TRUE)</f>
        <v>29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"!$C$2:$C$86"),TRUE, INDIRECT(F11 &amp; "!$E$2:$E$86"),TRUE)</f>
        <v>31</v>
      </c>
      <c r="H13">
        <f ca="1">COUNTIFS(INDIRECT(F11 &amp; "!$C$2:$C$86"),TRUE, INDIRECT(F11 &amp; "!$E$2:$E$86"),FALSE)</f>
        <v>0</v>
      </c>
      <c r="I13">
        <f ca="1">COUNTIFS(INDIRECT(F11 &amp; "!$C$2:$C$86"),TRUE, INDIRECT(F11 &amp; "!$E$2:$E$86"),"half true")</f>
        <v>0</v>
      </c>
    </row>
    <row r="14" spans="1:20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6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"!$C$2:$C$86"),FALSE, INDIRECT(F11 &amp; "!$E$2:$E$86"),TRUE)</f>
        <v>0</v>
      </c>
      <c r="H14">
        <f ca="1">COUNTIFS(INDIRECT(F11 &amp; "!$C$2:$C$86"),FALSE, INDIRECT(F11 &amp; "!$E$2:$E$86"),FALSE)</f>
        <v>4</v>
      </c>
      <c r="I14">
        <f ca="1">COUNTIFS(INDIRECT(F11 &amp; "!$C$2:$C$86"),FALSE, INDIRECT(F11 &amp; "!$E$2:$E$86"),"half true")</f>
        <v>0</v>
      </c>
    </row>
    <row r="15" spans="1:20">
      <c r="A15" t="s">
        <v>8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1</v>
      </c>
      <c r="D15">
        <f ca="1">COUNTIFS(INDIRECT(A11 &amp; "!$C$2:$C$86"),"half true", INDIRECT(A11 &amp; "!$E$2:$E$86"),"half true")</f>
        <v>0</v>
      </c>
      <c r="F15" t="s">
        <v>8</v>
      </c>
      <c r="G15">
        <f ca="1">COUNTIFS(INDIRECT(F11 &amp; "!$C$2:$C$86"),"half true", INDIRECT(F11 &amp; "!$E$2:$E$86"),TRUE)</f>
        <v>0</v>
      </c>
      <c r="H15">
        <f ca="1">COUNTIFS(INDIRECT(F11 &amp; "!$C$2:$C$86"),"half true", INDIRECT(F11 &amp; "!$E$2:$E$86"),FALSE)</f>
        <v>1</v>
      </c>
      <c r="I15">
        <f ca="1">COUNTIFS(INDIRECT(F11 &amp; "!$C$2:$C$86"),"half true", INDIRECT(F11 &amp; "!$E$2:$E$86"),"half true")</f>
        <v>0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0.97222222222222221</v>
      </c>
      <c r="F17" t="s">
        <v>13</v>
      </c>
      <c r="G17">
        <f ca="1">(G13+H14+I15)/G16</f>
        <v>0.97222222222222221</v>
      </c>
    </row>
    <row r="18" spans="1:9">
      <c r="A18" t="s">
        <v>14</v>
      </c>
      <c r="B18">
        <f ca="1">((SUM(B13:D13)*SUM(B13:B15))+(SUM(B14:D14)*SUM(C13:C15))+(SUM(B15:D15)*SUM(D13:D15)))/(B16^2)</f>
        <v>0.68132716049382713</v>
      </c>
      <c r="F18" t="s">
        <v>14</v>
      </c>
      <c r="G18">
        <f ca="1">((SUM(G13:I13)*SUM(G13:G15))+(SUM(G14:I14)*SUM(H13:H15))+(SUM(G15:I15)*SUM(I13:I15)))/(G16^2)</f>
        <v>0.75694444444444442</v>
      </c>
    </row>
    <row r="19" spans="1:9">
      <c r="A19" t="s">
        <v>15</v>
      </c>
      <c r="B19">
        <f ca="1">(B17-B18)/(1-B18)</f>
        <v>0.9128329297820823</v>
      </c>
      <c r="F19" t="s">
        <v>15</v>
      </c>
      <c r="G19">
        <f ca="1">(G17-G18)/(1-G18)</f>
        <v>0.88571428571428568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"!$C$2:$C$86"),TRUE, INDIRECT(A21 &amp; "!$E$2:$E$86"),TRUE)</f>
        <v>33</v>
      </c>
      <c r="C23">
        <f ca="1">COUNTIFS(INDIRECT(A21 &amp; "!$C$2:$C$86"),TRUE, INDIRECT(A21 &amp; "!$E$2:$E$86"),FALSE)</f>
        <v>0</v>
      </c>
      <c r="D23">
        <f ca="1">COUNTIFS(INDIRECT(A21 &amp; "!$C$2:$C$86"),TRUE, INDIRECT(A21 &amp; "!$E$2:$E$86"),"half true")</f>
        <v>0</v>
      </c>
      <c r="F23" t="b">
        <v>1</v>
      </c>
      <c r="G23">
        <f ca="1">COUNTIFS(INDIRECT(F21 &amp; "!$C$2:$C$86"),TRUE, INDIRECT(F21 &amp; "!$E$2:$E$86"),TRUE)</f>
        <v>35</v>
      </c>
      <c r="H23">
        <f ca="1">COUNTIFS(INDIRECT(F21 &amp; "!$C$2:$C$86"),TRUE, INDIRECT(F21 &amp; "!$E$2:$E$86"),FALSE)</f>
        <v>0</v>
      </c>
      <c r="I23">
        <f ca="1">COUNTIFS(INDIRECT(F21 &amp; "!$C$2:$C$86"),TRUE, INDIRECT(F21 &amp; "!$E$2:$E$86"),"half true")</f>
        <v>0</v>
      </c>
    </row>
    <row r="24" spans="1:9">
      <c r="A24" t="b">
        <v>0</v>
      </c>
      <c r="B24">
        <f ca="1">COUNTIFS(INDIRECT(A21 &amp; "!$C$2:$C$86"),FALSE, INDIRECT(A21 &amp; "!$E$2:$E$86"),TRUE)</f>
        <v>0</v>
      </c>
      <c r="C24">
        <f ca="1">COUNTIFS(INDIRECT(A21 &amp; "!$C$2:$C$86"),FALSE, INDIRECT(A21 &amp; "!$E$2:$E$86"),FALSE)</f>
        <v>3</v>
      </c>
      <c r="D24">
        <f ca="1">COUNTIFS(INDIRECT(A21 &amp; "!$C$2:$C$86"),FALSE, INDIRECT(A21 &amp; "!$E$2:$E$86"),"half true")</f>
        <v>0</v>
      </c>
      <c r="F24" t="b">
        <v>0</v>
      </c>
      <c r="G24">
        <f ca="1">COUNTIFS(INDIRECT(F21 &amp; "!$C$2:$C$86"),FALSE, INDIRECT(F21 &amp; "!$E$2:$E$86"),TRUE)</f>
        <v>0</v>
      </c>
      <c r="H24">
        <f ca="1">COUNTIFS(INDIRECT(F21 &amp; "!$C$2:$C$86"),FALSE, INDIRECT(F21 &amp; "!$E$2:$E$86"),FALSE)</f>
        <v>1</v>
      </c>
      <c r="I24">
        <f ca="1">COUNTIFS(INDIRECT(F21 &amp; "!$C$2:$C$86"),FALSE, INDIRECT(F21 &amp; "!$E$2:$E$86"),"half true")</f>
        <v>0</v>
      </c>
    </row>
    <row r="25" spans="1:9">
      <c r="A25" t="s">
        <v>8</v>
      </c>
      <c r="B25">
        <f ca="1">COUNTIFS(INDIRECT(A21 &amp; "!$C$2:$C$86"),"half true", INDIRECT(A21 &amp; "!$E$2:$E$86"),TRUE)</f>
        <v>0</v>
      </c>
      <c r="C25">
        <f ca="1">COUNTIFS(INDIRECT(A21 &amp; "!$C$2:$C$86"),"half true", INDIRECT(A21 &amp; "!$E$2:$E$86"),FALSE)</f>
        <v>0</v>
      </c>
      <c r="D25">
        <f ca="1">COUNTIFS(INDIRECT(A21 &amp; "!$C$2:$C$86"),"half true", INDIRECT(A21 &amp; "!$E$2:$E$86"),"half true")</f>
        <v>0</v>
      </c>
      <c r="F25" t="s">
        <v>8</v>
      </c>
      <c r="G25">
        <f ca="1">COUNTIFS(INDIRECT(F21 &amp; "!$C$2:$C$86"),"half true", INDIRECT(F21 &amp; "!$E$2:$E$86"),TRUE)</f>
        <v>0</v>
      </c>
      <c r="H25">
        <f ca="1">COUNTIFS(INDIRECT(F21 &amp; "!$C$2:$C$86"),"half true", INDIRECT(F21 &amp; "!$E$2:$E$86"),FALSE)</f>
        <v>0</v>
      </c>
      <c r="I25">
        <f ca="1">COUNTIFS(INDIRECT(F21 &amp; "!$C$2:$C$86"),"half true", INDIRECT(F21 &amp; "!$E$2:$E$86"),"half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0.84722222222222221</v>
      </c>
      <c r="F28" t="s">
        <v>14</v>
      </c>
      <c r="G28">
        <f ca="1">((SUM(G23:I23)*SUM(G23:G25))+(SUM(G24:I24)*SUM(H23:H25))+(SUM(G25:I25)*SUM(I23:I25)))/(G26^2)</f>
        <v>0.94598765432098764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"!$C$2:$C$86"),TRUE, INDIRECT(A31 &amp; "!$E$2:$E$86"),TRUE)</f>
        <v>32</v>
      </c>
      <c r="C33">
        <f ca="1">COUNTIFS(INDIRECT(A31 &amp; "!$C$2:$C$86"),TRUE, INDIRECT(A31 &amp; "!$E$2:$E$86"),FALSE)</f>
        <v>0</v>
      </c>
      <c r="D33">
        <f ca="1">COUNTIFS(INDIRECT(A31 &amp; "!$C$2:$C$86"),TRUE, INDIRECT(A31 &amp; "!$E$2:$E$86"),"half true")</f>
        <v>0</v>
      </c>
      <c r="F33" t="b">
        <v>1</v>
      </c>
      <c r="G33">
        <f ca="1">COUNTIFS(INDIRECT(F31 &amp; "!$C$2:$C$86"),TRUE, INDIRECT(F31 &amp; "!$E$2:$E$86"),TRUE)</f>
        <v>36</v>
      </c>
      <c r="H33">
        <f ca="1">COUNTIFS(INDIRECT(F31 &amp; "!$C$2:$C$86"),TRUE, INDIRECT(F31 &amp; "!$E$2:$E$86"),FALSE)</f>
        <v>0</v>
      </c>
      <c r="I33">
        <f ca="1">COUNTIFS(INDIRECT(F31 &amp; "!$C$2:$C$86"),TRUE, INDIRECT(F31 &amp; "!$E$2:$E$86"),"half true")</f>
        <v>0</v>
      </c>
    </row>
    <row r="34" spans="1:9">
      <c r="A34" t="b">
        <v>0</v>
      </c>
      <c r="B34">
        <f ca="1">COUNTIFS(INDIRECT(A31 &amp; "!$C$2:$C$86"),FALSE, INDIRECT(A31 &amp; "!$E$2:$E$86"),TRUE)</f>
        <v>0</v>
      </c>
      <c r="C34">
        <f ca="1">COUNTIFS(INDIRECT(A31 &amp; "!$C$2:$C$86"),FALSE, INDIRECT(A31 &amp; "!$E$2:$E$86"),FALSE)</f>
        <v>4</v>
      </c>
      <c r="D34">
        <f ca="1">COUNTIFS(INDIRECT(A31 &amp; "!$C$2:$C$86"),FALSE, INDIRECT(A31 &amp; "!$E$2:$E$86"),"half true")</f>
        <v>0</v>
      </c>
      <c r="F34" t="b">
        <v>0</v>
      </c>
      <c r="G34">
        <f ca="1">COUNTIFS(INDIRECT(F31 &amp; "!$C$2:$C$86"),FALSE, INDIRECT(F31 &amp; "!$E$2:$E$86"),TRUE)</f>
        <v>0</v>
      </c>
      <c r="H34">
        <f ca="1">COUNTIFS(INDIRECT(F31 &amp; "!$C$2:$C$86"),FALSE, INDIRECT(F31 &amp; "!$E$2:$E$86"),FALSE)</f>
        <v>0</v>
      </c>
      <c r="I34">
        <f ca="1">COUNTIFS(INDIRECT(F31 &amp; "!$C$2:$C$86"),FALSE, INDIRECT(F31 &amp; "!$E$2:$E$86"),"half true")</f>
        <v>0</v>
      </c>
    </row>
    <row r="35" spans="1:9">
      <c r="A35" t="s">
        <v>8</v>
      </c>
      <c r="B35">
        <f ca="1">COUNTIFS(INDIRECT(A31 &amp; "!$C$2:$C$86"),"half true", INDIRECT(A31 &amp; "!$E$2:$E$86"),TRUE)</f>
        <v>0</v>
      </c>
      <c r="C35">
        <f ca="1">COUNTIFS(INDIRECT(A31 &amp; "!$C$2:$C$86"),"half true", INDIRECT(A31 &amp; "!$E$2:$E$86"),FALSE)</f>
        <v>0</v>
      </c>
      <c r="D35">
        <f ca="1">COUNTIFS(INDIRECT(A31 &amp; "!$C$2:$C$86"),"half true", INDIRECT(A31 &amp; "!$E$2:$E$86"),"half true")</f>
        <v>0</v>
      </c>
      <c r="F35" t="s">
        <v>8</v>
      </c>
      <c r="G35">
        <f ca="1">COUNTIFS(INDIRECT(F31 &amp; "!$C$2:$C$86"),"half true", INDIRECT(F31 &amp; "!$E$2:$E$86"),TRUE)</f>
        <v>0</v>
      </c>
      <c r="H35">
        <f ca="1">COUNTIFS(INDIRECT(F31 &amp; "!$C$2:$C$86"),"half true", INDIRECT(F31 &amp; "!$E$2:$E$86"),FALSE)</f>
        <v>0</v>
      </c>
      <c r="I35">
        <f ca="1">COUNTIFS(INDIRECT(F31 &amp; "!$C$2:$C$86"),"half true", INDIRECT(F31 &amp; "!$E$2:$E$86"),"half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0.80246913580246915</v>
      </c>
      <c r="F38" t="s">
        <v>14</v>
      </c>
      <c r="G38">
        <f ca="1">((SUM(G33:I33)*SUM(G33:G35))+(SUM(G34:I34)*SUM(H33:H35))+(SUM(G35:I35)*SUM(I33:I35)))/(G36^2)</f>
        <v>1</v>
      </c>
    </row>
    <row r="39" spans="1:9">
      <c r="A39" t="s">
        <v>15</v>
      </c>
      <c r="B39">
        <f ca="1">(B37-B38)/(1-B38)</f>
        <v>1</v>
      </c>
      <c r="F39" t="s">
        <v>15</v>
      </c>
      <c r="G39" t="e">
        <f ca="1">(G37-G38)/(1-G38)</f>
        <v>#DIV/0!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263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23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2</v>
      </c>
      <c r="D45">
        <f t="shared" ca="1" si="1"/>
        <v>0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0.99305555555555558</v>
      </c>
    </row>
    <row r="48" spans="1:9">
      <c r="A48" t="s">
        <v>14</v>
      </c>
      <c r="B48">
        <f ca="1">((SUM(B43:D43)*SUM(B43:B45))+(SUM(B44:D44)*SUM(C43:C45))+(SUM(B45:D45)*SUM(D43:D45)))/(B46^2)</f>
        <v>0.84085648148148151</v>
      </c>
    </row>
    <row r="49" spans="1:2">
      <c r="A49" t="s">
        <v>15</v>
      </c>
      <c r="B49">
        <f ca="1">(B47-B48)/(1-B48)</f>
        <v>0.95636363636363653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4.28515625" customWidth="1"/>
    <col min="2" max="2" width="31.85546875" customWidth="1"/>
    <col min="5" max="5" width="11.285156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32</v>
      </c>
      <c r="C6" t="b">
        <f>FALSE()</f>
        <v>0</v>
      </c>
      <c r="E6" t="b">
        <f>FALSE()</f>
        <v>0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43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51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74</v>
      </c>
      <c r="C30" t="b">
        <f>FALSE()</f>
        <v>0</v>
      </c>
      <c r="E30" t="b">
        <f>FALSE()</f>
        <v>0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83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85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87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3.28515625" customWidth="1"/>
    <col min="2" max="2" width="30" customWidth="1"/>
    <col min="5" max="5" width="11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89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90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91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4.7109375" customWidth="1"/>
    <col min="2" max="2" width="37.5703125" customWidth="1"/>
    <col min="5" max="5" width="10.8554687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92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93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94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62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95</v>
      </c>
      <c r="C30" t="b">
        <f>FALSE()</f>
        <v>0</v>
      </c>
      <c r="E30" t="b">
        <f>FALSE()</f>
        <v>0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62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96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4.42578125" customWidth="1"/>
    <col min="2" max="2" width="28.5703125" customWidth="1"/>
    <col min="5" max="5" width="10.42578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97</v>
      </c>
      <c r="C12" t="b">
        <f>TRUE()</f>
        <v>1</v>
      </c>
      <c r="E12" t="b">
        <f>TRUE()</f>
        <v>1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30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64</v>
      </c>
      <c r="C18" t="b">
        <f>FALSE()</f>
        <v>0</v>
      </c>
      <c r="E18" t="b">
        <f>FALSE()</f>
        <v>0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62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62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90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62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98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3.5703125" customWidth="1"/>
    <col min="2" max="2" width="32.28515625" customWidth="1"/>
    <col min="5" max="5" width="11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99</v>
      </c>
      <c r="C6" t="b">
        <f>FALSE()</f>
        <v>0</v>
      </c>
      <c r="E6" t="b">
        <f>FALSE()</f>
        <v>0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99</v>
      </c>
      <c r="C12" t="b">
        <f>FALSE()</f>
        <v>0</v>
      </c>
      <c r="E12" t="b">
        <f>FALSE()</f>
        <v>0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100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101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72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72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74</v>
      </c>
      <c r="C30" t="b">
        <f>FALSE()</f>
        <v>0</v>
      </c>
      <c r="E30" t="b">
        <f>FALSE()</f>
        <v>0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85</v>
      </c>
      <c r="C36" t="b">
        <f>FALSE()</f>
        <v>0</v>
      </c>
      <c r="E36" t="b">
        <f>FALSE()</f>
        <v>0</v>
      </c>
      <c r="F36" t="b">
        <f t="shared" si="0"/>
        <v>1</v>
      </c>
    </row>
    <row r="37" spans="1:6">
      <c r="A37" t="s">
        <v>86</v>
      </c>
      <c r="B37" t="s">
        <v>87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5.42578125" customWidth="1"/>
    <col min="2" max="2" width="28.42578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28</v>
      </c>
      <c r="C4" t="b">
        <f>TRUE()</f>
        <v>1</v>
      </c>
      <c r="E4" t="b">
        <f>TRUE()</f>
        <v>1</v>
      </c>
      <c r="F4" t="b">
        <f t="shared" si="0"/>
        <v>1</v>
      </c>
    </row>
    <row r="5" spans="1:6">
      <c r="A5" t="s">
        <v>29</v>
      </c>
      <c r="B5" t="s">
        <v>30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34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40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30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102</v>
      </c>
      <c r="C12" t="b">
        <f>TRUE()</f>
        <v>1</v>
      </c>
      <c r="E12" t="b">
        <f>TRUE()</f>
        <v>1</v>
      </c>
      <c r="F12" t="b">
        <f t="shared" si="0"/>
        <v>1</v>
      </c>
    </row>
    <row r="13" spans="1:6">
      <c r="A13" t="s">
        <v>44</v>
      </c>
      <c r="B13" t="s">
        <v>34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28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100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34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60</v>
      </c>
      <c r="C22" t="b">
        <f>TRUE()</f>
        <v>1</v>
      </c>
      <c r="E22" t="b">
        <f>TRUE()</f>
        <v>1</v>
      </c>
      <c r="F22" t="b">
        <f t="shared" si="0"/>
        <v>1</v>
      </c>
    </row>
    <row r="23" spans="1:6">
      <c r="A23" t="s">
        <v>61</v>
      </c>
      <c r="B23" t="s">
        <v>72</v>
      </c>
      <c r="C23" t="b">
        <f>TRUE()</f>
        <v>1</v>
      </c>
      <c r="E23" t="b">
        <f>TRUE()</f>
        <v>1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34</v>
      </c>
      <c r="C25" t="b">
        <f>TRUE()</f>
        <v>1</v>
      </c>
      <c r="E25" t="b">
        <f>TRUE()</f>
        <v>1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60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62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90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34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79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81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72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103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34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zoomScaleNormal="100" workbookViewId="0">
      <selection activeCell="F2" sqref="F2:F37"/>
    </sheetView>
  </sheetViews>
  <sheetFormatPr defaultColWidth="8.5703125" defaultRowHeight="15"/>
  <cols>
    <col min="1" max="1" width="44.140625" customWidth="1"/>
    <col min="2" max="2" width="35.425781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104</v>
      </c>
      <c r="C4" t="b">
        <f>FALSE()</f>
        <v>0</v>
      </c>
      <c r="E4" t="b">
        <f>FALSE()</f>
        <v>0</v>
      </c>
      <c r="F4" t="b">
        <f t="shared" si="0"/>
        <v>1</v>
      </c>
    </row>
    <row r="5" spans="1:6">
      <c r="A5" t="s">
        <v>29</v>
      </c>
      <c r="B5" t="s">
        <v>100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105</v>
      </c>
      <c r="C7" t="b">
        <f>TRUE()</f>
        <v>1</v>
      </c>
      <c r="E7" t="b">
        <f>TRUE()</f>
        <v>1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106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107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108</v>
      </c>
      <c r="C12" t="s">
        <v>8</v>
      </c>
      <c r="E12" t="b">
        <v>0</v>
      </c>
      <c r="F12" t="b">
        <f t="shared" si="0"/>
        <v>0</v>
      </c>
    </row>
    <row r="13" spans="1:6">
      <c r="A13" t="s">
        <v>44</v>
      </c>
      <c r="B13" t="s">
        <v>109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93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110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53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111</v>
      </c>
      <c r="C19" t="b">
        <f>TRUE()</f>
        <v>1</v>
      </c>
      <c r="E19" t="b">
        <f>TRUE()</f>
        <v>1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112</v>
      </c>
      <c r="C22" t="b">
        <f>FALSE()</f>
        <v>0</v>
      </c>
      <c r="E22" t="b">
        <f>FALSE()</f>
        <v>0</v>
      </c>
      <c r="F22" t="b">
        <f t="shared" si="0"/>
        <v>1</v>
      </c>
    </row>
    <row r="23" spans="1:6">
      <c r="A23" t="s">
        <v>61</v>
      </c>
      <c r="B23" t="s">
        <v>113</v>
      </c>
      <c r="C23" t="b">
        <f>FALSE()</f>
        <v>0</v>
      </c>
      <c r="E23" t="b">
        <f>FALSE()</f>
        <v>0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114</v>
      </c>
      <c r="C25" t="b">
        <f>FALSE()</f>
        <v>0</v>
      </c>
      <c r="E25" t="b">
        <f>FALSE()</f>
        <v>0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69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115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116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117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118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119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120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121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122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123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Normal="100" workbookViewId="0">
      <selection activeCell="F2" sqref="F2"/>
    </sheetView>
  </sheetViews>
  <sheetFormatPr defaultColWidth="8.5703125" defaultRowHeight="15"/>
  <cols>
    <col min="1" max="1" width="44.140625" customWidth="1"/>
    <col min="2" max="2" width="33.28515625" customWidth="1"/>
    <col min="5" max="5" width="10.5703125" customWidth="1"/>
  </cols>
  <sheetData>
    <row r="1" spans="1:6">
      <c r="A1" s="1" t="s">
        <v>17</v>
      </c>
      <c r="B1" s="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 t="b">
        <f>TRUE()</f>
        <v>1</v>
      </c>
      <c r="E2" t="b">
        <f>TRUE()</f>
        <v>1</v>
      </c>
      <c r="F2" t="b">
        <f>C2=E2</f>
        <v>1</v>
      </c>
    </row>
    <row r="3" spans="1:6">
      <c r="A3" t="s">
        <v>25</v>
      </c>
      <c r="B3" t="s">
        <v>26</v>
      </c>
      <c r="C3" t="b">
        <f>TRUE()</f>
        <v>1</v>
      </c>
      <c r="E3" t="b">
        <f>TRUE()</f>
        <v>1</v>
      </c>
      <c r="F3" t="b">
        <f t="shared" ref="F3:F37" si="0">C3=E3</f>
        <v>1</v>
      </c>
    </row>
    <row r="4" spans="1:6">
      <c r="A4" t="s">
        <v>27</v>
      </c>
      <c r="B4" t="s">
        <v>104</v>
      </c>
      <c r="C4" t="b">
        <f>FALSE()</f>
        <v>0</v>
      </c>
      <c r="E4" t="b">
        <f>FALSE()</f>
        <v>0</v>
      </c>
      <c r="F4" t="b">
        <f t="shared" si="0"/>
        <v>1</v>
      </c>
    </row>
    <row r="5" spans="1:6">
      <c r="A5" t="s">
        <v>29</v>
      </c>
      <c r="B5" t="s">
        <v>124</v>
      </c>
      <c r="C5" t="b">
        <f>TRUE()</f>
        <v>1</v>
      </c>
      <c r="E5" t="b">
        <f>TRUE()</f>
        <v>1</v>
      </c>
      <c r="F5" t="b">
        <f t="shared" si="0"/>
        <v>1</v>
      </c>
    </row>
    <row r="6" spans="1:6">
      <c r="A6" t="s">
        <v>31</v>
      </c>
      <c r="B6" t="s">
        <v>88</v>
      </c>
      <c r="C6" t="b">
        <f>TRUE()</f>
        <v>1</v>
      </c>
      <c r="E6" t="b">
        <f>TRUE()</f>
        <v>1</v>
      </c>
      <c r="F6" t="b">
        <f t="shared" si="0"/>
        <v>1</v>
      </c>
    </row>
    <row r="7" spans="1:6">
      <c r="A7" t="s">
        <v>33</v>
      </c>
      <c r="B7" t="s">
        <v>125</v>
      </c>
      <c r="C7" t="b">
        <f>FALSE()</f>
        <v>0</v>
      </c>
      <c r="E7" t="b">
        <f>FALSE()</f>
        <v>0</v>
      </c>
      <c r="F7" t="b">
        <f t="shared" si="0"/>
        <v>1</v>
      </c>
    </row>
    <row r="8" spans="1:6">
      <c r="A8" t="s">
        <v>35</v>
      </c>
      <c r="B8" t="s">
        <v>36</v>
      </c>
      <c r="C8" t="b">
        <f>TRUE()</f>
        <v>1</v>
      </c>
      <c r="E8" t="b">
        <f>TRUE()</f>
        <v>1</v>
      </c>
      <c r="F8" t="b">
        <f t="shared" si="0"/>
        <v>1</v>
      </c>
    </row>
    <row r="9" spans="1:6">
      <c r="A9" t="s">
        <v>37</v>
      </c>
      <c r="B9" t="s">
        <v>38</v>
      </c>
      <c r="C9" t="b">
        <f>TRUE()</f>
        <v>1</v>
      </c>
      <c r="E9" t="b">
        <f>TRUE()</f>
        <v>1</v>
      </c>
      <c r="F9" t="b">
        <f t="shared" si="0"/>
        <v>1</v>
      </c>
    </row>
    <row r="10" spans="1:6">
      <c r="A10" t="s">
        <v>39</v>
      </c>
      <c r="B10" t="s">
        <v>106</v>
      </c>
      <c r="C10" t="b">
        <f>TRUE()</f>
        <v>1</v>
      </c>
      <c r="E10" t="b">
        <f>TRUE()</f>
        <v>1</v>
      </c>
      <c r="F10" t="b">
        <f t="shared" si="0"/>
        <v>1</v>
      </c>
    </row>
    <row r="11" spans="1:6">
      <c r="A11" t="s">
        <v>41</v>
      </c>
      <c r="B11" t="s">
        <v>107</v>
      </c>
      <c r="C11" t="b">
        <f>TRUE()</f>
        <v>1</v>
      </c>
      <c r="E11" t="b">
        <f>TRUE()</f>
        <v>1</v>
      </c>
      <c r="F11" t="b">
        <f t="shared" si="0"/>
        <v>1</v>
      </c>
    </row>
    <row r="12" spans="1:6">
      <c r="A12" t="s">
        <v>42</v>
      </c>
      <c r="B12" t="s">
        <v>108</v>
      </c>
      <c r="C12" t="s">
        <v>8</v>
      </c>
      <c r="E12" t="b">
        <v>0</v>
      </c>
      <c r="F12" t="b">
        <f t="shared" si="0"/>
        <v>0</v>
      </c>
    </row>
    <row r="13" spans="1:6">
      <c r="A13" t="s">
        <v>44</v>
      </c>
      <c r="B13" t="s">
        <v>126</v>
      </c>
      <c r="C13" t="b">
        <f>TRUE()</f>
        <v>1</v>
      </c>
      <c r="E13" t="b">
        <f>TRUE()</f>
        <v>1</v>
      </c>
      <c r="F13" t="b">
        <f t="shared" si="0"/>
        <v>1</v>
      </c>
    </row>
    <row r="14" spans="1:6">
      <c r="A14" t="s">
        <v>45</v>
      </c>
      <c r="B14" t="s">
        <v>46</v>
      </c>
      <c r="C14" t="b">
        <f>TRUE()</f>
        <v>1</v>
      </c>
      <c r="E14" t="b">
        <f>TRUE()</f>
        <v>1</v>
      </c>
      <c r="F14" t="b">
        <f t="shared" si="0"/>
        <v>1</v>
      </c>
    </row>
    <row r="15" spans="1:6">
      <c r="A15" t="s">
        <v>47</v>
      </c>
      <c r="B15" t="s">
        <v>48</v>
      </c>
      <c r="C15" t="b">
        <f>TRUE()</f>
        <v>1</v>
      </c>
      <c r="E15" t="b">
        <f>TRUE()</f>
        <v>1</v>
      </c>
      <c r="F15" t="b">
        <f t="shared" si="0"/>
        <v>1</v>
      </c>
    </row>
    <row r="16" spans="1:6">
      <c r="A16" t="s">
        <v>49</v>
      </c>
      <c r="B16" t="s">
        <v>93</v>
      </c>
      <c r="C16" t="b">
        <f>TRUE()</f>
        <v>1</v>
      </c>
      <c r="E16" t="b">
        <f>TRUE()</f>
        <v>1</v>
      </c>
      <c r="F16" t="b">
        <f t="shared" si="0"/>
        <v>1</v>
      </c>
    </row>
    <row r="17" spans="1:6">
      <c r="A17" t="s">
        <v>50</v>
      </c>
      <c r="B17" t="s">
        <v>110</v>
      </c>
      <c r="C17" t="b">
        <f>TRUE()</f>
        <v>1</v>
      </c>
      <c r="E17" t="b">
        <f>TRUE()</f>
        <v>1</v>
      </c>
      <c r="F17" t="b">
        <f t="shared" si="0"/>
        <v>1</v>
      </c>
    </row>
    <row r="18" spans="1:6">
      <c r="A18" t="s">
        <v>52</v>
      </c>
      <c r="B18" t="s">
        <v>127</v>
      </c>
      <c r="C18" t="b">
        <f>TRUE()</f>
        <v>1</v>
      </c>
      <c r="E18" t="b">
        <f>TRUE()</f>
        <v>1</v>
      </c>
      <c r="F18" t="b">
        <f t="shared" si="0"/>
        <v>1</v>
      </c>
    </row>
    <row r="19" spans="1:6">
      <c r="A19" t="s">
        <v>54</v>
      </c>
      <c r="B19" t="s">
        <v>125</v>
      </c>
      <c r="C19" t="b">
        <f>FALSE()</f>
        <v>0</v>
      </c>
      <c r="E19" t="b">
        <f>FALSE()</f>
        <v>0</v>
      </c>
      <c r="F19" t="b">
        <f t="shared" si="0"/>
        <v>1</v>
      </c>
    </row>
    <row r="20" spans="1:6">
      <c r="A20" t="s">
        <v>55</v>
      </c>
      <c r="B20" t="s">
        <v>56</v>
      </c>
      <c r="C20" t="b">
        <f>TRUE()</f>
        <v>1</v>
      </c>
      <c r="E20" t="b">
        <f>TRUE()</f>
        <v>1</v>
      </c>
      <c r="F20" t="b">
        <f t="shared" si="0"/>
        <v>1</v>
      </c>
    </row>
    <row r="21" spans="1:6">
      <c r="A21" t="s">
        <v>57</v>
      </c>
      <c r="B21" t="s">
        <v>58</v>
      </c>
      <c r="C21" t="b">
        <f>TRUE()</f>
        <v>1</v>
      </c>
      <c r="E21" t="b">
        <f>TRUE()</f>
        <v>1</v>
      </c>
      <c r="F21" t="b">
        <f t="shared" si="0"/>
        <v>1</v>
      </c>
    </row>
    <row r="22" spans="1:6">
      <c r="A22" t="s">
        <v>59</v>
      </c>
      <c r="B22" t="s">
        <v>112</v>
      </c>
      <c r="C22" t="b">
        <f>FALSE()</f>
        <v>0</v>
      </c>
      <c r="E22" t="b">
        <f>FALSE()</f>
        <v>0</v>
      </c>
      <c r="F22" t="b">
        <f t="shared" si="0"/>
        <v>1</v>
      </c>
    </row>
    <row r="23" spans="1:6">
      <c r="A23" t="s">
        <v>61</v>
      </c>
      <c r="B23" t="s">
        <v>113</v>
      </c>
      <c r="C23" t="b">
        <f>FALSE()</f>
        <v>0</v>
      </c>
      <c r="E23" t="b">
        <f>FALSE()</f>
        <v>0</v>
      </c>
      <c r="F23" t="b">
        <f t="shared" si="0"/>
        <v>1</v>
      </c>
    </row>
    <row r="24" spans="1:6">
      <c r="A24" t="s">
        <v>63</v>
      </c>
      <c r="B24" t="s">
        <v>64</v>
      </c>
      <c r="C24" t="b">
        <f>TRUE()</f>
        <v>1</v>
      </c>
      <c r="E24" t="b">
        <f>TRUE()</f>
        <v>1</v>
      </c>
      <c r="F24" t="b">
        <f t="shared" si="0"/>
        <v>1</v>
      </c>
    </row>
    <row r="25" spans="1:6">
      <c r="A25" t="s">
        <v>65</v>
      </c>
      <c r="B25" t="s">
        <v>114</v>
      </c>
      <c r="C25" t="b">
        <f>FALSE()</f>
        <v>0</v>
      </c>
      <c r="E25" t="b">
        <f>FALSE()</f>
        <v>0</v>
      </c>
      <c r="F25" t="b">
        <f t="shared" si="0"/>
        <v>1</v>
      </c>
    </row>
    <row r="26" spans="1:6">
      <c r="A26" t="s">
        <v>66</v>
      </c>
      <c r="B26" t="s">
        <v>67</v>
      </c>
      <c r="C26" t="b">
        <f>TRUE()</f>
        <v>1</v>
      </c>
      <c r="E26" t="b">
        <f>TRUE()</f>
        <v>1</v>
      </c>
      <c r="F26" t="b">
        <f t="shared" si="0"/>
        <v>1</v>
      </c>
    </row>
    <row r="27" spans="1:6">
      <c r="A27" t="s">
        <v>68</v>
      </c>
      <c r="B27" t="s">
        <v>128</v>
      </c>
      <c r="C27" t="b">
        <f>TRUE()</f>
        <v>1</v>
      </c>
      <c r="E27" t="b">
        <f>TRUE()</f>
        <v>1</v>
      </c>
      <c r="F27" t="b">
        <f t="shared" si="0"/>
        <v>1</v>
      </c>
    </row>
    <row r="28" spans="1:6">
      <c r="A28" t="s">
        <v>70</v>
      </c>
      <c r="B28" t="s">
        <v>115</v>
      </c>
      <c r="C28" t="b">
        <f>TRUE()</f>
        <v>1</v>
      </c>
      <c r="E28" t="b">
        <f>TRUE()</f>
        <v>1</v>
      </c>
      <c r="F28" t="b">
        <f t="shared" si="0"/>
        <v>1</v>
      </c>
    </row>
    <row r="29" spans="1:6">
      <c r="A29" t="s">
        <v>71</v>
      </c>
      <c r="B29" t="s">
        <v>116</v>
      </c>
      <c r="C29" t="b">
        <f>TRUE()</f>
        <v>1</v>
      </c>
      <c r="E29" t="b">
        <f>TRUE()</f>
        <v>1</v>
      </c>
      <c r="F29" t="b">
        <f t="shared" si="0"/>
        <v>1</v>
      </c>
    </row>
    <row r="30" spans="1:6">
      <c r="A30" t="s">
        <v>73</v>
      </c>
      <c r="B30" t="s">
        <v>129</v>
      </c>
      <c r="C30" t="b">
        <f>TRUE()</f>
        <v>1</v>
      </c>
      <c r="E30" t="b">
        <f>TRUE()</f>
        <v>1</v>
      </c>
      <c r="F30" t="b">
        <f t="shared" si="0"/>
        <v>1</v>
      </c>
    </row>
    <row r="31" spans="1:6">
      <c r="A31" t="s">
        <v>75</v>
      </c>
      <c r="B31" t="s">
        <v>118</v>
      </c>
      <c r="C31" t="b">
        <f>TRUE()</f>
        <v>1</v>
      </c>
      <c r="E31" t="b">
        <f>TRUE()</f>
        <v>1</v>
      </c>
      <c r="F31" t="b">
        <f t="shared" si="0"/>
        <v>1</v>
      </c>
    </row>
    <row r="32" spans="1:6">
      <c r="A32" t="s">
        <v>76</v>
      </c>
      <c r="B32" t="s">
        <v>77</v>
      </c>
      <c r="C32" t="b">
        <f>TRUE()</f>
        <v>1</v>
      </c>
      <c r="E32" t="b">
        <f>TRUE()</f>
        <v>1</v>
      </c>
      <c r="F32" t="b">
        <f t="shared" si="0"/>
        <v>1</v>
      </c>
    </row>
    <row r="33" spans="1:6">
      <c r="A33" t="s">
        <v>78</v>
      </c>
      <c r="B33" t="s">
        <v>119</v>
      </c>
      <c r="C33" t="b">
        <f>TRUE()</f>
        <v>1</v>
      </c>
      <c r="E33" t="b">
        <f>TRUE()</f>
        <v>1</v>
      </c>
      <c r="F33" t="b">
        <f t="shared" si="0"/>
        <v>1</v>
      </c>
    </row>
    <row r="34" spans="1:6">
      <c r="A34" t="s">
        <v>80</v>
      </c>
      <c r="B34" t="s">
        <v>120</v>
      </c>
      <c r="C34" t="b">
        <f>TRUE()</f>
        <v>1</v>
      </c>
      <c r="E34" t="b">
        <f>TRUE()</f>
        <v>1</v>
      </c>
      <c r="F34" t="b">
        <f t="shared" si="0"/>
        <v>1</v>
      </c>
    </row>
    <row r="35" spans="1:6">
      <c r="A35" t="s">
        <v>82</v>
      </c>
      <c r="B35" t="s">
        <v>121</v>
      </c>
      <c r="C35" t="b">
        <f>TRUE()</f>
        <v>1</v>
      </c>
      <c r="E35" t="b">
        <f>TRUE()</f>
        <v>1</v>
      </c>
      <c r="F35" t="b">
        <f t="shared" si="0"/>
        <v>1</v>
      </c>
    </row>
    <row r="36" spans="1:6">
      <c r="A36" t="s">
        <v>84</v>
      </c>
      <c r="B36" t="s">
        <v>122</v>
      </c>
      <c r="C36" t="b">
        <f>TRUE()</f>
        <v>1</v>
      </c>
      <c r="E36" t="b">
        <f>TRUE()</f>
        <v>1</v>
      </c>
      <c r="F36" t="b">
        <f t="shared" si="0"/>
        <v>1</v>
      </c>
    </row>
    <row r="37" spans="1:6">
      <c r="A37" t="s">
        <v>86</v>
      </c>
      <c r="B37" t="s">
        <v>123</v>
      </c>
      <c r="C37" t="b">
        <f>TRUE()</f>
        <v>1</v>
      </c>
      <c r="E37" t="b">
        <f>TRUE()</f>
        <v>1</v>
      </c>
      <c r="F37" t="b">
        <f t="shared" si="0"/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9</cp:revision>
  <dcterms:created xsi:type="dcterms:W3CDTF">2026-06-30T14:19:19Z</dcterms:created>
  <dcterms:modified xsi:type="dcterms:W3CDTF">2026-09-16T08:28:25Z</dcterms:modified>
  <cp:category/>
  <cp:contentStatus/>
</cp:coreProperties>
</file>