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35" documentId="11_90A7DC22B512C478425B368D4869AFAADEB677EC" xr6:coauthVersionLast="47" xr6:coauthVersionMax="47" xr10:uidLastSave="{66206FBF-DF17-4D70-9E2C-FE7DAB8962F1}"/>
  <bookViews>
    <workbookView xWindow="0" yWindow="0" windowWidth="16384" windowHeight="8192" tabRatio="500" xr2:uid="{00000000-000D-0000-FFFF-FFFF00000000}"/>
  </bookViews>
  <sheets>
    <sheet name="kappa" sheetId="9" r:id="rId1"/>
    <sheet name="foaf.xml" sheetId="1" r:id="rId2"/>
    <sheet name="foaf_names.xml" sheetId="2" r:id="rId3"/>
    <sheet name="foaf.rdf" sheetId="3" r:id="rId4"/>
    <sheet name="foaf_names.rdf" sheetId="4" r:id="rId5"/>
    <sheet name="foaf.json" sheetId="5" r:id="rId6"/>
    <sheet name="foaf_names.json" sheetId="6" r:id="rId7"/>
    <sheet name="natural.json" sheetId="7" r:id="rId8"/>
    <sheet name="natural.txt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2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2" i="1"/>
  <c r="I35" i="9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C25" i="9"/>
  <c r="B25" i="9"/>
  <c r="I24" i="9"/>
  <c r="H24" i="9"/>
  <c r="G24" i="9"/>
  <c r="D24" i="9"/>
  <c r="C24" i="9"/>
  <c r="B24" i="9"/>
  <c r="I23" i="9"/>
  <c r="H23" i="9"/>
  <c r="G23" i="9"/>
  <c r="D23" i="9"/>
  <c r="C23" i="9"/>
  <c r="B23" i="9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D45" i="9" s="1"/>
  <c r="C5" i="9"/>
  <c r="C45" i="9" s="1"/>
  <c r="B5" i="9"/>
  <c r="B45" i="9" s="1"/>
  <c r="I4" i="9"/>
  <c r="H4" i="9"/>
  <c r="G4" i="9"/>
  <c r="D4" i="9"/>
  <c r="D44" i="9" s="1"/>
  <c r="C4" i="9"/>
  <c r="C44" i="9" s="1"/>
  <c r="B4" i="9"/>
  <c r="B44" i="9" s="1"/>
  <c r="I3" i="9"/>
  <c r="H3" i="9"/>
  <c r="G3" i="9"/>
  <c r="D3" i="9"/>
  <c r="D43" i="9" s="1"/>
  <c r="C3" i="9"/>
  <c r="C43" i="9" s="1"/>
  <c r="B3" i="9"/>
  <c r="E61" i="8"/>
  <c r="C61" i="8"/>
  <c r="E59" i="8"/>
  <c r="C59" i="8"/>
  <c r="E58" i="8"/>
  <c r="C58" i="8"/>
  <c r="E56" i="8"/>
  <c r="C56" i="8"/>
  <c r="E55" i="8"/>
  <c r="C55" i="8"/>
  <c r="E54" i="8"/>
  <c r="C54" i="8"/>
  <c r="E53" i="8"/>
  <c r="C53" i="8"/>
  <c r="E52" i="8"/>
  <c r="C52" i="8"/>
  <c r="E51" i="8"/>
  <c r="C51" i="8"/>
  <c r="E50" i="8"/>
  <c r="C50" i="8"/>
  <c r="E49" i="8"/>
  <c r="C49" i="8"/>
  <c r="E48" i="8"/>
  <c r="C48" i="8"/>
  <c r="E47" i="8"/>
  <c r="C47" i="8"/>
  <c r="E46" i="8"/>
  <c r="C46" i="8"/>
  <c r="E45" i="8"/>
  <c r="C45" i="8"/>
  <c r="E44" i="8"/>
  <c r="C44" i="8"/>
  <c r="E43" i="8"/>
  <c r="C43" i="8"/>
  <c r="E42" i="8"/>
  <c r="C42" i="8"/>
  <c r="E41" i="8"/>
  <c r="C41" i="8"/>
  <c r="E40" i="8"/>
  <c r="C40" i="8"/>
  <c r="E39" i="8"/>
  <c r="C39" i="8"/>
  <c r="E38" i="8"/>
  <c r="C38" i="8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29" i="8"/>
  <c r="C29" i="8"/>
  <c r="E28" i="8"/>
  <c r="C28" i="8"/>
  <c r="E27" i="8"/>
  <c r="C27" i="8"/>
  <c r="E26" i="8"/>
  <c r="C26" i="8"/>
  <c r="E25" i="8"/>
  <c r="C25" i="8"/>
  <c r="E24" i="8"/>
  <c r="C24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1" i="8"/>
  <c r="C11" i="8"/>
  <c r="E10" i="8"/>
  <c r="C10" i="8"/>
  <c r="E9" i="8"/>
  <c r="C9" i="8"/>
  <c r="E8" i="8"/>
  <c r="C8" i="8"/>
  <c r="E7" i="8"/>
  <c r="C7" i="8"/>
  <c r="E5" i="8"/>
  <c r="C5" i="8"/>
  <c r="E4" i="8"/>
  <c r="C4" i="8"/>
  <c r="E3" i="8"/>
  <c r="C3" i="8"/>
  <c r="E2" i="8"/>
  <c r="C2" i="8"/>
  <c r="E61" i="7"/>
  <c r="C61" i="7"/>
  <c r="E60" i="7"/>
  <c r="C60" i="7"/>
  <c r="E59" i="7"/>
  <c r="C59" i="7"/>
  <c r="E58" i="7"/>
  <c r="C58" i="7"/>
  <c r="E56" i="7"/>
  <c r="C56" i="7"/>
  <c r="E55" i="7"/>
  <c r="C55" i="7"/>
  <c r="E54" i="7"/>
  <c r="C54" i="7"/>
  <c r="E53" i="7"/>
  <c r="C53" i="7"/>
  <c r="E52" i="7"/>
  <c r="C52" i="7"/>
  <c r="E51" i="7"/>
  <c r="C51" i="7"/>
  <c r="E50" i="7"/>
  <c r="C50" i="7"/>
  <c r="E49" i="7"/>
  <c r="C49" i="7"/>
  <c r="E48" i="7"/>
  <c r="C48" i="7"/>
  <c r="E47" i="7"/>
  <c r="C47" i="7"/>
  <c r="E46" i="7"/>
  <c r="C46" i="7"/>
  <c r="E45" i="7"/>
  <c r="C45" i="7"/>
  <c r="E44" i="7"/>
  <c r="C44" i="7"/>
  <c r="E43" i="7"/>
  <c r="C43" i="7"/>
  <c r="E41" i="7"/>
  <c r="C41" i="7"/>
  <c r="E40" i="7"/>
  <c r="C40" i="7"/>
  <c r="E39" i="7"/>
  <c r="C39" i="7"/>
  <c r="E38" i="7"/>
  <c r="C38" i="7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4" i="7"/>
  <c r="C24" i="7"/>
  <c r="E23" i="7"/>
  <c r="C23" i="7"/>
  <c r="E22" i="7"/>
  <c r="C22" i="7"/>
  <c r="E21" i="7"/>
  <c r="C21" i="7"/>
  <c r="E20" i="7"/>
  <c r="C20" i="7"/>
  <c r="E19" i="7"/>
  <c r="C19" i="7"/>
  <c r="E17" i="7"/>
  <c r="C17" i="7"/>
  <c r="E16" i="7"/>
  <c r="C16" i="7"/>
  <c r="E15" i="7"/>
  <c r="C15" i="7"/>
  <c r="E14" i="7"/>
  <c r="C14" i="7"/>
  <c r="E13" i="7"/>
  <c r="C13" i="7"/>
  <c r="E11" i="7"/>
  <c r="C11" i="7"/>
  <c r="E10" i="7"/>
  <c r="C10" i="7"/>
  <c r="E9" i="7"/>
  <c r="C9" i="7"/>
  <c r="E8" i="7"/>
  <c r="C8" i="7"/>
  <c r="E7" i="7"/>
  <c r="C7" i="7"/>
  <c r="E5" i="7"/>
  <c r="C5" i="7"/>
  <c r="E4" i="7"/>
  <c r="C4" i="7"/>
  <c r="E3" i="7"/>
  <c r="C3" i="7"/>
  <c r="E2" i="7"/>
  <c r="C2" i="7"/>
  <c r="E61" i="6"/>
  <c r="C61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3" i="6"/>
  <c r="C23" i="6"/>
  <c r="E22" i="6"/>
  <c r="C22" i="6"/>
  <c r="E21" i="6"/>
  <c r="C21" i="6"/>
  <c r="E20" i="6"/>
  <c r="C20" i="6"/>
  <c r="E19" i="6"/>
  <c r="C19" i="6"/>
  <c r="E17" i="6"/>
  <c r="C17" i="6"/>
  <c r="E16" i="6"/>
  <c r="C16" i="6"/>
  <c r="E15" i="6"/>
  <c r="C15" i="6"/>
  <c r="E14" i="6"/>
  <c r="C14" i="6"/>
  <c r="E13" i="6"/>
  <c r="C13" i="6"/>
  <c r="E11" i="6"/>
  <c r="C11" i="6"/>
  <c r="E10" i="6"/>
  <c r="C10" i="6"/>
  <c r="E9" i="6"/>
  <c r="C9" i="6"/>
  <c r="E8" i="6"/>
  <c r="C8" i="6"/>
  <c r="E7" i="6"/>
  <c r="C7" i="6"/>
  <c r="E5" i="6"/>
  <c r="C5" i="6"/>
  <c r="E4" i="6"/>
  <c r="C4" i="6"/>
  <c r="E3" i="6"/>
  <c r="C3" i="6"/>
  <c r="E2" i="6"/>
  <c r="C2" i="6"/>
  <c r="E61" i="5"/>
  <c r="C61" i="5"/>
  <c r="E60" i="5"/>
  <c r="C60" i="5"/>
  <c r="E59" i="5"/>
  <c r="C59" i="5"/>
  <c r="E58" i="5"/>
  <c r="C58" i="5"/>
  <c r="E57" i="5"/>
  <c r="C57" i="5"/>
  <c r="E56" i="5"/>
  <c r="C56" i="5"/>
  <c r="E55" i="5"/>
  <c r="C55" i="5"/>
  <c r="E54" i="5"/>
  <c r="C54" i="5"/>
  <c r="E53" i="5"/>
  <c r="C53" i="5"/>
  <c r="E52" i="5"/>
  <c r="C52" i="5"/>
  <c r="E51" i="5"/>
  <c r="C51" i="5"/>
  <c r="E50" i="5"/>
  <c r="C50" i="5"/>
  <c r="E49" i="5"/>
  <c r="C49" i="5"/>
  <c r="E48" i="5"/>
  <c r="C48" i="5"/>
  <c r="E47" i="5"/>
  <c r="C47" i="5"/>
  <c r="E46" i="5"/>
  <c r="C46" i="5"/>
  <c r="E45" i="5"/>
  <c r="C45" i="5"/>
  <c r="E44" i="5"/>
  <c r="C44" i="5"/>
  <c r="E43" i="5"/>
  <c r="C43" i="5"/>
  <c r="E42" i="5"/>
  <c r="C42" i="5"/>
  <c r="E41" i="5"/>
  <c r="C41" i="5"/>
  <c r="E40" i="5"/>
  <c r="C40" i="5"/>
  <c r="E39" i="5"/>
  <c r="C39" i="5"/>
  <c r="E38" i="5"/>
  <c r="C38" i="5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7" i="5"/>
  <c r="C17" i="5"/>
  <c r="E16" i="5"/>
  <c r="C16" i="5"/>
  <c r="E15" i="5"/>
  <c r="C15" i="5"/>
  <c r="E14" i="5"/>
  <c r="C14" i="5"/>
  <c r="E13" i="5"/>
  <c r="C13" i="5"/>
  <c r="E11" i="5"/>
  <c r="C11" i="5"/>
  <c r="E10" i="5"/>
  <c r="C10" i="5"/>
  <c r="E9" i="5"/>
  <c r="C9" i="5"/>
  <c r="E8" i="5"/>
  <c r="C8" i="5"/>
  <c r="E7" i="5"/>
  <c r="C7" i="5"/>
  <c r="E6" i="5"/>
  <c r="C6" i="5"/>
  <c r="E5" i="5"/>
  <c r="C5" i="5"/>
  <c r="E4" i="5"/>
  <c r="C4" i="5"/>
  <c r="E3" i="5"/>
  <c r="C3" i="5"/>
  <c r="E2" i="5"/>
  <c r="C2" i="5"/>
  <c r="E61" i="4"/>
  <c r="C61" i="4"/>
  <c r="E59" i="4"/>
  <c r="C59" i="4"/>
  <c r="E58" i="4"/>
  <c r="C58" i="4"/>
  <c r="E57" i="4"/>
  <c r="C57" i="4"/>
  <c r="E56" i="4"/>
  <c r="C56" i="4"/>
  <c r="E55" i="4"/>
  <c r="C55" i="4"/>
  <c r="E54" i="4"/>
  <c r="C54" i="4"/>
  <c r="E53" i="4"/>
  <c r="C53" i="4"/>
  <c r="E52" i="4"/>
  <c r="C52" i="4"/>
  <c r="E51" i="4"/>
  <c r="C51" i="4"/>
  <c r="E50" i="4"/>
  <c r="C50" i="4"/>
  <c r="E49" i="4"/>
  <c r="C49" i="4"/>
  <c r="E48" i="4"/>
  <c r="C48" i="4"/>
  <c r="E47" i="4"/>
  <c r="C47" i="4"/>
  <c r="E46" i="4"/>
  <c r="C46" i="4"/>
  <c r="E45" i="4"/>
  <c r="C45" i="4"/>
  <c r="E44" i="4"/>
  <c r="C44" i="4"/>
  <c r="E43" i="4"/>
  <c r="C43" i="4"/>
  <c r="E42" i="4"/>
  <c r="C42" i="4"/>
  <c r="E41" i="4"/>
  <c r="C41" i="4"/>
  <c r="E40" i="4"/>
  <c r="C40" i="4"/>
  <c r="E39" i="4"/>
  <c r="C39" i="4"/>
  <c r="E38" i="4"/>
  <c r="C38" i="4"/>
  <c r="E37" i="4"/>
  <c r="C37" i="4"/>
  <c r="E35" i="4"/>
  <c r="C35" i="4"/>
  <c r="E34" i="4"/>
  <c r="C34" i="4"/>
  <c r="E33" i="4"/>
  <c r="C33" i="4"/>
  <c r="E32" i="4"/>
  <c r="C32" i="4"/>
  <c r="E31" i="4"/>
  <c r="C31" i="4"/>
  <c r="E30" i="4"/>
  <c r="C30" i="4"/>
  <c r="E29" i="4"/>
  <c r="C29" i="4"/>
  <c r="E28" i="4"/>
  <c r="C28" i="4"/>
  <c r="E27" i="4"/>
  <c r="C27" i="4"/>
  <c r="E26" i="4"/>
  <c r="C26" i="4"/>
  <c r="E25" i="4"/>
  <c r="C25" i="4"/>
  <c r="E23" i="4"/>
  <c r="C23" i="4"/>
  <c r="E22" i="4"/>
  <c r="C22" i="4"/>
  <c r="E21" i="4"/>
  <c r="C21" i="4"/>
  <c r="E20" i="4"/>
  <c r="C20" i="4"/>
  <c r="E19" i="4"/>
  <c r="C19" i="4"/>
  <c r="E17" i="4"/>
  <c r="C17" i="4"/>
  <c r="E16" i="4"/>
  <c r="C16" i="4"/>
  <c r="E15" i="4"/>
  <c r="C15" i="4"/>
  <c r="E14" i="4"/>
  <c r="C14" i="4"/>
  <c r="E13" i="4"/>
  <c r="C13" i="4"/>
  <c r="E11" i="4"/>
  <c r="C11" i="4"/>
  <c r="E10" i="4"/>
  <c r="C10" i="4"/>
  <c r="E9" i="4"/>
  <c r="C9" i="4"/>
  <c r="E8" i="4"/>
  <c r="C8" i="4"/>
  <c r="E7" i="4"/>
  <c r="C7" i="4"/>
  <c r="E5" i="4"/>
  <c r="C5" i="4"/>
  <c r="E4" i="4"/>
  <c r="C4" i="4"/>
  <c r="E3" i="4"/>
  <c r="C3" i="4"/>
  <c r="E2" i="4"/>
  <c r="C2" i="4"/>
  <c r="E61" i="3"/>
  <c r="C61" i="3"/>
  <c r="E60" i="3"/>
  <c r="C60" i="3"/>
  <c r="E59" i="3"/>
  <c r="C59" i="3"/>
  <c r="E58" i="3"/>
  <c r="C58" i="3"/>
  <c r="E57" i="3"/>
  <c r="C57" i="3"/>
  <c r="E56" i="3"/>
  <c r="C56" i="3"/>
  <c r="E55" i="3"/>
  <c r="C55" i="3"/>
  <c r="E54" i="3"/>
  <c r="C54" i="3"/>
  <c r="E53" i="3"/>
  <c r="C53" i="3"/>
  <c r="E52" i="3"/>
  <c r="C52" i="3"/>
  <c r="E51" i="3"/>
  <c r="C51" i="3"/>
  <c r="E50" i="3"/>
  <c r="C50" i="3"/>
  <c r="E49" i="3"/>
  <c r="C49" i="3"/>
  <c r="E48" i="3"/>
  <c r="C48" i="3"/>
  <c r="E47" i="3"/>
  <c r="C47" i="3"/>
  <c r="E46" i="3"/>
  <c r="C46" i="3"/>
  <c r="E45" i="3"/>
  <c r="C45" i="3"/>
  <c r="E44" i="3"/>
  <c r="C44" i="3"/>
  <c r="E43" i="3"/>
  <c r="C43" i="3"/>
  <c r="E42" i="3"/>
  <c r="C42" i="3"/>
  <c r="E41" i="3"/>
  <c r="C41" i="3"/>
  <c r="E40" i="3"/>
  <c r="C40" i="3"/>
  <c r="E39" i="3"/>
  <c r="C39" i="3"/>
  <c r="E38" i="3"/>
  <c r="C38" i="3"/>
  <c r="E37" i="3"/>
  <c r="C37" i="3"/>
  <c r="E36" i="3"/>
  <c r="C36" i="3"/>
  <c r="E35" i="3"/>
  <c r="C35" i="3"/>
  <c r="E34" i="3"/>
  <c r="C34" i="3"/>
  <c r="E33" i="3"/>
  <c r="C33" i="3"/>
  <c r="E32" i="3"/>
  <c r="C32" i="3"/>
  <c r="E31" i="3"/>
  <c r="C31" i="3"/>
  <c r="E30" i="3"/>
  <c r="C30" i="3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5" i="3"/>
  <c r="C5" i="3"/>
  <c r="E4" i="3"/>
  <c r="C4" i="3"/>
  <c r="E3" i="3"/>
  <c r="C3" i="3"/>
  <c r="E2" i="3"/>
  <c r="C2" i="3"/>
  <c r="E61" i="2"/>
  <c r="C61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1" i="2"/>
  <c r="C41" i="2"/>
  <c r="E40" i="2"/>
  <c r="C40" i="2"/>
  <c r="E39" i="2"/>
  <c r="C39" i="2"/>
  <c r="E38" i="2"/>
  <c r="C38" i="2"/>
  <c r="E37" i="2"/>
  <c r="C37" i="2"/>
  <c r="E35" i="2"/>
  <c r="C35" i="2"/>
  <c r="E34" i="2"/>
  <c r="C34" i="2"/>
  <c r="E33" i="2"/>
  <c r="C33" i="2"/>
  <c r="E32" i="2"/>
  <c r="C32" i="2"/>
  <c r="E31" i="2"/>
  <c r="C31" i="2"/>
  <c r="E30" i="2"/>
  <c r="C30" i="2"/>
  <c r="E29" i="2"/>
  <c r="C29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7" i="2"/>
  <c r="C17" i="2"/>
  <c r="E16" i="2"/>
  <c r="C16" i="2"/>
  <c r="E15" i="2"/>
  <c r="C15" i="2"/>
  <c r="E14" i="2"/>
  <c r="C14" i="2"/>
  <c r="E13" i="2"/>
  <c r="C13" i="2"/>
  <c r="E11" i="2"/>
  <c r="C11" i="2"/>
  <c r="E10" i="2"/>
  <c r="C10" i="2"/>
  <c r="E9" i="2"/>
  <c r="C9" i="2"/>
  <c r="E8" i="2"/>
  <c r="C8" i="2"/>
  <c r="E7" i="2"/>
  <c r="C7" i="2"/>
  <c r="E5" i="2"/>
  <c r="C5" i="2"/>
  <c r="E4" i="2"/>
  <c r="C4" i="2"/>
  <c r="E3" i="2"/>
  <c r="C3" i="2"/>
  <c r="E2" i="2"/>
  <c r="C2" i="2"/>
  <c r="E61" i="1"/>
  <c r="C61" i="1"/>
  <c r="E60" i="1"/>
  <c r="C60" i="1"/>
  <c r="E59" i="1"/>
  <c r="C59" i="1"/>
  <c r="E58" i="1"/>
  <c r="C58" i="1"/>
  <c r="E57" i="1"/>
  <c r="C57" i="1"/>
  <c r="E56" i="1"/>
  <c r="C56" i="1"/>
  <c r="E55" i="1"/>
  <c r="C55" i="1"/>
  <c r="E54" i="1"/>
  <c r="C54" i="1"/>
  <c r="E53" i="1"/>
  <c r="C53" i="1"/>
  <c r="E52" i="1"/>
  <c r="C52" i="1"/>
  <c r="E51" i="1"/>
  <c r="C51" i="1"/>
  <c r="E50" i="1"/>
  <c r="C50" i="1"/>
  <c r="E49" i="1"/>
  <c r="C49" i="1"/>
  <c r="E48" i="1"/>
  <c r="C48" i="1"/>
  <c r="E47" i="1"/>
  <c r="C47" i="1"/>
  <c r="E46" i="1"/>
  <c r="C46" i="1"/>
  <c r="E45" i="1"/>
  <c r="C45" i="1"/>
  <c r="E44" i="1"/>
  <c r="C44" i="1"/>
  <c r="E43" i="1"/>
  <c r="C43" i="1"/>
  <c r="E42" i="1"/>
  <c r="C42" i="1"/>
  <c r="E41" i="1"/>
  <c r="C41" i="1"/>
  <c r="E40" i="1"/>
  <c r="C40" i="1"/>
  <c r="E39" i="1"/>
  <c r="C39" i="1"/>
  <c r="E38" i="1"/>
  <c r="C38" i="1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3" i="1"/>
  <c r="C23" i="1"/>
  <c r="E22" i="1"/>
  <c r="C22" i="1"/>
  <c r="E21" i="1"/>
  <c r="C21" i="1"/>
  <c r="E20" i="1"/>
  <c r="C20" i="1"/>
  <c r="E19" i="1"/>
  <c r="C19" i="1"/>
  <c r="E18" i="1"/>
  <c r="C18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M3" i="9" l="1"/>
  <c r="M2" i="9"/>
  <c r="M4" i="9" s="1"/>
  <c r="N3" i="9"/>
  <c r="N2" i="9"/>
  <c r="N4" i="9" s="1"/>
  <c r="O3" i="9"/>
  <c r="O2" i="9"/>
  <c r="O4" i="9" s="1"/>
  <c r="P3" i="9"/>
  <c r="P2" i="9"/>
  <c r="P4" i="9" s="1"/>
  <c r="Q3" i="9"/>
  <c r="Q2" i="9"/>
  <c r="Q4" i="9" s="1"/>
  <c r="R3" i="9"/>
  <c r="R2" i="9"/>
  <c r="R4" i="9" s="1"/>
  <c r="S3" i="9"/>
  <c r="S2" i="9"/>
  <c r="S4" i="9" s="1"/>
  <c r="T3" i="9"/>
  <c r="T2" i="9"/>
  <c r="T4" i="9" s="1"/>
  <c r="B43" i="9"/>
  <c r="B6" i="9"/>
  <c r="G6" i="9"/>
  <c r="B16" i="9"/>
  <c r="G16" i="9"/>
  <c r="B26" i="9"/>
  <c r="G26" i="9"/>
  <c r="B36" i="9"/>
  <c r="G36" i="9"/>
  <c r="G38" i="9" l="1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<sst xmlns="http://schemas.openxmlformats.org/spreadsheetml/2006/main" count="1134" uniqueCount="222">
  <si>
    <t>foaf.xml</t>
  </si>
  <si>
    <t>foaf_names.xml</t>
  </si>
  <si>
    <t>natural.txt</t>
  </si>
  <si>
    <t>natural.json</t>
  </si>
  <si>
    <t>foaf.rdf</t>
  </si>
  <si>
    <t>foaf_names.rdf</t>
  </si>
  <si>
    <t>foaf.json</t>
  </si>
  <si>
    <t>foaf_names.json</t>
  </si>
  <si>
    <t>half true</t>
  </si>
  <si>
    <t>dominik</t>
  </si>
  <si>
    <t>sven</t>
  </si>
  <si>
    <t>sum</t>
  </si>
  <si>
    <t>N</t>
  </si>
  <si>
    <t>Po</t>
  </si>
  <si>
    <t>Pe</t>
  </si>
  <si>
    <t>Kappa</t>
  </si>
  <si>
    <t>OVERALL</t>
  </si>
  <si>
    <t>prompt</t>
  </si>
  <si>
    <t>answer</t>
  </si>
  <si>
    <t>validity</t>
  </si>
  <si>
    <t>note</t>
  </si>
  <si>
    <t>validity_ds</t>
  </si>
  <si>
    <t>same</t>
  </si>
  <si>
    <t>What is Saša Škrtić's first name?</t>
  </si>
  <si>
    <t>Saša</t>
  </si>
  <si>
    <t>What is Saša Škrtić's last name?</t>
  </si>
  <si>
    <t>Škrtić</t>
  </si>
  <si>
    <t>What is Saša Škrtić's age?</t>
  </si>
  <si>
    <t>17</t>
  </si>
  <si>
    <t>What is Saša Škrtić's gender?</t>
  </si>
  <si>
    <t>SAŠA ŠKRТИĆ'S G</t>
  </si>
  <si>
    <t>List all Saša Škrtić's friends.</t>
  </si>
  <si>
    <t>Duje Ravlić, Eduard Tuti</t>
  </si>
  <si>
    <t>How many friends does Saša Škrtić have?</t>
  </si>
  <si>
    <t xml:space="preserve">Saša Škrtić has </t>
  </si>
  <si>
    <t>What is Duje Ravlić's first name?</t>
  </si>
  <si>
    <t>Duje</t>
  </si>
  <si>
    <t>What is Duje Ravlić's last name?</t>
  </si>
  <si>
    <t>Ravlić</t>
  </si>
  <si>
    <t>What is Duje Ravlić's age?</t>
  </si>
  <si>
    <t>18</t>
  </si>
  <si>
    <t>What is Duje Ravlić's gender?</t>
  </si>
  <si>
    <t>MALE</t>
  </si>
  <si>
    <t>List all Duje Ravlić's friends.</t>
  </si>
  <si>
    <t>Duga Ravlić: Eduard, Z</t>
  </si>
  <si>
    <t>Haven't seen it invent a name yet</t>
  </si>
  <si>
    <t>How many friends does Duje Ravlić have?</t>
  </si>
  <si>
    <t>Duje Ravlić has 3 friends.</t>
  </si>
  <si>
    <t>What is Eduard Tutić's first name?</t>
  </si>
  <si>
    <t>Eduard</t>
  </si>
  <si>
    <t>What is Eduard Tutić's last name?</t>
  </si>
  <si>
    <t>Tutić</t>
  </si>
  <si>
    <t>What is Eduard Tutić's age?</t>
  </si>
  <si>
    <t>21</t>
  </si>
  <si>
    <t>What is Eduard Tutić's gender?</t>
  </si>
  <si>
    <t>Eduard Tutić is male.</t>
  </si>
  <si>
    <t>List all Eduard Tutić's friends.</t>
  </si>
  <si>
    <t>Zoran Goreta, Eduard Tutić</t>
  </si>
  <si>
    <t>How many friends does Eduard Tutić have?</t>
  </si>
  <si>
    <t>Eduard Tutić has 4 friends</t>
  </si>
  <si>
    <t>What is Zoran Goreta's first name?</t>
  </si>
  <si>
    <t>Zoran</t>
  </si>
  <si>
    <t>What is Zoran Goreta's last name?</t>
  </si>
  <si>
    <t>Goreta</t>
  </si>
  <si>
    <t>What is Zoran Goreta's age?</t>
  </si>
  <si>
    <t>39</t>
  </si>
  <si>
    <t>What is Zoran Goreta's gender?</t>
  </si>
  <si>
    <t>List all Zoran Goreta's friends.</t>
  </si>
  <si>
    <t>Zoran Goreta's friends are: Eduard</t>
  </si>
  <si>
    <t>How many friends does Zoran Goreta have?</t>
  </si>
  <si>
    <t>2</t>
  </si>
  <si>
    <t>What is Ivo Čelina's first name?</t>
  </si>
  <si>
    <t>Ivo</t>
  </si>
  <si>
    <t>What is Ivo Čelina's last name?</t>
  </si>
  <si>
    <t>Čelina</t>
  </si>
  <si>
    <t>What is Ivo Čelina's age?</t>
  </si>
  <si>
    <t>24</t>
  </si>
  <si>
    <t>What is Ivo Čelina's gender?</t>
  </si>
  <si>
    <t>Male</t>
  </si>
  <si>
    <t>List all Ivo Čelina's friends.</t>
  </si>
  <si>
    <t>How many friends does Ivo Čelina have?</t>
  </si>
  <si>
    <t>Ivo Čelina has 3 friends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</si>
  <si>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</si>
  <si>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</si>
  <si>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</si>
  <si>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</si>
  <si>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</si>
  <si>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11</t>
  </si>
  <si>
    <t>What is Jagoda Draženović's gender?</t>
  </si>
  <si>
    <t>Jagoda Draženović is female</t>
  </si>
  <si>
    <t>List all Jagoda Draženović's friends.</t>
  </si>
  <si>
    <t>Jagoda Draženović's friends</t>
  </si>
  <si>
    <t>How many friends does Jagoda Draženović have?</t>
  </si>
  <si>
    <t xml:space="preserve">Jagoda Draženović has </t>
  </si>
  <si>
    <t>What is Monika Rimac's first name?</t>
  </si>
  <si>
    <t>Monika</t>
  </si>
  <si>
    <t>What is Monika Rimac's last name?</t>
  </si>
  <si>
    <t>Rimac</t>
  </si>
  <si>
    <t>What is Monika Rimac's age?</t>
  </si>
  <si>
    <t>10</t>
  </si>
  <si>
    <t>What is Monika Rimac's gender?</t>
  </si>
  <si>
    <t>Monika Rimac's gender is FEMALE.</t>
  </si>
  <si>
    <t>List all Monika Rimac's friends.</t>
  </si>
  <si>
    <t>Monika Rimac's only friend is Mia Pop</t>
  </si>
  <si>
    <t>How many friends does Monika Rimac have?</t>
  </si>
  <si>
    <t>Monika Rimac has 2 friends.</t>
  </si>
  <si>
    <t>What is Mia Popić's first name?</t>
  </si>
  <si>
    <t>Mia</t>
  </si>
  <si>
    <t>What is Mia Popić's last name?</t>
  </si>
  <si>
    <t>Popić</t>
  </si>
  <si>
    <t>What is Mia Popić's age?</t>
  </si>
  <si>
    <t>What is Mia Popić's gender?</t>
  </si>
  <si>
    <t>Mia Popić's gender is FEMALE.</t>
  </si>
  <si>
    <t>List all Mia Popić's friends.</t>
  </si>
  <si>
    <t>Mia Popić's friends: Mirjam Dev</t>
  </si>
  <si>
    <t>How many friends does Mia Popić have?</t>
  </si>
  <si>
    <t>1</t>
  </si>
  <si>
    <t>What is Nada Sudar's first name?</t>
  </si>
  <si>
    <t>Nada</t>
  </si>
  <si>
    <t>What is Nada Sudar's last name?</t>
  </si>
  <si>
    <t>Sudar</t>
  </si>
  <si>
    <t>What is Nada Sudar's age?</t>
  </si>
  <si>
    <t>Nada Sudar's age is 19</t>
  </si>
  <si>
    <t>What is Nada Sudar's gender?</t>
  </si>
  <si>
    <t>Nada Sudar's gender is FEMALE.</t>
  </si>
  <si>
    <t>List all Nada Sudar's friends.</t>
  </si>
  <si>
    <t>Mia Popić</t>
  </si>
  <si>
    <t>How many friends does Nada Sudar have?</t>
  </si>
  <si>
    <t>Nada Sudar has 1 friend.</t>
  </si>
  <si>
    <t>What is Mirjam Devčić's first name?</t>
  </si>
  <si>
    <t>Mirjam</t>
  </si>
  <si>
    <t>What is Mirjam Devčić's last name?</t>
  </si>
  <si>
    <t>Devčić</t>
  </si>
  <si>
    <t>What is Mirjam Devčić's age?</t>
  </si>
  <si>
    <t>Mirjam Devčić's age is 4</t>
  </si>
  <si>
    <t>What is Mirjam Devčić's gender?</t>
  </si>
  <si>
    <t>Mirjam Devčić's gender is female.</t>
  </si>
  <si>
    <t>List all Mirjam Devčić's friends.</t>
  </si>
  <si>
    <t>Mirjam Devčić's friends are Nada</t>
  </si>
  <si>
    <t>How many friends does Mirjam Devčić have?</t>
  </si>
  <si>
    <t>Mirjam Devčić has 2 friends.</t>
  </si>
  <si>
    <t>Duje Ravlić, Zoran Goreta</t>
  </si>
  <si>
    <t>4</t>
  </si>
  <si>
    <t>Ivo Čelina, Mirjam Dev</t>
  </si>
  <si>
    <t>3</t>
  </si>
  <si>
    <t>Zoran Goreta, Ivo Čel</t>
  </si>
  <si>
    <t>Eduard Tutić, Saša</t>
  </si>
  <si>
    <t>Jagoda Draženović, Sa</t>
  </si>
  <si>
    <t>Jagoda Draženović's gender</t>
  </si>
  <si>
    <t>Jagoda Draženović: Sa</t>
  </si>
  <si>
    <t>Female</t>
  </si>
  <si>
    <t>Monika Rimac is friends with Saša</t>
  </si>
  <si>
    <t>Mia Popić is not explicitly listed as having</t>
  </si>
  <si>
    <t>Nada Sudar has no friends listed.</t>
  </si>
  <si>
    <t>41</t>
  </si>
  <si>
    <t>FEMALE</t>
  </si>
  <si>
    <t>Mirjam Devčić's friends: Duje</t>
  </si>
  <si>
    <t xml:space="preserve">Saša Škrtić is </t>
  </si>
  <si>
    <t>Duje Ravlić knows: Zoran Gore</t>
  </si>
  <si>
    <t>Zoran Goreta knows Zoran Goreta.</t>
  </si>
  <si>
    <t>technically true, but does not answer the question</t>
  </si>
  <si>
    <t>Ivo Čelina is 24</t>
  </si>
  <si>
    <t>Ivo Čelina knows Zoran Gore</t>
  </si>
  <si>
    <t xml:space="preserve">Jagoda Draženović is </t>
  </si>
  <si>
    <t>Jagoda Draženović is friends</t>
  </si>
  <si>
    <t>Monika Rimac is female.</t>
  </si>
  <si>
    <t>Monika Rimac's friend is Jagoda Dra</t>
  </si>
  <si>
    <t>Mia Popić knows Nada Sudar.</t>
  </si>
  <si>
    <t>Nada Sudar knows Mirjam Devčić</t>
  </si>
  <si>
    <t>Mirjam Devčić is 41 years</t>
  </si>
  <si>
    <t>Mirjam Devčić knows Nada Sudar</t>
  </si>
  <si>
    <t>Zoran Goreta knows Eduard Tutić</t>
  </si>
  <si>
    <t>Jagoda Draženović knows Sa</t>
  </si>
  <si>
    <t>Monika Rimac's age is 10</t>
  </si>
  <si>
    <t>Monika Rimac has no friends listed.</t>
  </si>
  <si>
    <t>Mia Popić knows Mirjam Devčić</t>
  </si>
  <si>
    <t>Nada Sudar knows Eduard Tutić</t>
  </si>
  <si>
    <t>Mirjam Devčić knows Mia Popić.</t>
  </si>
  <si>
    <t>Duje Ravlić's friends: Saš</t>
  </si>
  <si>
    <t>Zoran Goreta's friends: Zoran,</t>
  </si>
  <si>
    <t>Monika Rimac's gender is female.</t>
  </si>
  <si>
    <t>Monika Rimac's only friend is Monika</t>
  </si>
  <si>
    <t>Mia Popić's only friend is Nada</t>
  </si>
  <si>
    <t>19</t>
  </si>
  <si>
    <t>Nada Sudar's friends: Mirjam Dev</t>
  </si>
  <si>
    <t>Mirjam Devčić's friends: Mirjam</t>
  </si>
  <si>
    <t>Eduard Tutić</t>
  </si>
  <si>
    <t>Mirjam Devčić</t>
  </si>
  <si>
    <t>Nada Sudar: Nada</t>
  </si>
  <si>
    <t>Mirjam Devčić: Mia Popić</t>
  </si>
  <si>
    <t>17 years old.</t>
  </si>
  <si>
    <t>5</t>
  </si>
  <si>
    <t>Duje Ravlić is 18 years</t>
  </si>
  <si>
    <t>Duje Ravlić is a male.</t>
  </si>
  <si>
    <t>Duje Ravlić is friends with Saš</t>
  </si>
  <si>
    <t>Eduard Tutić is 21</t>
  </si>
  <si>
    <t>Eduard Tutić is a male.</t>
  </si>
  <si>
    <t>Zoran Goreta is 39 years old</t>
  </si>
  <si>
    <t>Zoran Goreta is a male.</t>
  </si>
  <si>
    <t>Ivo Čelina is a male.</t>
  </si>
  <si>
    <t>Jagoda Draženović is a</t>
  </si>
  <si>
    <t>Ivo Čelina, Saša</t>
  </si>
  <si>
    <t>Monika Rimac's last name is Rimac</t>
  </si>
  <si>
    <t>Monika Rimac is 10 years old</t>
  </si>
  <si>
    <t>Monika Rimac is a female.</t>
  </si>
  <si>
    <t>Mia Popić is 18 years old</t>
  </si>
  <si>
    <t>Mia Popić is a female.</t>
  </si>
  <si>
    <t>Nada Sudar's last name is Sudar</t>
  </si>
  <si>
    <t>Nada Sudar is 19 years old</t>
  </si>
  <si>
    <t>Nada Sudar is a female.</t>
  </si>
  <si>
    <t>Nada Sudar is friends with Eduard T</t>
  </si>
  <si>
    <t>Mirjam Devčić's last name is Dev</t>
  </si>
  <si>
    <t>Appears to be correct, but did not finish the answer</t>
  </si>
  <si>
    <t>Mirjam Devčić is a female.</t>
  </si>
  <si>
    <t>Duje Ravlić, Mia Popić</t>
  </si>
  <si>
    <t>Saša Škrtić is a</t>
  </si>
  <si>
    <t>Monika Rimac, Zoran Goreta,</t>
  </si>
  <si>
    <t>Nada Sudar, Mia Popić</t>
  </si>
  <si>
    <t>Ivo Čelina is friends with Jag</t>
  </si>
  <si>
    <t>Mia Popić's last name is Popić</t>
  </si>
  <si>
    <t>Nada Sudar has 2 friends.</t>
  </si>
  <si>
    <t>Mirjam Devčić is friends with Duje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</si>
</sst>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4A628-3D81-4CB0-9158-260B230E393F}">
  <dimension ref="A1:T49"/>
  <sheetViews>
    <sheetView tabSelected="1" workbookViewId="0">
      <selection activeCell="R13" sqref="R13"/>
    </sheetView>
  </sheetViews>
  <sheetFormatPr defaultRowHeight="15"/>
  <cols>
    <col min="1" max="1" width="10.285156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15.7109375" bestFit="1" customWidth="1"/>
    <col min="7" max="7" width="12.5703125" bestFit="1" customWidth="1"/>
    <col min="8" max="8" width="6.28515625" bestFit="1" customWidth="1"/>
    <col min="9" max="9" width="8.5703125" bestFit="1" customWidth="1"/>
    <col min="12" max="12" width="8.140625" bestFit="1" customWidth="1"/>
    <col min="13" max="13" width="8.28515625" bestFit="1" customWidth="1"/>
    <col min="14" max="14" width="15.28515625" bestFit="1" customWidth="1"/>
    <col min="15" max="15" width="10.28515625" bestFit="1" customWidth="1"/>
    <col min="16" max="16" width="11.5703125" bestFit="1" customWidth="1"/>
    <col min="17" max="17" width="7.7109375" bestFit="1" customWidth="1"/>
    <col min="18" max="18" width="14.7109375" bestFit="1" customWidth="1"/>
    <col min="19" max="19" width="8.7109375" bestFit="1" customWidth="1"/>
    <col min="20" max="20" width="15.7109375" bestFit="1" customWidth="1"/>
  </cols>
  <sheetData>
    <row r="1" spans="1:20">
      <c r="A1" t="s">
        <v>0</v>
      </c>
      <c r="F1" t="s">
        <v>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</row>
    <row r="2" spans="1:20">
      <c r="B2" t="b">
        <v>1</v>
      </c>
      <c r="C2" t="b">
        <v>0</v>
      </c>
      <c r="D2" t="s">
        <v>8</v>
      </c>
      <c r="G2" t="b">
        <v>1</v>
      </c>
      <c r="H2" t="b">
        <v>0</v>
      </c>
      <c r="I2" t="s">
        <v>8</v>
      </c>
      <c r="L2" t="s">
        <v>9</v>
      </c>
      <c r="M2">
        <f ca="1">B3+B4+B5</f>
        <v>47</v>
      </c>
      <c r="N2">
        <f ca="1">G3+G4+G5</f>
        <v>48</v>
      </c>
      <c r="O2">
        <f ca="1">B13+B14+B15</f>
        <v>45</v>
      </c>
      <c r="P2">
        <f ca="1">G13+G14+G15</f>
        <v>45</v>
      </c>
      <c r="Q2">
        <f ca="1">B23+B24+B25</f>
        <v>43</v>
      </c>
      <c r="R2">
        <f ca="1">G23+G24+G25</f>
        <v>48</v>
      </c>
      <c r="S2">
        <f ca="1">B33+B34+B35</f>
        <v>46</v>
      </c>
      <c r="T2">
        <f ca="1">G33+G34+G35</f>
        <v>48</v>
      </c>
    </row>
    <row r="3" spans="1:20">
      <c r="A3" t="b">
        <v>1</v>
      </c>
      <c r="B3">
        <f ca="1">COUNTIFS(INDIRECT(A1 &amp; "!$C$2:$C$61"),TRUE, INDIRECT(A1 &amp; "!$E$2:$E$61"),TRUE)</f>
        <v>47</v>
      </c>
      <c r="C3">
        <f ca="1">COUNTIFS(INDIRECT(A1 &amp; "!$C$2:$C$61"),TRUE, INDIRECT(A1 &amp; "!$E$2:$E$61"),FALSE)</f>
        <v>0</v>
      </c>
      <c r="D3">
        <f ca="1">COUNTIFS(INDIRECT(A1 &amp; "!$C$2:$C$61"),TRUE, INDIRECT(A1 &amp; "!$E$2:$E$61"),"half true")</f>
        <v>0</v>
      </c>
      <c r="F3" t="b">
        <v>1</v>
      </c>
      <c r="G3">
        <f ca="1">COUNTIFS(INDIRECT(F1 &amp; "!$C$2:$C$61"),TRUE, INDIRECT(F1 &amp; "!$E$2:$E$61"),TRUE)</f>
        <v>48</v>
      </c>
      <c r="H3">
        <f ca="1">COUNTIFS(INDIRECT(F1 &amp; "!$C$2:$C$61"),TRUE, INDIRECT(F1 &amp; "!$E$2:$E$61"),FALSE)</f>
        <v>0</v>
      </c>
      <c r="I3">
        <f ca="1">COUNTIFS(INDIRECT(F1 &amp; "!$C$2:$C$61"),TRUE, INDIRECT(F1 &amp; "!$E$2:$E$61"),"half true")</f>
        <v>0</v>
      </c>
      <c r="L3" t="s">
        <v>10</v>
      </c>
      <c r="M3">
        <f ca="1">SUM(B3:D3)</f>
        <v>47</v>
      </c>
      <c r="N3">
        <f ca="1">SUM(G3:I3)</f>
        <v>48</v>
      </c>
      <c r="O3">
        <f ca="1">SUM(B13:D13)</f>
        <v>45</v>
      </c>
      <c r="P3">
        <f ca="1">SUM(G13:I13)</f>
        <v>45</v>
      </c>
      <c r="Q3">
        <f ca="1">SUM(B23:D23)</f>
        <v>43</v>
      </c>
      <c r="R3">
        <f ca="1">G23+H23+I23</f>
        <v>48</v>
      </c>
      <c r="S3">
        <f ca="1">B33+C33+D33</f>
        <v>46</v>
      </c>
      <c r="T3">
        <f ca="1">G33+H33+I33</f>
        <v>48</v>
      </c>
    </row>
    <row r="4" spans="1:20">
      <c r="A4" t="b">
        <v>0</v>
      </c>
      <c r="B4">
        <f ca="1">COUNTIFS(INDIRECT(A1 &amp; "!$C$2:$C$61"),FALSE, INDIRECT(A1 &amp; "!$E$2:$E$61"),TRUE)</f>
        <v>0</v>
      </c>
      <c r="C4">
        <f ca="1">COUNTIFS(INDIRECT(A1 &amp; "!$C$2:$C$61"),FALSE, INDIRECT(A1 &amp; "!$E$2:$E$61"),FALSE)</f>
        <v>12</v>
      </c>
      <c r="D4">
        <f ca="1">COUNTIFS(INDIRECT(A1 &amp; "!$C$2:$C$61"),FALSE, INDIRECT(A1 &amp; "!$E$2:$E$61"),"half true")</f>
        <v>0</v>
      </c>
      <c r="F4" t="b">
        <v>0</v>
      </c>
      <c r="G4">
        <f ca="1">COUNTIFS(INDIRECT(F1 &amp; "!$C$2:$C$61"),FALSE, INDIRECT(F1 &amp; "!$E$2:$E$61"),TRUE)</f>
        <v>0</v>
      </c>
      <c r="H4">
        <f ca="1">COUNTIFS(INDIRECT(F1 &amp; "!$C$2:$C$61"),FALSE, INDIRECT(F1 &amp; "!$E$2:$E$61"),FALSE)</f>
        <v>6</v>
      </c>
      <c r="I4">
        <f ca="1">COUNTIFS(INDIRECT(F1 &amp; "!$C$2:$C$61"),FALSE, INDIRECT(F1 &amp; "!$E$2:$E$61"),"half true")</f>
        <v>0</v>
      </c>
      <c r="L4" t="s">
        <v>11</v>
      </c>
      <c r="M4">
        <f ca="1">SUM(M2:M3)</f>
        <v>94</v>
      </c>
      <c r="N4">
        <f t="shared" ref="N4:T4" ca="1" si="0">SUM(N2:N3)</f>
        <v>96</v>
      </c>
      <c r="O4">
        <f t="shared" ca="1" si="0"/>
        <v>90</v>
      </c>
      <c r="P4">
        <f t="shared" ca="1" si="0"/>
        <v>90</v>
      </c>
      <c r="Q4">
        <f t="shared" ca="1" si="0"/>
        <v>86</v>
      </c>
      <c r="R4">
        <f t="shared" ca="1" si="0"/>
        <v>96</v>
      </c>
      <c r="S4">
        <f t="shared" ca="1" si="0"/>
        <v>92</v>
      </c>
      <c r="T4">
        <f t="shared" ca="1" si="0"/>
        <v>96</v>
      </c>
    </row>
    <row r="5" spans="1:20">
      <c r="A5" t="s">
        <v>8</v>
      </c>
      <c r="B5">
        <f ca="1">COUNTIFS(INDIRECT(A1 &amp; "!$C$2:$C$61"),"half true", INDIRECT(A1 &amp; "!$E$2:$E$61"),TRUE)</f>
        <v>0</v>
      </c>
      <c r="C5">
        <f ca="1">COUNTIFS(INDIRECT(A1 &amp; "!$C$2:$C$61"),"half true", INDIRECT(A1 &amp; "!$E$2:$E$61"),FALSE)</f>
        <v>1</v>
      </c>
      <c r="D5">
        <f ca="1">COUNTIFS(INDIRECT(A1 &amp; "!$C$2:$C$61"),"half true", INDIRECT(A1 &amp; "!$E$2:$E$61"),"half true")</f>
        <v>0</v>
      </c>
      <c r="F5" t="s">
        <v>8</v>
      </c>
      <c r="G5">
        <f ca="1">COUNTIFS(INDIRECT(F1 &amp; "!$C$2:$C$61"),"half true", INDIRECT(F1 &amp; "!$E$2:$E$61"),TRUE)</f>
        <v>0</v>
      </c>
      <c r="H5">
        <f ca="1">COUNTIFS(INDIRECT(F1 &amp; "!$C$2:$C$61"),"half true", INDIRECT(F1 &amp; "!$E$2:$E$61"),FALSE)</f>
        <v>3</v>
      </c>
      <c r="I5">
        <f ca="1">COUNTIFS(INDIRECT(F1 &amp; "!$C$2:$C$61"),"half true", INDIRECT(F1 &amp; "!$E$2:$E$61"),"half true")</f>
        <v>3</v>
      </c>
    </row>
    <row r="6" spans="1:20">
      <c r="A6" t="s">
        <v>12</v>
      </c>
      <c r="B6">
        <f ca="1">SUM(B3:D5)</f>
        <v>60</v>
      </c>
      <c r="F6" t="s">
        <v>12</v>
      </c>
      <c r="G6">
        <f ca="1">SUM(G3:I5)</f>
        <v>60</v>
      </c>
    </row>
    <row r="7" spans="1:20">
      <c r="A7" t="s">
        <v>13</v>
      </c>
      <c r="B7">
        <f ca="1">(B3+C4+D5)/B6</f>
        <v>0.98333333333333328</v>
      </c>
      <c r="F7" t="s">
        <v>13</v>
      </c>
      <c r="G7">
        <f ca="1">(G3+H4+I5)/G6</f>
        <v>0.95</v>
      </c>
    </row>
    <row r="8" spans="1:20">
      <c r="A8" t="s">
        <v>14</v>
      </c>
      <c r="B8">
        <f ca="1">((SUM(B3:D3)*SUM(B3:B5))+(SUM(B4:D4)*SUM(C3:C5))+(SUM(B5:D5)*SUM(D3:D5)))/(B6^2)</f>
        <v>0.65694444444444444</v>
      </c>
      <c r="F8" t="s">
        <v>14</v>
      </c>
      <c r="G8">
        <f ca="1">((SUM(G3:I3)*SUM(G3:G5))+(SUM(G4:I4)*SUM(H3:H5))+(SUM(G5:I5)*SUM(I3:I5)))/(G6^2)</f>
        <v>0.66</v>
      </c>
    </row>
    <row r="9" spans="1:20">
      <c r="A9" t="s">
        <v>15</v>
      </c>
      <c r="B9">
        <f ca="1">(B7-B8)/(1-B8)</f>
        <v>0.95141700404858287</v>
      </c>
      <c r="F9" t="s">
        <v>15</v>
      </c>
      <c r="G9">
        <f ca="1">(G7-G8)/(1-G8)</f>
        <v>0.85294117647058809</v>
      </c>
    </row>
    <row r="11" spans="1:20">
      <c r="A11" t="s">
        <v>2</v>
      </c>
      <c r="F11" t="s">
        <v>3</v>
      </c>
    </row>
    <row r="12" spans="1:20">
      <c r="B12" t="b">
        <v>1</v>
      </c>
      <c r="C12" t="b">
        <v>0</v>
      </c>
      <c r="D12" t="s">
        <v>8</v>
      </c>
      <c r="G12" t="b">
        <v>1</v>
      </c>
      <c r="H12" t="b">
        <v>0</v>
      </c>
      <c r="I12" t="s">
        <v>8</v>
      </c>
    </row>
    <row r="13" spans="1:20">
      <c r="A13" t="b">
        <v>1</v>
      </c>
      <c r="B13">
        <f ca="1">COUNTIFS(INDIRECT(A11 &amp; "!$C$2:$C$61"),TRUE, INDIRECT(A11 &amp; "!$E$2:$E$61"),TRUE)</f>
        <v>45</v>
      </c>
      <c r="C13">
        <f ca="1">COUNTIFS(INDIRECT(A11 &amp; "!$C$2:$C$61"),TRUE, INDIRECT(A11 &amp; "!$E$2:$E$61"),FALSE)</f>
        <v>0</v>
      </c>
      <c r="D13">
        <f ca="1">COUNTIFS(INDIRECT(A11 &amp; "!$C$2:$C$61"),TRUE, INDIRECT(A11 &amp; "!$E$2:$E$61"),"half true")</f>
        <v>0</v>
      </c>
      <c r="F13" t="b">
        <v>1</v>
      </c>
      <c r="G13">
        <f ca="1">COUNTIFS(INDIRECT(F11 &amp; "!$C$2:$C$61"),TRUE, INDIRECT(F11 &amp; "!$E$2:$E$61"),TRUE)</f>
        <v>45</v>
      </c>
      <c r="H13">
        <f ca="1">COUNTIFS(INDIRECT(F11 &amp; "!$C$2:$C$61"),TRUE, INDIRECT(F11 &amp; "!$E$2:$E$61"),FALSE)</f>
        <v>0</v>
      </c>
      <c r="I13">
        <f ca="1">COUNTIFS(INDIRECT(F11 &amp; "!$C$2:$C$61"),TRUE, INDIRECT(F11 &amp; "!$E$2:$E$61"),"half true")</f>
        <v>0</v>
      </c>
    </row>
    <row r="14" spans="1:20">
      <c r="A14" t="b">
        <v>0</v>
      </c>
      <c r="B14">
        <f ca="1">COUNTIFS(INDIRECT(A11 &amp; "!$C$2:$C$61"),FALSE, INDIRECT(A11 &amp; "!$E$2:$E$61"),TRUE)</f>
        <v>0</v>
      </c>
      <c r="C14">
        <f ca="1">COUNTIFS(INDIRECT(A11 &amp; "!$C$2:$C$61"),FALSE, INDIRECT(A11 &amp; "!$E$2:$E$61"),FALSE)</f>
        <v>10</v>
      </c>
      <c r="D14">
        <f ca="1">COUNTIFS(INDIRECT(A11 &amp; "!$C$2:$C$61"),FALSE, INDIRECT(A11 &amp; "!$E$2:$E$61"),"half true")</f>
        <v>0</v>
      </c>
      <c r="F14" t="b">
        <v>0</v>
      </c>
      <c r="G14">
        <f ca="1">COUNTIFS(INDIRECT(F11 &amp; "!$C$2:$C$61"),FALSE, INDIRECT(F11 &amp; "!$E$2:$E$61"),TRUE)</f>
        <v>0</v>
      </c>
      <c r="H14">
        <f ca="1">COUNTIFS(INDIRECT(F11 &amp; "!$C$2:$C$61"),FALSE, INDIRECT(F11 &amp; "!$E$2:$E$61"),FALSE)</f>
        <v>10</v>
      </c>
      <c r="I14">
        <f ca="1">COUNTIFS(INDIRECT(F11 &amp; "!$C$2:$C$61"),FALSE, INDIRECT(F11 &amp; "!$E$2:$E$61"),"half true")</f>
        <v>0</v>
      </c>
    </row>
    <row r="15" spans="1:20">
      <c r="A15" t="s">
        <v>8</v>
      </c>
      <c r="B15">
        <f ca="1">COUNTIFS(INDIRECT(A11 &amp; "!$C$2:$C$61"),"half true", INDIRECT(A11 &amp; "!$E$2:$E$61"),TRUE)</f>
        <v>0</v>
      </c>
      <c r="C15">
        <f ca="1">COUNTIFS(INDIRECT(A11 &amp; "!$C$2:$C$61"),"half true", INDIRECT(A11 &amp; "!$E$2:$E$61"),FALSE)</f>
        <v>4</v>
      </c>
      <c r="D15">
        <f ca="1">COUNTIFS(INDIRECT(A11 &amp; "!$C$2:$C$61"),"half true", INDIRECT(A11 &amp; "!$E$2:$E$61"),"half true")</f>
        <v>1</v>
      </c>
      <c r="F15" t="s">
        <v>8</v>
      </c>
      <c r="G15">
        <f ca="1">COUNTIFS(INDIRECT(F11 &amp; "!$C$2:$C$61"),"half true", INDIRECT(F11 &amp; "!$E$2:$E$61"),TRUE)</f>
        <v>0</v>
      </c>
      <c r="H15">
        <f ca="1">COUNTIFS(INDIRECT(F11 &amp; "!$C$2:$C$61"),"half true", INDIRECT(F11 &amp; "!$E$2:$E$61"),FALSE)</f>
        <v>5</v>
      </c>
      <c r="I15">
        <f ca="1">COUNTIFS(INDIRECT(F11 &amp; "!$C$2:$C$61"),"half true", INDIRECT(F11 &amp; "!$E$2:$E$61"),"half true")</f>
        <v>0</v>
      </c>
    </row>
    <row r="16" spans="1:20">
      <c r="A16" t="s">
        <v>12</v>
      </c>
      <c r="B16">
        <f ca="1">SUM(B13:D15)</f>
        <v>60</v>
      </c>
      <c r="F16" t="s">
        <v>12</v>
      </c>
      <c r="G16">
        <f ca="1">SUM(G13:I15)</f>
        <v>60</v>
      </c>
    </row>
    <row r="17" spans="1:9">
      <c r="A17" t="s">
        <v>13</v>
      </c>
      <c r="B17">
        <f ca="1">(B13+C14+D15)/B16</f>
        <v>0.93333333333333335</v>
      </c>
      <c r="F17" t="s">
        <v>13</v>
      </c>
      <c r="G17">
        <f ca="1">(G13+H14+I15)/G16</f>
        <v>0.91666666666666663</v>
      </c>
    </row>
    <row r="18" spans="1:9">
      <c r="A18" t="s">
        <v>14</v>
      </c>
      <c r="B18">
        <f ca="1">((SUM(B13:D13)*SUM(B13:B15))+(SUM(B14:D14)*SUM(C13:C15))+(SUM(B15:D15)*SUM(D13:D15)))/(B16^2)</f>
        <v>0.60277777777777775</v>
      </c>
      <c r="F18" t="s">
        <v>14</v>
      </c>
      <c r="G18">
        <f ca="1">((SUM(G13:I13)*SUM(G13:G15))+(SUM(G14:I14)*SUM(H13:H15))+(SUM(G15:I15)*SUM(I13:I15)))/(G16^2)</f>
        <v>0.60416666666666663</v>
      </c>
    </row>
    <row r="19" spans="1:9">
      <c r="A19" t="s">
        <v>15</v>
      </c>
      <c r="B19">
        <f ca="1">(B17-B18)/(1-B18)</f>
        <v>0.83216783216783219</v>
      </c>
      <c r="F19" t="s">
        <v>15</v>
      </c>
      <c r="G19">
        <f ca="1">(G17-G18)/(1-G18)</f>
        <v>0.78947368421052622</v>
      </c>
    </row>
    <row r="21" spans="1:9">
      <c r="A21" t="s">
        <v>4</v>
      </c>
      <c r="F21" t="s">
        <v>5</v>
      </c>
    </row>
    <row r="22" spans="1:9">
      <c r="B22" t="b">
        <v>1</v>
      </c>
      <c r="C22" t="b">
        <v>0</v>
      </c>
      <c r="D22" t="s">
        <v>8</v>
      </c>
      <c r="G22" t="b">
        <v>1</v>
      </c>
      <c r="H22" t="b">
        <v>0</v>
      </c>
      <c r="I22" t="s">
        <v>8</v>
      </c>
    </row>
    <row r="23" spans="1:9">
      <c r="A23" t="b">
        <v>1</v>
      </c>
      <c r="B23">
        <f ca="1">COUNTIFS(INDIRECT(A21 &amp; "!$C$2:$C$61"),TRUE, INDIRECT(A21 &amp; "!$E$2:$E$61"),TRUE)</f>
        <v>43</v>
      </c>
      <c r="C23">
        <f ca="1">COUNTIFS(INDIRECT(A21 &amp; "!$C$2:$C$61"),TRUE, INDIRECT(A21 &amp; "!$E$2:$E$61"),FALSE)</f>
        <v>0</v>
      </c>
      <c r="D23">
        <f ca="1">COUNTIFS(INDIRECT(A21 &amp; "!$C$2:$C$61"),TRUE, INDIRECT(A21 &amp; "!$E$2:$E$61"),"half true")</f>
        <v>0</v>
      </c>
      <c r="F23" t="b">
        <v>1</v>
      </c>
      <c r="G23">
        <f ca="1">COUNTIFS(INDIRECT(F21 &amp; "!$C$2:$C$61"),TRUE, INDIRECT(F21 &amp; "!$E$2:$E$61"),TRUE)</f>
        <v>48</v>
      </c>
      <c r="H23">
        <f ca="1">COUNTIFS(INDIRECT(F21 &amp; "!$C$2:$C$61"),TRUE, INDIRECT(F21 &amp; "!$E$2:$E$61"),FALSE)</f>
        <v>0</v>
      </c>
      <c r="I23">
        <f ca="1">COUNTIFS(INDIRECT(F21 &amp; "!$C$2:$C$61"),TRUE, INDIRECT(F21 &amp; "!$E$2:$E$61"),"half true")</f>
        <v>0</v>
      </c>
    </row>
    <row r="24" spans="1:9">
      <c r="A24" t="b">
        <v>0</v>
      </c>
      <c r="B24">
        <f ca="1">COUNTIFS(INDIRECT(A21 &amp; "!$C$2:$C$61"),FALSE, INDIRECT(A21 &amp; "!$E$2:$E$61"),TRUE)</f>
        <v>0</v>
      </c>
      <c r="C24">
        <f ca="1">COUNTIFS(INDIRECT(A21 &amp; "!$C$2:$C$61"),FALSE, INDIRECT(A21 &amp; "!$E$2:$E$61"),FALSE)</f>
        <v>15</v>
      </c>
      <c r="D24">
        <f ca="1">COUNTIFS(INDIRECT(A21 &amp; "!$C$2:$C$61"),FALSE, INDIRECT(A21 &amp; "!$E$2:$E$61"),"half true")</f>
        <v>0</v>
      </c>
      <c r="F24" t="b">
        <v>0</v>
      </c>
      <c r="G24">
        <f ca="1">COUNTIFS(INDIRECT(F21 &amp; "!$C$2:$C$61"),FALSE, INDIRECT(F21 &amp; "!$E$2:$E$61"),TRUE)</f>
        <v>0</v>
      </c>
      <c r="H24">
        <f ca="1">COUNTIFS(INDIRECT(F21 &amp; "!$C$2:$C$61"),FALSE, INDIRECT(F21 &amp; "!$E$2:$E$61"),FALSE)</f>
        <v>6</v>
      </c>
      <c r="I24">
        <f ca="1">COUNTIFS(INDIRECT(F21 &amp; "!$C$2:$C$61"),FALSE, INDIRECT(F21 &amp; "!$E$2:$E$61"),"half true")</f>
        <v>0</v>
      </c>
    </row>
    <row r="25" spans="1:9">
      <c r="A25" t="s">
        <v>8</v>
      </c>
      <c r="B25">
        <f ca="1">COUNTIFS(INDIRECT(A21 &amp; "!$C$2:$C$61"),"half true", INDIRECT(A21 &amp; "!$E$2:$E$61"),TRUE)</f>
        <v>0</v>
      </c>
      <c r="C25">
        <f ca="1">COUNTIFS(INDIRECT(A21 &amp; "!$C$2:$C$61"),"half true", INDIRECT(A21 &amp; "!$E$2:$E$61"),FALSE)</f>
        <v>0</v>
      </c>
      <c r="D25">
        <f ca="1">COUNTIFS(INDIRECT(A21 &amp; "!$C$2:$C$61"),"half true", INDIRECT(A21 &amp; "!$E$2:$E$61"),"half true")</f>
        <v>2</v>
      </c>
      <c r="F25" t="s">
        <v>8</v>
      </c>
      <c r="G25">
        <f ca="1">COUNTIFS(INDIRECT(F21 &amp; "!$C$2:$C$61"),"half true", INDIRECT(F21 &amp; "!$E$2:$E$61"),TRUE)</f>
        <v>0</v>
      </c>
      <c r="H25">
        <f ca="1">COUNTIFS(INDIRECT(F21 &amp; "!$C$2:$C$61"),"half true", INDIRECT(F21 &amp; "!$E$2:$E$61"),FALSE)</f>
        <v>3</v>
      </c>
      <c r="I25">
        <f ca="1">COUNTIFS(INDIRECT(F21 &amp; "!$C$2:$C$61"),"half true", INDIRECT(F21 &amp; "!$E$2:$E$61"),"half true")</f>
        <v>3</v>
      </c>
    </row>
    <row r="26" spans="1:9">
      <c r="A26" t="s">
        <v>12</v>
      </c>
      <c r="B26">
        <f ca="1">SUM(B23:D25)</f>
        <v>60</v>
      </c>
      <c r="F26" t="s">
        <v>12</v>
      </c>
      <c r="G26">
        <f ca="1">SUM(G23:I25)</f>
        <v>60</v>
      </c>
    </row>
    <row r="27" spans="1:9">
      <c r="A27" t="s">
        <v>13</v>
      </c>
      <c r="B27">
        <f ca="1">(B23+C24+D25)/B26</f>
        <v>1</v>
      </c>
      <c r="F27" t="s">
        <v>13</v>
      </c>
      <c r="G27">
        <f ca="1">(G23+H24+I25)/G26</f>
        <v>0.95</v>
      </c>
    </row>
    <row r="28" spans="1:9">
      <c r="A28" t="s">
        <v>14</v>
      </c>
      <c r="B28">
        <f ca="1">((SUM(B23:D23)*SUM(B23:B25))+(SUM(B24:D24)*SUM(C23:C25))+(SUM(B25:D25)*SUM(D23:D25)))/(B26^2)</f>
        <v>0.57722222222222219</v>
      </c>
      <c r="F28" t="s">
        <v>14</v>
      </c>
      <c r="G28">
        <f ca="1">((SUM(G23:I23)*SUM(G23:G25))+(SUM(G24:I24)*SUM(H23:H25))+(SUM(G25:I25)*SUM(I23:I25)))/(G26^2)</f>
        <v>0.66</v>
      </c>
    </row>
    <row r="29" spans="1:9">
      <c r="A29" t="s">
        <v>15</v>
      </c>
      <c r="B29">
        <f ca="1">(B27-B28)/(1-B28)</f>
        <v>1</v>
      </c>
      <c r="F29" t="s">
        <v>15</v>
      </c>
      <c r="G29">
        <f ca="1">(G27-G28)/(1-G28)</f>
        <v>0.85294117647058809</v>
      </c>
    </row>
    <row r="31" spans="1:9">
      <c r="A31" t="s">
        <v>6</v>
      </c>
      <c r="F31" t="s">
        <v>7</v>
      </c>
    </row>
    <row r="32" spans="1:9">
      <c r="B32" t="b">
        <v>1</v>
      </c>
      <c r="C32" t="b">
        <v>0</v>
      </c>
      <c r="D32" t="s">
        <v>8</v>
      </c>
      <c r="G32" t="b">
        <v>1</v>
      </c>
      <c r="H32" t="b">
        <v>0</v>
      </c>
      <c r="I32" t="s">
        <v>8</v>
      </c>
    </row>
    <row r="33" spans="1:9">
      <c r="A33" t="b">
        <v>1</v>
      </c>
      <c r="B33">
        <f ca="1">COUNTIFS(INDIRECT(A31 &amp; "!$C$2:$C$61"),TRUE, INDIRECT(A31 &amp; "!$E$2:$E$61"),TRUE)</f>
        <v>46</v>
      </c>
      <c r="C33">
        <f ca="1">COUNTIFS(INDIRECT(A31 &amp; "!$C$2:$C$61"),TRUE, INDIRECT(A31 &amp; "!$E$2:$E$61"),FALSE)</f>
        <v>0</v>
      </c>
      <c r="D33">
        <f ca="1">COUNTIFS(INDIRECT(A31 &amp; "!$C$2:$C$61"),TRUE, INDIRECT(A31 &amp; "!$E$2:$E$61"),"half true")</f>
        <v>0</v>
      </c>
      <c r="F33" t="b">
        <v>1</v>
      </c>
      <c r="G33">
        <f ca="1">COUNTIFS(INDIRECT(F31 &amp; "!$C$2:$C$61"),TRUE, INDIRECT(F31 &amp; "!$E$2:$E$61"),TRUE)</f>
        <v>48</v>
      </c>
      <c r="H33">
        <f ca="1">COUNTIFS(INDIRECT(F31 &amp; "!$C$2:$C$61"),TRUE, INDIRECT(F31 &amp; "!$E$2:$E$61"),FALSE)</f>
        <v>0</v>
      </c>
      <c r="I33">
        <f ca="1">COUNTIFS(INDIRECT(F31 &amp; "!$C$2:$C$61"),TRUE, INDIRECT(F31 &amp; "!$E$2:$E$61"),"half true")</f>
        <v>0</v>
      </c>
    </row>
    <row r="34" spans="1:9">
      <c r="A34" t="b">
        <v>0</v>
      </c>
      <c r="B34">
        <f ca="1">COUNTIFS(INDIRECT(A31 &amp; "!$C$2:$C$61"),FALSE, INDIRECT(A31 &amp; "!$E$2:$E$61"),TRUE)</f>
        <v>0</v>
      </c>
      <c r="C34">
        <f ca="1">COUNTIFS(INDIRECT(A31 &amp; "!$C$2:$C$61"),FALSE, INDIRECT(A31 &amp; "!$E$2:$E$61"),FALSE)</f>
        <v>11</v>
      </c>
      <c r="D34">
        <f ca="1">COUNTIFS(INDIRECT(A31 &amp; "!$C$2:$C$61"),FALSE, INDIRECT(A31 &amp; "!$E$2:$E$61"),"half true")</f>
        <v>0</v>
      </c>
      <c r="F34" t="b">
        <v>0</v>
      </c>
      <c r="G34">
        <f ca="1">COUNTIFS(INDIRECT(F31 &amp; "!$C$2:$C$61"),FALSE, INDIRECT(F31 &amp; "!$E$2:$E$61"),TRUE)</f>
        <v>0</v>
      </c>
      <c r="H34">
        <f ca="1">COUNTIFS(INDIRECT(F31 &amp; "!$C$2:$C$61"),FALSE, INDIRECT(F31 &amp; "!$E$2:$E$61"),FALSE)</f>
        <v>6</v>
      </c>
      <c r="I34">
        <f ca="1">COUNTIFS(INDIRECT(F31 &amp; "!$C$2:$C$61"),FALSE, INDIRECT(F31 &amp; "!$E$2:$E$61"),"half true")</f>
        <v>0</v>
      </c>
    </row>
    <row r="35" spans="1:9">
      <c r="A35" t="s">
        <v>8</v>
      </c>
      <c r="B35">
        <f ca="1">COUNTIFS(INDIRECT(A31 &amp; "!$C$2:$C$61"),"half true", INDIRECT(A31 &amp; "!$E$2:$E$61"),TRUE)</f>
        <v>0</v>
      </c>
      <c r="C35">
        <f ca="1">COUNTIFS(INDIRECT(A31 &amp; "!$C$2:$C$61"),"half true", INDIRECT(A31 &amp; "!$E$2:$E$61"),FALSE)</f>
        <v>3</v>
      </c>
      <c r="D35">
        <f ca="1">COUNTIFS(INDIRECT(A31 &amp; "!$C$2:$C$61"),"half true", INDIRECT(A31 &amp; "!$E$2:$E$61"),"half true")</f>
        <v>0</v>
      </c>
      <c r="F35" t="s">
        <v>8</v>
      </c>
      <c r="G35">
        <f ca="1">COUNTIFS(INDIRECT(F31 &amp; "!$C$2:$C$61"),"half true", INDIRECT(F31 &amp; "!$E$2:$E$61"),TRUE)</f>
        <v>0</v>
      </c>
      <c r="H35">
        <f ca="1">COUNTIFS(INDIRECT(F31 &amp; "!$C$2:$C$61"),"half true", INDIRECT(F31 &amp; "!$E$2:$E$61"),FALSE)</f>
        <v>0</v>
      </c>
      <c r="I35">
        <f ca="1">COUNTIFS(INDIRECT(F31 &amp; "!$C$2:$C$61"),"half true", INDIRECT(F31 &amp; "!$E$2:$E$61"),"half true")</f>
        <v>6</v>
      </c>
    </row>
    <row r="36" spans="1:9">
      <c r="A36" t="s">
        <v>12</v>
      </c>
      <c r="B36">
        <f ca="1">SUM(B33:D35)</f>
        <v>60</v>
      </c>
      <c r="F36" t="s">
        <v>12</v>
      </c>
      <c r="G36">
        <f ca="1">SUM(G33:I35)</f>
        <v>60</v>
      </c>
    </row>
    <row r="37" spans="1:9">
      <c r="A37" t="s">
        <v>13</v>
      </c>
      <c r="B37">
        <f ca="1">(B33+C34+D35)/B36</f>
        <v>0.95</v>
      </c>
      <c r="F37" t="s">
        <v>13</v>
      </c>
      <c r="G37">
        <f ca="1">(G33+H34+I35)/G36</f>
        <v>1</v>
      </c>
    </row>
    <row r="38" spans="1:9">
      <c r="A38" t="s">
        <v>14</v>
      </c>
      <c r="B38">
        <f ca="1">((SUM(B33:D33)*SUM(B33:B35))+(SUM(B34:D34)*SUM(C33:C35))+(SUM(B35:D35)*SUM(D33:D35)))/(B36^2)</f>
        <v>0.63055555555555554</v>
      </c>
      <c r="F38" t="s">
        <v>14</v>
      </c>
      <c r="G38">
        <f ca="1">((SUM(G33:I33)*SUM(G33:G35))+(SUM(G34:I34)*SUM(H33:H35))+(SUM(G35:I35)*SUM(I33:I35)))/(G36^2)</f>
        <v>0.66</v>
      </c>
    </row>
    <row r="39" spans="1:9">
      <c r="A39" t="s">
        <v>15</v>
      </c>
      <c r="B39">
        <f ca="1">(B37-B38)/(1-B38)</f>
        <v>0.86466165413533824</v>
      </c>
      <c r="F39" t="s">
        <v>15</v>
      </c>
      <c r="G39">
        <f ca="1">(G37-G38)/(1-G38)</f>
        <v>1</v>
      </c>
    </row>
    <row r="41" spans="1:9">
      <c r="A41" t="s">
        <v>16</v>
      </c>
    </row>
    <row r="42" spans="1:9">
      <c r="B42" t="b">
        <v>1</v>
      </c>
      <c r="C42" t="b">
        <v>0</v>
      </c>
      <c r="D42" t="s">
        <v>8</v>
      </c>
    </row>
    <row r="43" spans="1:9">
      <c r="A43" t="b">
        <v>1</v>
      </c>
      <c r="B43">
        <f ca="1">B3+G3+B13+G13+B23+G23+B33+G33</f>
        <v>370</v>
      </c>
      <c r="C43">
        <f t="shared" ref="C43:D45" ca="1" si="1">C3+H3+C13+H13+C23+H23+C33+H33</f>
        <v>0</v>
      </c>
      <c r="D43">
        <f t="shared" ca="1" si="1"/>
        <v>0</v>
      </c>
    </row>
    <row r="44" spans="1:9">
      <c r="A44" t="b">
        <v>0</v>
      </c>
      <c r="B44">
        <f t="shared" ref="B44:B45" ca="1" si="2">B4+G4+B14+G14+B24+G24+B34+G34</f>
        <v>0</v>
      </c>
      <c r="C44">
        <f t="shared" ca="1" si="1"/>
        <v>76</v>
      </c>
      <c r="D44">
        <f t="shared" ca="1" si="1"/>
        <v>0</v>
      </c>
    </row>
    <row r="45" spans="1:9">
      <c r="A45" t="s">
        <v>8</v>
      </c>
      <c r="B45">
        <f t="shared" ca="1" si="2"/>
        <v>0</v>
      </c>
      <c r="C45">
        <f t="shared" ca="1" si="1"/>
        <v>19</v>
      </c>
      <c r="D45">
        <f t="shared" ca="1" si="1"/>
        <v>15</v>
      </c>
    </row>
    <row r="46" spans="1:9">
      <c r="A46" t="s">
        <v>12</v>
      </c>
      <c r="B46">
        <f ca="1">SUM(B43:D45)</f>
        <v>480</v>
      </c>
    </row>
    <row r="47" spans="1:9">
      <c r="A47" t="s">
        <v>13</v>
      </c>
      <c r="B47">
        <f ca="1">(B43+C44+D45)/B46</f>
        <v>0.9604166666666667</v>
      </c>
    </row>
    <row r="48" spans="1:9">
      <c r="A48" t="s">
        <v>14</v>
      </c>
      <c r="B48">
        <f ca="1">((SUM(B43:D43)*SUM(B43:B45))+(SUM(B44:D44)*SUM(C43:C45))+(SUM(B45:D45)*SUM(D43:D45)))/(B46^2)</f>
        <v>0.62773437499999996</v>
      </c>
    </row>
    <row r="49" spans="1:2">
      <c r="A49" t="s">
        <v>15</v>
      </c>
      <c r="B49">
        <f ca="1">(B47-B48)/(1-B48)</f>
        <v>0.89366911507520119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zoomScaleNormal="100" workbookViewId="0">
      <selection activeCell="F24" sqref="F24"/>
    </sheetView>
  </sheetViews>
  <sheetFormatPr defaultColWidth="8.5703125" defaultRowHeight="15"/>
  <cols>
    <col min="1" max="1" width="43.42578125" customWidth="1"/>
    <col min="2" max="2" width="32.710937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FALSE()</f>
        <v>0</v>
      </c>
      <c r="E5" t="b">
        <f>FALSE()</f>
        <v>0</v>
      </c>
      <c r="F5" t="b">
        <f t="shared" si="0"/>
        <v>1</v>
      </c>
    </row>
    <row r="6" spans="1:6">
      <c r="A6" t="s">
        <v>31</v>
      </c>
      <c r="B6" t="s">
        <v>32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34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42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44</v>
      </c>
      <c r="C12" t="b">
        <f>FALSE()</f>
        <v>0</v>
      </c>
      <c r="D12" t="s">
        <v>45</v>
      </c>
      <c r="E12" t="b">
        <f>FALSE()</f>
        <v>0</v>
      </c>
      <c r="F12" t="b">
        <f t="shared" si="0"/>
        <v>1</v>
      </c>
    </row>
    <row r="13" spans="1:6">
      <c r="A13" t="s">
        <v>46</v>
      </c>
      <c r="B13" t="s">
        <v>47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48</v>
      </c>
      <c r="B14" t="s">
        <v>49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50</v>
      </c>
      <c r="B15" t="s">
        <v>51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52</v>
      </c>
      <c r="B16" t="s">
        <v>53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55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57</v>
      </c>
      <c r="C18" t="b">
        <f>FALSE()</f>
        <v>0</v>
      </c>
      <c r="E18" t="b">
        <f>FALSE()</f>
        <v>0</v>
      </c>
      <c r="F18" t="b">
        <f t="shared" si="0"/>
        <v>1</v>
      </c>
    </row>
    <row r="19" spans="1:6">
      <c r="A19" t="s">
        <v>58</v>
      </c>
      <c r="B19" t="s">
        <v>59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60</v>
      </c>
      <c r="B20" t="s">
        <v>61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62</v>
      </c>
      <c r="B21" t="s">
        <v>63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64</v>
      </c>
      <c r="B22" t="s">
        <v>65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66</v>
      </c>
      <c r="B23" t="s">
        <v>42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68</v>
      </c>
      <c r="C24" t="s">
        <v>8</v>
      </c>
      <c r="E24" t="b">
        <v>0</v>
      </c>
      <c r="F24" t="b">
        <f t="shared" si="0"/>
        <v>0</v>
      </c>
    </row>
    <row r="25" spans="1:6">
      <c r="A25" t="s">
        <v>69</v>
      </c>
      <c r="B25" t="s">
        <v>70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71</v>
      </c>
      <c r="B26" t="s">
        <v>72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73</v>
      </c>
      <c r="B27" t="s">
        <v>74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75</v>
      </c>
      <c r="B28" t="s">
        <v>76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77</v>
      </c>
      <c r="B29" t="s">
        <v>78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79</v>
      </c>
      <c r="B30" t="s">
        <v>57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80</v>
      </c>
      <c r="B31" t="s">
        <v>81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87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88</v>
      </c>
      <c r="B35" t="s">
        <v>89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90</v>
      </c>
      <c r="B36" t="s">
        <v>91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92</v>
      </c>
      <c r="B37" t="s">
        <v>93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94</v>
      </c>
      <c r="B38" t="s">
        <v>95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96</v>
      </c>
      <c r="B39" t="s">
        <v>97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99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101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103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104</v>
      </c>
      <c r="B43" t="s">
        <v>105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109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112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114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115</v>
      </c>
      <c r="B49" t="s">
        <v>116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120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122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124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126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127</v>
      </c>
      <c r="B55" t="s">
        <v>128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132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133</v>
      </c>
      <c r="B58" t="s">
        <v>134</v>
      </c>
      <c r="C58" t="b">
        <f>FALSE()</f>
        <v>0</v>
      </c>
      <c r="E58" t="b">
        <f>FALSE()</f>
        <v>0</v>
      </c>
      <c r="F58" t="b">
        <f t="shared" si="0"/>
        <v>1</v>
      </c>
    </row>
    <row r="59" spans="1:6">
      <c r="A59" t="s">
        <v>135</v>
      </c>
      <c r="B59" t="s">
        <v>136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138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139</v>
      </c>
      <c r="B61" t="s">
        <v>140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1"/>
  <sheetViews>
    <sheetView topLeftCell="A25" zoomScaleNormal="100" workbookViewId="0">
      <selection activeCell="F60" sqref="F60"/>
    </sheetView>
  </sheetViews>
  <sheetFormatPr defaultColWidth="8.5703125" defaultRowHeight="15"/>
  <cols>
    <col min="1" max="1" width="44" customWidth="1"/>
    <col min="2" max="2" width="35.85546875" customWidth="1"/>
    <col min="3" max="3" width="9.4257812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42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141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142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42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143</v>
      </c>
      <c r="C12" t="s">
        <v>8</v>
      </c>
      <c r="E12" t="s">
        <v>8</v>
      </c>
      <c r="F12" t="b">
        <f t="shared" si="0"/>
        <v>1</v>
      </c>
    </row>
    <row r="13" spans="1:6">
      <c r="A13" t="s">
        <v>46</v>
      </c>
      <c r="B13" t="s">
        <v>144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48</v>
      </c>
      <c r="B14" t="s">
        <v>49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50</v>
      </c>
      <c r="B15" t="s">
        <v>51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52</v>
      </c>
      <c r="B16" t="s">
        <v>53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42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145</v>
      </c>
      <c r="C18" t="s">
        <v>8</v>
      </c>
      <c r="E18" t="s">
        <v>8</v>
      </c>
      <c r="F18" t="b">
        <f t="shared" si="0"/>
        <v>1</v>
      </c>
    </row>
    <row r="19" spans="1:6">
      <c r="A19" t="s">
        <v>58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60</v>
      </c>
      <c r="B20" t="s">
        <v>61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62</v>
      </c>
      <c r="B21" t="s">
        <v>63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64</v>
      </c>
      <c r="B22" t="s">
        <v>65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66</v>
      </c>
      <c r="B23" t="s">
        <v>78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146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69</v>
      </c>
      <c r="B25" t="s">
        <v>70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71</v>
      </c>
      <c r="B26" t="s">
        <v>72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73</v>
      </c>
      <c r="B27" t="s">
        <v>74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75</v>
      </c>
      <c r="B28" t="s">
        <v>76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77</v>
      </c>
      <c r="B29" t="s">
        <v>42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79</v>
      </c>
      <c r="B30" t="s">
        <v>147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80</v>
      </c>
      <c r="B31" t="s">
        <v>144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87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88</v>
      </c>
      <c r="B35" t="s">
        <v>148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90</v>
      </c>
      <c r="B36" t="s">
        <v>149</v>
      </c>
      <c r="C36" t="s">
        <v>8</v>
      </c>
      <c r="E36" t="b">
        <v>0</v>
      </c>
      <c r="F36" t="b">
        <f t="shared" si="0"/>
        <v>0</v>
      </c>
    </row>
    <row r="37" spans="1:6">
      <c r="A37" t="s">
        <v>92</v>
      </c>
      <c r="B37" t="s">
        <v>70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94</v>
      </c>
      <c r="B38" t="s">
        <v>107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96</v>
      </c>
      <c r="B39" t="s">
        <v>97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99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150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151</v>
      </c>
      <c r="C42" t="s">
        <v>8</v>
      </c>
      <c r="E42" t="b">
        <v>0</v>
      </c>
      <c r="F42" t="b">
        <f t="shared" si="0"/>
        <v>0</v>
      </c>
    </row>
    <row r="43" spans="1:6">
      <c r="A43" t="s">
        <v>104</v>
      </c>
      <c r="B43" t="s">
        <v>70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109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150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152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115</v>
      </c>
      <c r="B49" t="s">
        <v>116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120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122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124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153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127</v>
      </c>
      <c r="B55" t="s">
        <v>116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132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133</v>
      </c>
      <c r="B58" t="s">
        <v>154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155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156</v>
      </c>
      <c r="C60" t="s">
        <v>8</v>
      </c>
      <c r="E60" t="b">
        <v>0</v>
      </c>
      <c r="F60" t="b">
        <f t="shared" si="0"/>
        <v>0</v>
      </c>
    </row>
    <row r="61" spans="1:6">
      <c r="A61" t="s">
        <v>139</v>
      </c>
      <c r="B61" t="s">
        <v>144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zoomScaleNormal="100" workbookViewId="0">
      <selection activeCell="F2" sqref="F2:F61"/>
    </sheetView>
  </sheetViews>
  <sheetFormatPr defaultColWidth="8.5703125" defaultRowHeight="15"/>
  <cols>
    <col min="1" max="1" width="42.85546875" customWidth="1"/>
    <col min="2" max="2" width="33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157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29</v>
      </c>
      <c r="B5" t="s">
        <v>42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141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34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42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158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46</v>
      </c>
      <c r="B13" t="s">
        <v>144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48</v>
      </c>
      <c r="B14" t="s">
        <v>49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50</v>
      </c>
      <c r="B15" t="s">
        <v>51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52</v>
      </c>
      <c r="B16" t="s">
        <v>53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42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145</v>
      </c>
      <c r="C18" t="s">
        <v>8</v>
      </c>
      <c r="E18" t="s">
        <v>8</v>
      </c>
      <c r="F18" t="b">
        <f t="shared" si="0"/>
        <v>1</v>
      </c>
    </row>
    <row r="19" spans="1:6">
      <c r="A19" t="s">
        <v>58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60</v>
      </c>
      <c r="B20" t="s">
        <v>61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62</v>
      </c>
      <c r="B21" t="s">
        <v>63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64</v>
      </c>
      <c r="B22" t="s">
        <v>65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66</v>
      </c>
      <c r="B23" t="s">
        <v>42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159</v>
      </c>
      <c r="C24" t="b">
        <f>FALSE()</f>
        <v>0</v>
      </c>
      <c r="D24" t="s">
        <v>160</v>
      </c>
      <c r="E24" t="b">
        <f>FALSE()</f>
        <v>0</v>
      </c>
      <c r="F24" t="b">
        <f t="shared" si="0"/>
        <v>1</v>
      </c>
    </row>
    <row r="25" spans="1:6">
      <c r="A25" t="s">
        <v>69</v>
      </c>
      <c r="B25" t="s">
        <v>144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71</v>
      </c>
      <c r="B26" t="s">
        <v>72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73</v>
      </c>
      <c r="B27" t="s">
        <v>74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75</v>
      </c>
      <c r="B28" t="s">
        <v>161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77</v>
      </c>
      <c r="B29" t="s">
        <v>42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79</v>
      </c>
      <c r="B30" t="s">
        <v>162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80</v>
      </c>
      <c r="B31" t="s">
        <v>144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163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88</v>
      </c>
      <c r="B35" t="s">
        <v>89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90</v>
      </c>
      <c r="B36" t="s">
        <v>164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92</v>
      </c>
      <c r="B37" t="s">
        <v>144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94</v>
      </c>
      <c r="B38" t="s">
        <v>95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96</v>
      </c>
      <c r="B39" t="s">
        <v>97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99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165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166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104</v>
      </c>
      <c r="B43" t="s">
        <v>70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109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155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167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115</v>
      </c>
      <c r="B49" t="s">
        <v>116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120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122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155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168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127</v>
      </c>
      <c r="B55" t="s">
        <v>144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132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133</v>
      </c>
      <c r="B58" t="s">
        <v>169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155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170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139</v>
      </c>
      <c r="B61" t="s">
        <v>144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1"/>
  <sheetViews>
    <sheetView topLeftCell="A25" zoomScaleNormal="100" workbookViewId="0">
      <selection activeCell="F36" sqref="F36"/>
    </sheetView>
  </sheetViews>
  <sheetFormatPr defaultColWidth="8.5703125" defaultRowHeight="15"/>
  <cols>
    <col min="1" max="1" width="42.28515625" customWidth="1"/>
    <col min="2" max="2" width="31.4257812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42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141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144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42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143</v>
      </c>
      <c r="C12" t="s">
        <v>8</v>
      </c>
      <c r="E12" t="s">
        <v>8</v>
      </c>
      <c r="F12" t="b">
        <f t="shared" si="0"/>
        <v>1</v>
      </c>
    </row>
    <row r="13" spans="1:6">
      <c r="A13" t="s">
        <v>46</v>
      </c>
      <c r="B13" t="s">
        <v>144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48</v>
      </c>
      <c r="B14" t="s">
        <v>49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50</v>
      </c>
      <c r="B15" t="s">
        <v>51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52</v>
      </c>
      <c r="B16" t="s">
        <v>53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42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145</v>
      </c>
      <c r="C18" t="s">
        <v>8</v>
      </c>
      <c r="E18" t="s">
        <v>8</v>
      </c>
      <c r="F18" t="b">
        <f t="shared" si="0"/>
        <v>1</v>
      </c>
    </row>
    <row r="19" spans="1:6">
      <c r="A19" t="s">
        <v>58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60</v>
      </c>
      <c r="B20" t="s">
        <v>61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62</v>
      </c>
      <c r="B21" t="s">
        <v>63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64</v>
      </c>
      <c r="B22" t="s">
        <v>65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66</v>
      </c>
      <c r="B23" t="s">
        <v>42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171</v>
      </c>
      <c r="C24" t="s">
        <v>8</v>
      </c>
      <c r="E24" t="b">
        <v>0</v>
      </c>
      <c r="F24" t="b">
        <f t="shared" si="0"/>
        <v>0</v>
      </c>
    </row>
    <row r="25" spans="1:6">
      <c r="A25" t="s">
        <v>69</v>
      </c>
      <c r="B25" t="s">
        <v>144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71</v>
      </c>
      <c r="B26" t="s">
        <v>72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73</v>
      </c>
      <c r="B27" t="s">
        <v>74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75</v>
      </c>
      <c r="B28" t="s">
        <v>76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77</v>
      </c>
      <c r="B29" t="s">
        <v>42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79</v>
      </c>
      <c r="B30" t="s">
        <v>147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80</v>
      </c>
      <c r="B31" t="s">
        <v>144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87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88</v>
      </c>
      <c r="B35" t="s">
        <v>155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90</v>
      </c>
      <c r="B36" t="s">
        <v>172</v>
      </c>
      <c r="C36" t="s">
        <v>8</v>
      </c>
      <c r="E36" t="b">
        <v>0</v>
      </c>
      <c r="F36" t="b">
        <f t="shared" si="0"/>
        <v>0</v>
      </c>
    </row>
    <row r="37" spans="1:6">
      <c r="A37" t="s">
        <v>92</v>
      </c>
      <c r="B37" t="s">
        <v>116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94</v>
      </c>
      <c r="B38" t="s">
        <v>95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96</v>
      </c>
      <c r="B39" t="s">
        <v>97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173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155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174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104</v>
      </c>
      <c r="B43" t="s">
        <v>116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109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155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175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115</v>
      </c>
      <c r="B49" t="s">
        <v>116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120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122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155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176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127</v>
      </c>
      <c r="B55" t="s">
        <v>116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132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133</v>
      </c>
      <c r="B58" t="s">
        <v>154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155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177</v>
      </c>
      <c r="C60" t="s">
        <v>8</v>
      </c>
      <c r="E60" t="b">
        <v>0</v>
      </c>
      <c r="F60" t="b">
        <f t="shared" si="0"/>
        <v>0</v>
      </c>
    </row>
    <row r="61" spans="1:6">
      <c r="A61" t="s">
        <v>139</v>
      </c>
      <c r="B61" t="s">
        <v>70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1"/>
  <sheetViews>
    <sheetView zoomScaleNormal="100" workbookViewId="0">
      <selection activeCell="F30" sqref="F30"/>
    </sheetView>
  </sheetViews>
  <sheetFormatPr defaultColWidth="8.5703125" defaultRowHeight="15"/>
  <cols>
    <col min="1" max="1" width="43.28515625" customWidth="1"/>
    <col min="2" max="2" width="33.4257812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78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32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144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42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178</v>
      </c>
      <c r="C12" t="s">
        <v>8</v>
      </c>
      <c r="E12" t="b">
        <v>0</v>
      </c>
      <c r="F12" t="b">
        <f t="shared" si="0"/>
        <v>0</v>
      </c>
    </row>
    <row r="13" spans="1:6">
      <c r="A13" t="s">
        <v>46</v>
      </c>
      <c r="B13" t="s">
        <v>142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48</v>
      </c>
      <c r="B14" t="s">
        <v>49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50</v>
      </c>
      <c r="B15" t="s">
        <v>51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52</v>
      </c>
      <c r="B16" t="s">
        <v>53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78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145</v>
      </c>
      <c r="C18" t="s">
        <v>8</v>
      </c>
      <c r="E18" t="b">
        <v>0</v>
      </c>
      <c r="F18" t="b">
        <f t="shared" si="0"/>
        <v>0</v>
      </c>
    </row>
    <row r="19" spans="1:6">
      <c r="A19" t="s">
        <v>58</v>
      </c>
      <c r="B19" t="s">
        <v>59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60</v>
      </c>
      <c r="B20" t="s">
        <v>61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62</v>
      </c>
      <c r="B21" t="s">
        <v>63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64</v>
      </c>
      <c r="B22" t="s">
        <v>65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66</v>
      </c>
      <c r="B23" t="s">
        <v>78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179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69</v>
      </c>
      <c r="B25" t="s">
        <v>70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71</v>
      </c>
      <c r="B26" t="s">
        <v>72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73</v>
      </c>
      <c r="B27" t="s">
        <v>74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75</v>
      </c>
      <c r="B28" t="s">
        <v>76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77</v>
      </c>
      <c r="B29" t="s">
        <v>78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79</v>
      </c>
      <c r="B30" t="s">
        <v>32</v>
      </c>
      <c r="C30" t="s">
        <v>8</v>
      </c>
      <c r="E30" t="b">
        <v>0</v>
      </c>
      <c r="F30" t="b">
        <f t="shared" si="0"/>
        <v>0</v>
      </c>
    </row>
    <row r="31" spans="1:6">
      <c r="A31" t="s">
        <v>80</v>
      </c>
      <c r="B31" t="s">
        <v>81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87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88</v>
      </c>
      <c r="B35" t="s">
        <v>89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90</v>
      </c>
      <c r="B36" t="s">
        <v>91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92</v>
      </c>
      <c r="B37" t="s">
        <v>93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94</v>
      </c>
      <c r="B38" t="s">
        <v>95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96</v>
      </c>
      <c r="B39" t="s">
        <v>97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99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180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181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104</v>
      </c>
      <c r="B43" t="s">
        <v>105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109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150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182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115</v>
      </c>
      <c r="B49" t="s">
        <v>116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120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183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150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184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127</v>
      </c>
      <c r="B55" t="s">
        <v>116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132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133</v>
      </c>
      <c r="B58" t="s">
        <v>154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150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185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139</v>
      </c>
      <c r="B61" t="s">
        <v>144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1"/>
  <sheetViews>
    <sheetView zoomScaleNormal="100" workbookViewId="0">
      <selection activeCell="F2" sqref="F2:F61"/>
    </sheetView>
  </sheetViews>
  <sheetFormatPr defaultColWidth="8.5703125" defaultRowHeight="15"/>
  <cols>
    <col min="1" max="1" width="39.42578125" customWidth="1"/>
    <col min="2" max="2" width="29.570312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42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141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144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42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143</v>
      </c>
      <c r="C12" t="s">
        <v>8</v>
      </c>
      <c r="E12" t="s">
        <v>8</v>
      </c>
      <c r="F12" t="b">
        <f t="shared" si="0"/>
        <v>1</v>
      </c>
    </row>
    <row r="13" spans="1:6">
      <c r="A13" t="s">
        <v>46</v>
      </c>
      <c r="B13" t="s">
        <v>144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48</v>
      </c>
      <c r="B14" t="s">
        <v>49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50</v>
      </c>
      <c r="B15" t="s">
        <v>51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52</v>
      </c>
      <c r="B16" t="s">
        <v>53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78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145</v>
      </c>
      <c r="C18" t="s">
        <v>8</v>
      </c>
      <c r="E18" t="s">
        <v>8</v>
      </c>
      <c r="F18" t="b">
        <f t="shared" si="0"/>
        <v>1</v>
      </c>
    </row>
    <row r="19" spans="1:6">
      <c r="A19" t="s">
        <v>58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60</v>
      </c>
      <c r="B20" t="s">
        <v>61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62</v>
      </c>
      <c r="B21" t="s">
        <v>63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64</v>
      </c>
      <c r="B22" t="s">
        <v>65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66</v>
      </c>
      <c r="B23" t="s">
        <v>42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186</v>
      </c>
      <c r="C24" t="s">
        <v>8</v>
      </c>
      <c r="E24" t="s">
        <v>8</v>
      </c>
      <c r="F24" t="b">
        <f t="shared" si="0"/>
        <v>1</v>
      </c>
    </row>
    <row r="25" spans="1:6">
      <c r="A25" t="s">
        <v>69</v>
      </c>
      <c r="B25" t="s">
        <v>70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71</v>
      </c>
      <c r="B26" t="s">
        <v>72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73</v>
      </c>
      <c r="B27" t="s">
        <v>74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75</v>
      </c>
      <c r="B28" t="s">
        <v>76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77</v>
      </c>
      <c r="B29" t="s">
        <v>42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79</v>
      </c>
      <c r="B30" t="s">
        <v>147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80</v>
      </c>
      <c r="B31" t="s">
        <v>144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87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88</v>
      </c>
      <c r="B35" t="s">
        <v>150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90</v>
      </c>
      <c r="B36" t="s">
        <v>164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92</v>
      </c>
      <c r="B37" t="s">
        <v>70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94</v>
      </c>
      <c r="B38" t="s">
        <v>107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96</v>
      </c>
      <c r="B39" t="s">
        <v>97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99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150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186</v>
      </c>
      <c r="C42" t="s">
        <v>8</v>
      </c>
      <c r="E42" t="s">
        <v>8</v>
      </c>
      <c r="F42" t="b">
        <f t="shared" si="0"/>
        <v>1</v>
      </c>
    </row>
    <row r="43" spans="1:6">
      <c r="A43" t="s">
        <v>104</v>
      </c>
      <c r="B43" t="s">
        <v>105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109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150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187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115</v>
      </c>
      <c r="B49" t="s">
        <v>116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120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183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150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188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127</v>
      </c>
      <c r="B55" t="s">
        <v>116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132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133</v>
      </c>
      <c r="B58" t="s">
        <v>154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150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189</v>
      </c>
      <c r="C60" t="s">
        <v>8</v>
      </c>
      <c r="E60" t="s">
        <v>8</v>
      </c>
      <c r="F60" t="b">
        <f t="shared" si="0"/>
        <v>1</v>
      </c>
    </row>
    <row r="61" spans="1:6">
      <c r="A61" t="s">
        <v>139</v>
      </c>
      <c r="B61" t="s">
        <v>144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1"/>
  <sheetViews>
    <sheetView zoomScaleNormal="100" workbookViewId="0">
      <selection activeCell="F6" sqref="F6"/>
    </sheetView>
  </sheetViews>
  <sheetFormatPr defaultColWidth="8.5703125" defaultRowHeight="15"/>
  <cols>
    <col min="1" max="1" width="43.140625" customWidth="1"/>
    <col min="2" max="2" width="32.570312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190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78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141</v>
      </c>
      <c r="C6" t="s">
        <v>8</v>
      </c>
      <c r="E6" t="b">
        <v>0</v>
      </c>
      <c r="F6" t="b">
        <f t="shared" si="0"/>
        <v>0</v>
      </c>
    </row>
    <row r="7" spans="1:6">
      <c r="A7" t="s">
        <v>33</v>
      </c>
      <c r="B7" t="s">
        <v>191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192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193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194</v>
      </c>
      <c r="C12" t="s">
        <v>8</v>
      </c>
      <c r="E12" t="b">
        <v>0</v>
      </c>
      <c r="F12" t="b">
        <f t="shared" si="0"/>
        <v>0</v>
      </c>
    </row>
    <row r="13" spans="1:6">
      <c r="A13" t="s">
        <v>46</v>
      </c>
      <c r="B13" t="s">
        <v>70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48</v>
      </c>
      <c r="B14" t="s">
        <v>49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50</v>
      </c>
      <c r="B15" t="s">
        <v>51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52</v>
      </c>
      <c r="B16" t="s">
        <v>195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196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145</v>
      </c>
      <c r="C18" t="s">
        <v>8</v>
      </c>
      <c r="E18" t="b">
        <v>0</v>
      </c>
      <c r="F18" t="b">
        <f t="shared" si="0"/>
        <v>0</v>
      </c>
    </row>
    <row r="19" spans="1:6">
      <c r="A19" t="s">
        <v>58</v>
      </c>
      <c r="B19" t="s">
        <v>144</v>
      </c>
      <c r="C19" t="b">
        <f>FALSE()</f>
        <v>0</v>
      </c>
      <c r="E19" t="b">
        <f>FALSE()</f>
        <v>0</v>
      </c>
      <c r="F19" t="b">
        <f t="shared" si="0"/>
        <v>1</v>
      </c>
    </row>
    <row r="20" spans="1:6">
      <c r="A20" t="s">
        <v>60</v>
      </c>
      <c r="B20" t="s">
        <v>61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62</v>
      </c>
      <c r="B21" t="s">
        <v>63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64</v>
      </c>
      <c r="B22" t="s">
        <v>197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66</v>
      </c>
      <c r="B23" t="s">
        <v>198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146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69</v>
      </c>
      <c r="B25" t="s">
        <v>144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71</v>
      </c>
      <c r="B26" t="s">
        <v>72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73</v>
      </c>
      <c r="B27" t="s">
        <v>74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75</v>
      </c>
      <c r="B28" t="s">
        <v>161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77</v>
      </c>
      <c r="B29" t="s">
        <v>199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79</v>
      </c>
      <c r="B30" t="s">
        <v>147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80</v>
      </c>
      <c r="B31" t="s">
        <v>81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163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88</v>
      </c>
      <c r="B35" t="s">
        <v>200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90</v>
      </c>
      <c r="B36" t="s">
        <v>201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92</v>
      </c>
      <c r="B37" t="s">
        <v>70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94</v>
      </c>
      <c r="B38" t="s">
        <v>95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96</v>
      </c>
      <c r="B39" t="s">
        <v>202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203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204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151</v>
      </c>
      <c r="C42" t="s">
        <v>8</v>
      </c>
      <c r="E42" t="b">
        <v>0</v>
      </c>
      <c r="F42" t="b">
        <f t="shared" si="0"/>
        <v>0</v>
      </c>
    </row>
    <row r="43" spans="1:6">
      <c r="A43" t="s">
        <v>104</v>
      </c>
      <c r="B43" t="s">
        <v>144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109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205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206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187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115</v>
      </c>
      <c r="B49" t="s">
        <v>70</v>
      </c>
      <c r="C49" t="b">
        <f>FALSE()</f>
        <v>0</v>
      </c>
      <c r="E49" t="b">
        <f>FALSE()</f>
        <v>0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207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208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209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210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127</v>
      </c>
      <c r="B55" t="s">
        <v>116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 ht="15" customHeight="1">
      <c r="A57" t="s">
        <v>131</v>
      </c>
      <c r="B57" t="s">
        <v>211</v>
      </c>
      <c r="C57" t="s">
        <v>8</v>
      </c>
      <c r="D57" t="s">
        <v>212</v>
      </c>
      <c r="E57" t="b">
        <v>0</v>
      </c>
      <c r="F57" t="b">
        <f t="shared" si="0"/>
        <v>0</v>
      </c>
    </row>
    <row r="58" spans="1:6">
      <c r="A58" t="s">
        <v>133</v>
      </c>
      <c r="B58" t="s">
        <v>169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213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214</v>
      </c>
      <c r="C60" t="b">
        <f>TRUE()</f>
        <v>1</v>
      </c>
      <c r="E60" t="b">
        <f>TRUE()</f>
        <v>1</v>
      </c>
      <c r="F60" t="b">
        <f t="shared" si="0"/>
        <v>1</v>
      </c>
    </row>
    <row r="61" spans="1:6">
      <c r="A61" t="s">
        <v>139</v>
      </c>
      <c r="B61" t="s">
        <v>144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1"/>
  <sheetViews>
    <sheetView topLeftCell="A31" zoomScaleNormal="100" workbookViewId="0">
      <selection activeCell="F60" sqref="F60"/>
    </sheetView>
  </sheetViews>
  <sheetFormatPr defaultColWidth="8.5703125" defaultRowHeight="15"/>
  <cols>
    <col min="1" max="1" width="43.28515625" customWidth="1"/>
    <col min="2" max="2" width="31.8554687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157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29</v>
      </c>
      <c r="B5" t="s">
        <v>215</v>
      </c>
      <c r="C5" t="b">
        <f>FALSE()</f>
        <v>0</v>
      </c>
      <c r="E5" t="b">
        <f>FALSE()</f>
        <v>0</v>
      </c>
      <c r="F5" t="b">
        <f t="shared" si="0"/>
        <v>1</v>
      </c>
    </row>
    <row r="6" spans="1:6">
      <c r="A6" t="s">
        <v>31</v>
      </c>
      <c r="B6" t="s">
        <v>216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144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192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193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194</v>
      </c>
      <c r="C12" t="s">
        <v>8</v>
      </c>
      <c r="E12" t="b">
        <v>0</v>
      </c>
      <c r="F12" t="b">
        <f t="shared" si="0"/>
        <v>0</v>
      </c>
    </row>
    <row r="13" spans="1:6">
      <c r="A13" t="s">
        <v>46</v>
      </c>
      <c r="B13" t="s">
        <v>144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48</v>
      </c>
      <c r="B14" t="s">
        <v>49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50</v>
      </c>
      <c r="B15" t="s">
        <v>51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52</v>
      </c>
      <c r="B16" t="s">
        <v>195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54</v>
      </c>
      <c r="B17" t="s">
        <v>196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56</v>
      </c>
      <c r="B18" t="s">
        <v>217</v>
      </c>
      <c r="C18" t="b">
        <f>FALSE()</f>
        <v>0</v>
      </c>
      <c r="E18" t="b">
        <f>FALSE()</f>
        <v>0</v>
      </c>
      <c r="F18" t="b">
        <f t="shared" si="0"/>
        <v>1</v>
      </c>
    </row>
    <row r="19" spans="1:6">
      <c r="A19" t="s">
        <v>58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60</v>
      </c>
      <c r="B20" t="s">
        <v>61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62</v>
      </c>
      <c r="B21" t="s">
        <v>63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64</v>
      </c>
      <c r="B22" t="s">
        <v>197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66</v>
      </c>
      <c r="B23" t="s">
        <v>198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67</v>
      </c>
      <c r="B24" t="s">
        <v>146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69</v>
      </c>
      <c r="B25" t="s">
        <v>144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71</v>
      </c>
      <c r="B26" t="s">
        <v>72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73</v>
      </c>
      <c r="B27" t="s">
        <v>74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75</v>
      </c>
      <c r="B28" t="s">
        <v>161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77</v>
      </c>
      <c r="B29" t="s">
        <v>199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79</v>
      </c>
      <c r="B30" t="s">
        <v>218</v>
      </c>
      <c r="C30" t="s">
        <v>8</v>
      </c>
      <c r="E30" t="b">
        <v>0</v>
      </c>
      <c r="F30" t="b">
        <f t="shared" si="0"/>
        <v>0</v>
      </c>
    </row>
    <row r="31" spans="1:6">
      <c r="A31" t="s">
        <v>80</v>
      </c>
      <c r="B31" t="s">
        <v>142</v>
      </c>
      <c r="C31" t="b">
        <f>FALSE()</f>
        <v>0</v>
      </c>
      <c r="E31" t="b">
        <f>FALSE()</f>
        <v>0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163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88</v>
      </c>
      <c r="B35" t="s">
        <v>200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90</v>
      </c>
      <c r="B36" t="s">
        <v>201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92</v>
      </c>
      <c r="B37" t="s">
        <v>70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94</v>
      </c>
      <c r="B38" t="s">
        <v>95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96</v>
      </c>
      <c r="B39" t="s">
        <v>202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203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204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146</v>
      </c>
      <c r="C42" t="b">
        <f>TRUE()</f>
        <v>1</v>
      </c>
      <c r="E42" t="b">
        <f>TRUE()</f>
        <v>1</v>
      </c>
      <c r="F42" t="b">
        <f t="shared" si="0"/>
        <v>1</v>
      </c>
    </row>
    <row r="43" spans="1:6">
      <c r="A43" t="s">
        <v>104</v>
      </c>
      <c r="B43" t="s">
        <v>105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219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205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206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114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115</v>
      </c>
      <c r="B49" t="s">
        <v>116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207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208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209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210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127</v>
      </c>
      <c r="B55" t="s">
        <v>220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211</v>
      </c>
      <c r="C57" t="s">
        <v>8</v>
      </c>
      <c r="E57" t="b">
        <v>0</v>
      </c>
      <c r="F57" t="b">
        <f t="shared" si="0"/>
        <v>0</v>
      </c>
    </row>
    <row r="58" spans="1:6">
      <c r="A58" t="s">
        <v>133</v>
      </c>
      <c r="B58" t="s">
        <v>169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213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221</v>
      </c>
      <c r="C60" t="s">
        <v>8</v>
      </c>
      <c r="E60" t="b">
        <v>0</v>
      </c>
      <c r="F60" t="b">
        <f t="shared" si="0"/>
        <v>0</v>
      </c>
    </row>
    <row r="61" spans="1:6">
      <c r="A61" t="s">
        <v>139</v>
      </c>
      <c r="B61" t="s">
        <v>144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9</cp:revision>
  <dcterms:created xsi:type="dcterms:W3CDTF">2026-06-08T08:51:07Z</dcterms:created>
  <dcterms:modified xsi:type="dcterms:W3CDTF">2026-09-16T09:00:42Z</dcterms:modified>
  <cp:category/>
  <cp:contentStatus/>
</cp:coreProperties>
</file>