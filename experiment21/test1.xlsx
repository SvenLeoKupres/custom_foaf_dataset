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110" documentId="11_A53D33CC8B0C931E7E3C31C01FE16C51725A7326" xr6:coauthVersionLast="47" xr6:coauthVersionMax="47" xr10:uidLastSave="{AF7B3903-0427-471E-85DA-9392E0B60483}"/>
  <bookViews>
    <workbookView xWindow="0" yWindow="0" windowWidth="16384" windowHeight="8192" tabRatio="500" activeTab="5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E34" i="3"/>
  <c r="E5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H23" i="9"/>
  <c r="E13" i="4"/>
  <c r="E38" i="2"/>
  <c r="E34" i="1"/>
  <c r="E57" i="8"/>
  <c r="E61" i="4"/>
  <c r="E43" i="4"/>
  <c r="E25" i="4"/>
  <c r="E31" i="4"/>
  <c r="E25" i="3"/>
  <c r="E31" i="3"/>
  <c r="E13" i="3"/>
  <c r="E61" i="1"/>
  <c r="E13" i="1"/>
  <c r="E7" i="2"/>
  <c r="E13" i="2"/>
  <c r="E31" i="2"/>
  <c r="E37" i="2"/>
  <c r="E60" i="8"/>
  <c r="E42" i="8"/>
  <c r="E36" i="8"/>
  <c r="E30" i="8"/>
  <c r="E12" i="8"/>
  <c r="E6" i="8"/>
  <c r="E42" i="7"/>
  <c r="E18" i="7"/>
  <c r="E12" i="7"/>
  <c r="E6" i="7"/>
  <c r="E60" i="6"/>
  <c r="E42" i="6"/>
  <c r="E30" i="6"/>
  <c r="E24" i="6"/>
  <c r="E18" i="6"/>
  <c r="E12" i="6"/>
  <c r="E6" i="6"/>
  <c r="E12" i="5"/>
  <c r="E6" i="5"/>
  <c r="E12" i="4"/>
  <c r="E6" i="4"/>
  <c r="E30" i="3"/>
  <c r="E24" i="3"/>
  <c r="E18" i="3"/>
  <c r="E12" i="3"/>
  <c r="E6" i="3"/>
  <c r="E30" i="2"/>
  <c r="E24" i="2"/>
  <c r="E18" i="2"/>
  <c r="E12" i="2"/>
  <c r="E6" i="2"/>
  <c r="E30" i="1"/>
  <c r="E24" i="1"/>
  <c r="E18" i="1"/>
  <c r="E12" i="1"/>
  <c r="E6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61" i="8"/>
  <c r="C61" i="8"/>
  <c r="E59" i="8"/>
  <c r="C59" i="8"/>
  <c r="E58" i="8"/>
  <c r="C58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1" i="8"/>
  <c r="C41" i="8"/>
  <c r="E40" i="8"/>
  <c r="C40" i="8"/>
  <c r="E39" i="8"/>
  <c r="C39" i="8"/>
  <c r="E38" i="8"/>
  <c r="C38" i="8"/>
  <c r="E37" i="8"/>
  <c r="C37" i="8"/>
  <c r="E35" i="8"/>
  <c r="C35" i="8"/>
  <c r="E34" i="8"/>
  <c r="C34" i="8"/>
  <c r="E33" i="8"/>
  <c r="C33" i="8"/>
  <c r="E32" i="8"/>
  <c r="C32" i="8"/>
  <c r="E31" i="8"/>
  <c r="C31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5" i="8"/>
  <c r="C5" i="8"/>
  <c r="E4" i="8"/>
  <c r="C4" i="8"/>
  <c r="E3" i="8"/>
  <c r="C3" i="8"/>
  <c r="E2" i="8"/>
  <c r="C2" i="8"/>
  <c r="E61" i="7"/>
  <c r="C61" i="7"/>
  <c r="E60" i="7"/>
  <c r="C60" i="7"/>
  <c r="E59" i="7"/>
  <c r="C59" i="7"/>
  <c r="E58" i="7"/>
  <c r="C58" i="7"/>
  <c r="E57" i="7"/>
  <c r="C57" i="7"/>
  <c r="E56" i="7"/>
  <c r="C56" i="7"/>
  <c r="E55" i="7"/>
  <c r="C55" i="7"/>
  <c r="E54" i="7"/>
  <c r="C54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5" i="7"/>
  <c r="C5" i="7"/>
  <c r="E4" i="7"/>
  <c r="C4" i="7"/>
  <c r="E3" i="7"/>
  <c r="C3" i="7"/>
  <c r="E2" i="7"/>
  <c r="C2" i="7"/>
  <c r="E61" i="6"/>
  <c r="C61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29" i="6"/>
  <c r="C29" i="6"/>
  <c r="E28" i="6"/>
  <c r="C28" i="6"/>
  <c r="E27" i="6"/>
  <c r="C27" i="6"/>
  <c r="E26" i="6"/>
  <c r="C26" i="6"/>
  <c r="E25" i="6"/>
  <c r="C25" i="6"/>
  <c r="E23" i="6"/>
  <c r="C23" i="6"/>
  <c r="E22" i="6"/>
  <c r="C22" i="6"/>
  <c r="E21" i="6"/>
  <c r="C21" i="6"/>
  <c r="E20" i="6"/>
  <c r="C20" i="6"/>
  <c r="E19" i="6"/>
  <c r="C19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61" i="5"/>
  <c r="C61" i="5"/>
  <c r="E60" i="5"/>
  <c r="C60" i="5"/>
  <c r="E59" i="5"/>
  <c r="C59" i="5"/>
  <c r="E58" i="5"/>
  <c r="C58" i="5"/>
  <c r="E57" i="5"/>
  <c r="C57" i="5"/>
  <c r="E56" i="5"/>
  <c r="C56" i="5"/>
  <c r="E55" i="5"/>
  <c r="C55" i="5"/>
  <c r="E54" i="5"/>
  <c r="C54" i="5"/>
  <c r="E53" i="5"/>
  <c r="C53" i="5"/>
  <c r="E52" i="5"/>
  <c r="C52" i="5"/>
  <c r="E51" i="5"/>
  <c r="C51" i="5"/>
  <c r="E50" i="5"/>
  <c r="C50" i="5"/>
  <c r="E49" i="5"/>
  <c r="C49" i="5"/>
  <c r="E48" i="5"/>
  <c r="C48" i="5"/>
  <c r="E47" i="5"/>
  <c r="C47" i="5"/>
  <c r="E46" i="5"/>
  <c r="C46" i="5"/>
  <c r="E45" i="5"/>
  <c r="C45" i="5"/>
  <c r="E44" i="5"/>
  <c r="C44" i="5"/>
  <c r="E43" i="5"/>
  <c r="C43" i="5"/>
  <c r="E42" i="5"/>
  <c r="C42" i="5"/>
  <c r="E41" i="5"/>
  <c r="C41" i="5"/>
  <c r="E40" i="5"/>
  <c r="C40" i="5"/>
  <c r="E39" i="5"/>
  <c r="C39" i="5"/>
  <c r="E38" i="5"/>
  <c r="C38" i="5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29" i="5"/>
  <c r="C29" i="5"/>
  <c r="E28" i="5"/>
  <c r="C28" i="5"/>
  <c r="E27" i="5"/>
  <c r="C27" i="5"/>
  <c r="E26" i="5"/>
  <c r="C26" i="5"/>
  <c r="E25" i="5"/>
  <c r="C25" i="5"/>
  <c r="C24" i="5"/>
  <c r="E23" i="5"/>
  <c r="C23" i="5"/>
  <c r="E22" i="5"/>
  <c r="C22" i="5"/>
  <c r="E21" i="5"/>
  <c r="C21" i="5"/>
  <c r="E20" i="5"/>
  <c r="C20" i="5"/>
  <c r="E19" i="5"/>
  <c r="C19" i="5"/>
  <c r="E17" i="5"/>
  <c r="C17" i="5"/>
  <c r="E16" i="5"/>
  <c r="C16" i="5"/>
  <c r="E15" i="5"/>
  <c r="C15" i="5"/>
  <c r="E14" i="5"/>
  <c r="C14" i="5"/>
  <c r="E13" i="5"/>
  <c r="C13" i="5"/>
  <c r="E11" i="5"/>
  <c r="C11" i="5"/>
  <c r="E10" i="5"/>
  <c r="C10" i="5"/>
  <c r="E9" i="5"/>
  <c r="C9" i="5"/>
  <c r="E8" i="5"/>
  <c r="C8" i="5"/>
  <c r="E7" i="5"/>
  <c r="C7" i="5"/>
  <c r="C6" i="5"/>
  <c r="E5" i="5"/>
  <c r="C5" i="5"/>
  <c r="E4" i="5"/>
  <c r="C4" i="5"/>
  <c r="E3" i="5"/>
  <c r="C3" i="5"/>
  <c r="E2" i="5"/>
  <c r="C2" i="5"/>
  <c r="C61" i="4"/>
  <c r="E60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8" i="4"/>
  <c r="C48" i="4"/>
  <c r="E47" i="4"/>
  <c r="C47" i="4"/>
  <c r="E46" i="4"/>
  <c r="C46" i="4"/>
  <c r="E45" i="4"/>
  <c r="C45" i="4"/>
  <c r="E44" i="4"/>
  <c r="C44" i="4"/>
  <c r="C43" i="4"/>
  <c r="E42" i="4"/>
  <c r="C42" i="4"/>
  <c r="E41" i="4"/>
  <c r="C41" i="4"/>
  <c r="E40" i="4"/>
  <c r="C40" i="4"/>
  <c r="E39" i="4"/>
  <c r="C39" i="4"/>
  <c r="E38" i="4"/>
  <c r="C38" i="4"/>
  <c r="E37" i="4"/>
  <c r="C37" i="4"/>
  <c r="E36" i="4"/>
  <c r="E35" i="4"/>
  <c r="C35" i="4"/>
  <c r="E34" i="4"/>
  <c r="C34" i="4"/>
  <c r="E33" i="4"/>
  <c r="C33" i="4"/>
  <c r="E32" i="4"/>
  <c r="C32" i="4"/>
  <c r="C31" i="4"/>
  <c r="E29" i="4"/>
  <c r="C29" i="4"/>
  <c r="E28" i="4"/>
  <c r="C28" i="4"/>
  <c r="E27" i="4"/>
  <c r="C27" i="4"/>
  <c r="E26" i="4"/>
  <c r="C26" i="4"/>
  <c r="C25" i="4"/>
  <c r="E23" i="4"/>
  <c r="C23" i="4"/>
  <c r="E22" i="4"/>
  <c r="C22" i="4"/>
  <c r="E21" i="4"/>
  <c r="C21" i="4"/>
  <c r="E20" i="4"/>
  <c r="C20" i="4"/>
  <c r="E19" i="4"/>
  <c r="C19" i="4"/>
  <c r="E17" i="4"/>
  <c r="C17" i="4"/>
  <c r="E16" i="4"/>
  <c r="C16" i="4"/>
  <c r="E15" i="4"/>
  <c r="C15" i="4"/>
  <c r="E14" i="4"/>
  <c r="C14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61" i="3"/>
  <c r="C61" i="3"/>
  <c r="E60" i="3"/>
  <c r="C60" i="3"/>
  <c r="E59" i="3"/>
  <c r="C59" i="3"/>
  <c r="E58" i="3"/>
  <c r="C58" i="3"/>
  <c r="E57" i="3"/>
  <c r="C57" i="3"/>
  <c r="E56" i="3"/>
  <c r="C56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2" i="3"/>
  <c r="C42" i="3"/>
  <c r="E41" i="3"/>
  <c r="C41" i="3"/>
  <c r="E40" i="3"/>
  <c r="C40" i="3"/>
  <c r="E39" i="3"/>
  <c r="C39" i="3"/>
  <c r="E38" i="3"/>
  <c r="C38" i="3"/>
  <c r="E37" i="3"/>
  <c r="C37" i="3"/>
  <c r="E36" i="3"/>
  <c r="C36" i="3"/>
  <c r="E35" i="3"/>
  <c r="C35" i="3"/>
  <c r="C34" i="3"/>
  <c r="E33" i="3"/>
  <c r="C33" i="3"/>
  <c r="E32" i="3"/>
  <c r="C32" i="3"/>
  <c r="C31" i="3"/>
  <c r="C30" i="3"/>
  <c r="E29" i="3"/>
  <c r="C29" i="3"/>
  <c r="E28" i="3"/>
  <c r="C28" i="3"/>
  <c r="E27" i="3"/>
  <c r="C27" i="3"/>
  <c r="E26" i="3"/>
  <c r="C26" i="3"/>
  <c r="C25" i="3"/>
  <c r="C24" i="3"/>
  <c r="E23" i="3"/>
  <c r="C23" i="3"/>
  <c r="E22" i="3"/>
  <c r="C22" i="3"/>
  <c r="E21" i="3"/>
  <c r="C21" i="3"/>
  <c r="E20" i="3"/>
  <c r="C20" i="3"/>
  <c r="E19" i="3"/>
  <c r="C19" i="3"/>
  <c r="E17" i="3"/>
  <c r="C17" i="3"/>
  <c r="E16" i="3"/>
  <c r="C16" i="3"/>
  <c r="E15" i="3"/>
  <c r="C15" i="3"/>
  <c r="E14" i="3"/>
  <c r="C14" i="3"/>
  <c r="C13" i="3"/>
  <c r="C12" i="3"/>
  <c r="E11" i="3"/>
  <c r="C11" i="3"/>
  <c r="E10" i="3"/>
  <c r="C10" i="3"/>
  <c r="E9" i="3"/>
  <c r="C9" i="3"/>
  <c r="E8" i="3"/>
  <c r="C8" i="3"/>
  <c r="E7" i="3"/>
  <c r="C7" i="3"/>
  <c r="E5" i="3"/>
  <c r="C5" i="3"/>
  <c r="E4" i="3"/>
  <c r="C4" i="3"/>
  <c r="E3" i="3"/>
  <c r="C3" i="3"/>
  <c r="E2" i="3"/>
  <c r="C2" i="3"/>
  <c r="E61" i="2"/>
  <c r="C61" i="2"/>
  <c r="E60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E41" i="2"/>
  <c r="C41" i="2"/>
  <c r="E40" i="2"/>
  <c r="C40" i="2"/>
  <c r="E39" i="2"/>
  <c r="C39" i="2"/>
  <c r="C38" i="2"/>
  <c r="C37" i="2"/>
  <c r="E36" i="2"/>
  <c r="C36" i="2"/>
  <c r="E35" i="2"/>
  <c r="C35" i="2"/>
  <c r="E34" i="2"/>
  <c r="C34" i="2"/>
  <c r="E33" i="2"/>
  <c r="C33" i="2"/>
  <c r="E32" i="2"/>
  <c r="C32" i="2"/>
  <c r="C31" i="2"/>
  <c r="C30" i="2"/>
  <c r="E29" i="2"/>
  <c r="C29" i="2"/>
  <c r="E28" i="2"/>
  <c r="C28" i="2"/>
  <c r="E27" i="2"/>
  <c r="C27" i="2"/>
  <c r="E26" i="2"/>
  <c r="C26" i="2"/>
  <c r="E25" i="2"/>
  <c r="C25" i="2"/>
  <c r="C24" i="2"/>
  <c r="E23" i="2"/>
  <c r="C23" i="2"/>
  <c r="E22" i="2"/>
  <c r="C22" i="2"/>
  <c r="E21" i="2"/>
  <c r="C21" i="2"/>
  <c r="E20" i="2"/>
  <c r="C20" i="2"/>
  <c r="E19" i="2"/>
  <c r="C19" i="2"/>
  <c r="E17" i="2"/>
  <c r="C17" i="2"/>
  <c r="E16" i="2"/>
  <c r="C16" i="2"/>
  <c r="E15" i="2"/>
  <c r="C15" i="2"/>
  <c r="E14" i="2"/>
  <c r="C14" i="2"/>
  <c r="C13" i="2"/>
  <c r="E11" i="2"/>
  <c r="C11" i="2"/>
  <c r="E10" i="2"/>
  <c r="C10" i="2"/>
  <c r="E9" i="2"/>
  <c r="C9" i="2"/>
  <c r="E8" i="2"/>
  <c r="C8" i="2"/>
  <c r="C7" i="2"/>
  <c r="E5" i="2"/>
  <c r="C5" i="2"/>
  <c r="E4" i="2"/>
  <c r="C4" i="2"/>
  <c r="E3" i="2"/>
  <c r="C3" i="2"/>
  <c r="E2" i="2"/>
  <c r="C2" i="2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8" i="1"/>
  <c r="C48" i="1"/>
  <c r="E47" i="1"/>
  <c r="C47" i="1"/>
  <c r="E46" i="1"/>
  <c r="C46" i="1"/>
  <c r="E45" i="1"/>
  <c r="C45" i="1"/>
  <c r="E44" i="1"/>
  <c r="C44" i="1"/>
  <c r="E43" i="1"/>
  <c r="C43" i="1"/>
  <c r="E42" i="1"/>
  <c r="C42" i="1"/>
  <c r="E41" i="1"/>
  <c r="C41" i="1"/>
  <c r="E40" i="1"/>
  <c r="C40" i="1"/>
  <c r="E39" i="1"/>
  <c r="C39" i="1"/>
  <c r="E38" i="1"/>
  <c r="C38" i="1"/>
  <c r="E37" i="1"/>
  <c r="C37" i="1"/>
  <c r="E36" i="1"/>
  <c r="C36" i="1"/>
  <c r="E35" i="1"/>
  <c r="C35" i="1"/>
  <c r="C34" i="1"/>
  <c r="E33" i="1"/>
  <c r="C33" i="1"/>
  <c r="E32" i="1"/>
  <c r="C32" i="1"/>
  <c r="E31" i="1"/>
  <c r="C31" i="1"/>
  <c r="C30" i="1"/>
  <c r="E29" i="1"/>
  <c r="C29" i="1"/>
  <c r="E28" i="1"/>
  <c r="C28" i="1"/>
  <c r="E27" i="1"/>
  <c r="C27" i="1"/>
  <c r="E26" i="1"/>
  <c r="C26" i="1"/>
  <c r="E25" i="1"/>
  <c r="C25" i="1"/>
  <c r="E23" i="1"/>
  <c r="C23" i="1"/>
  <c r="E22" i="1"/>
  <c r="C22" i="1"/>
  <c r="E21" i="1"/>
  <c r="C21" i="1"/>
  <c r="E20" i="1"/>
  <c r="C20" i="1"/>
  <c r="E19" i="1"/>
  <c r="C19" i="1"/>
  <c r="E17" i="1"/>
  <c r="C17" i="1"/>
  <c r="E16" i="1"/>
  <c r="C16" i="1"/>
  <c r="E15" i="1"/>
  <c r="C15" i="1"/>
  <c r="E14" i="1"/>
  <c r="C14" i="1"/>
  <c r="C13" i="1"/>
  <c r="C12" i="1"/>
  <c r="E11" i="1"/>
  <c r="C11" i="1"/>
  <c r="E10" i="1"/>
  <c r="C10" i="1"/>
  <c r="E9" i="1"/>
  <c r="C9" i="1"/>
  <c r="E8" i="1"/>
  <c r="C8" i="1"/>
  <c r="E7" i="1"/>
  <c r="C7" i="1"/>
  <c r="C6" i="1"/>
  <c r="E5" i="1"/>
  <c r="E4" i="1"/>
  <c r="C4" i="1"/>
  <c r="E3" i="1"/>
  <c r="C3" i="1"/>
  <c r="E2" i="1"/>
  <c r="C2" i="1"/>
  <c r="M3" i="9" l="1"/>
  <c r="M2" i="9"/>
  <c r="M4" i="9" s="1"/>
  <c r="M10" i="9" s="1"/>
  <c r="M15" i="9" s="1"/>
  <c r="N3" i="9"/>
  <c r="N2" i="9"/>
  <c r="N4" i="9" s="1"/>
  <c r="N10" i="9" s="1"/>
  <c r="N15" i="9" s="1"/>
  <c r="O3" i="9"/>
  <c r="O2" i="9"/>
  <c r="O4" i="9" s="1"/>
  <c r="O10" i="9" s="1"/>
  <c r="O15" i="9" s="1"/>
  <c r="P3" i="9"/>
  <c r="P2" i="9"/>
  <c r="P4" i="9" s="1"/>
  <c r="P10" i="9" s="1"/>
  <c r="P15" i="9" s="1"/>
  <c r="Q3" i="9"/>
  <c r="Q2" i="9"/>
  <c r="Q4" i="9" s="1"/>
  <c r="Q10" i="9" s="1"/>
  <c r="Q15" i="9" s="1"/>
  <c r="R3" i="9"/>
  <c r="R2" i="9"/>
  <c r="R4" i="9" s="1"/>
  <c r="R10" i="9" s="1"/>
  <c r="R15" i="9" s="1"/>
  <c r="S3" i="9"/>
  <c r="S2" i="9"/>
  <c r="S4" i="9" s="1"/>
  <c r="S10" i="9" s="1"/>
  <c r="S15" i="9" s="1"/>
  <c r="T3" i="9"/>
  <c r="T2" i="9"/>
  <c r="T4" i="9" s="1"/>
  <c r="T10" i="9" s="1"/>
  <c r="T15" i="9" s="1"/>
  <c r="B43" i="9"/>
  <c r="B6" i="9"/>
  <c r="M16" i="9" s="1"/>
  <c r="N16" i="9" s="1"/>
  <c r="O16" i="9" s="1"/>
  <c r="P16" i="9" s="1"/>
  <c r="Q16" i="9" s="1"/>
  <c r="R16" i="9" s="1"/>
  <c r="S16" i="9" s="1"/>
  <c r="T16" i="9" s="1"/>
  <c r="G6" i="9"/>
  <c r="B16" i="9"/>
  <c r="G16" i="9"/>
  <c r="B26" i="9"/>
  <c r="G26" i="9"/>
  <c r="B36" i="9"/>
  <c r="G36" i="9"/>
  <c r="T17" i="9" l="1"/>
  <c r="S17" i="9"/>
  <c r="R17" i="9"/>
  <c r="Q17" i="9"/>
  <c r="P17" i="9"/>
  <c r="O17" i="9"/>
  <c r="N17" i="9"/>
  <c r="M17" i="9"/>
  <c r="G38" i="9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<sst xmlns="http://schemas.openxmlformats.org/spreadsheetml/2006/main" count="1137" uniqueCount="225">
  <si>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</si>
  <si>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</si>
  <si>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</si>
  <si>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</si>
  <si>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</si>
  <si>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</si>
  <si>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</si>
  <si>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</si>
  <si>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</si>
  <si>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</si>
  <si>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</si>
  <si>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</si>
  <si>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</si>
  <si>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</si>
  <si>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</si>
  <si>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data from all attempts</t>
  </si>
  <si>
    <t>Kappa</t>
  </si>
  <si>
    <t>sum_true</t>
  </si>
  <si>
    <t>sum_data</t>
  </si>
  <si>
    <t>accuracy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</si>
  <si>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</si>
  <si>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</si>
  <si>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</si>
  <si>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</si>
  <si>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</si>
  <si>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</si>
  <si>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</si>
  <si>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</si>
  <si>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</si>
  <si>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</si>
  <si>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</si>
  <si>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</si>
  <si>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17</t>
  </si>
  <si>
    <t>What is Saša Škrtić's gender?</t>
  </si>
  <si>
    <t>SAŠA ŠKRTić is MA</t>
  </si>
  <si>
    <t>List all Saša Škrtić's friends.</t>
  </si>
  <si>
    <t>Duje Ravlić, Eduard Tuti</t>
  </si>
  <si>
    <t>How many friends does Saša Škrtić have?</t>
  </si>
  <si>
    <t>Saša Škrtić has</t>
  </si>
  <si>
    <t>What is Duje Ravlić's first name?</t>
  </si>
  <si>
    <t>Duje</t>
  </si>
  <si>
    <t>What is Duje Ravlić's last name?</t>
  </si>
  <si>
    <t>Ravlić</t>
  </si>
  <si>
    <t>What is Duje Ravlić's age?</t>
  </si>
  <si>
    <t>18</t>
  </si>
  <si>
    <t>What is Duje Ravlić's gender?</t>
  </si>
  <si>
    <t>MALE</t>
  </si>
  <si>
    <t>List all Duje Ravlić's friends.</t>
  </si>
  <si>
    <t>Duga Ravlić: Eduard Tuti</t>
  </si>
  <si>
    <t>who is Duga?</t>
  </si>
  <si>
    <t>How many friends does Duje Ravlić have?</t>
  </si>
  <si>
    <t>Duje Ravlić has 3 friends.</t>
  </si>
  <si>
    <t>What is Eduard Tutić's first name?</t>
  </si>
  <si>
    <t>Eduard</t>
  </si>
  <si>
    <t>What is Eduard Tutić's last name?</t>
  </si>
  <si>
    <t>Tutić</t>
  </si>
  <si>
    <t>What is Eduard Tutić's age?</t>
  </si>
  <si>
    <t>21</t>
  </si>
  <si>
    <t>What is Eduard Tutić's gender?</t>
  </si>
  <si>
    <t>Eduard Tutić is male.</t>
  </si>
  <si>
    <t>List all Eduard Tutić's friends.</t>
  </si>
  <si>
    <t>Zoran Goreta, Eduard Tutić</t>
  </si>
  <si>
    <t>How many friends does Eduard Tutić have?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</si>
  <si>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</si>
  <si>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</si>
  <si>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</si>
  <si>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</si>
  <si>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</si>
  <si>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</si>
  <si>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</si>
  <si>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</si>
  <si>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List all Zoran Goreta's friends.</t>
  </si>
  <si>
    <t>Zoran Goreta's friends are: Eduard</t>
  </si>
  <si>
    <t>How many friends does Zoran Goreta have?</t>
  </si>
  <si>
    <t>2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</si>
  <si>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</si>
  <si>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</si>
  <si>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</si>
  <si>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</si>
  <si>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</si>
  <si>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</si>
  <si>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</si>
  <si>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Male</t>
  </si>
  <si>
    <t>List all Ivo Čelina's friends.</t>
  </si>
  <si>
    <t>How many friends does Ivo Čelina have?</t>
  </si>
  <si>
    <t>Ivo Čelina has 3 friends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</si>
  <si>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</si>
  <si>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</si>
  <si>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</si>
  <si>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</si>
  <si>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</si>
  <si>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</si>
  <si>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</si>
  <si>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 is female</t>
  </si>
  <si>
    <t>List all Jagoda Draženović's friends.</t>
  </si>
  <si>
    <t>Jagoda Draženović's friends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</si>
  <si>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</si>
  <si>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</si>
  <si>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</si>
  <si>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</si>
  <si>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</si>
  <si>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</si>
  <si>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</si>
  <si>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10</t>
  </si>
  <si>
    <t>What is Monika Rimac's gender?</t>
  </si>
  <si>
    <t>Monika Rimac's gender is FEMALE.</t>
  </si>
  <si>
    <t>List all Monika Rimac's friends.</t>
  </si>
  <si>
    <t>Monika Rimac's only friend is Nada</t>
  </si>
  <si>
    <t>How many friends does Monika Rimac have?</t>
  </si>
  <si>
    <t>Monika Rimac has 2 friends.</t>
  </si>
  <si>
    <t>What is Mia Popić's first name?</t>
  </si>
  <si>
    <t>Mia</t>
  </si>
  <si>
    <t>What is Mia Popić's last name?</t>
  </si>
  <si>
    <t>Popić</t>
  </si>
  <si>
    <t>What is Mia Popić's age?</t>
  </si>
  <si>
    <t>What is Mia Popić's gender?</t>
  </si>
  <si>
    <t>Mia Popić's gender is FEMALE.</t>
  </si>
  <si>
    <t>List all Mia Popić's friends.</t>
  </si>
  <si>
    <t>Mia Popić's friends: Nada Sud</t>
  </si>
  <si>
    <t>How many friends does Mia Popić have?</t>
  </si>
  <si>
    <t>1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</si>
  <si>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</si>
  <si>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</si>
  <si>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</si>
  <si>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</si>
  <si>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</si>
  <si>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</si>
  <si>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</si>
  <si>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</si>
  <si>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</si>
  <si>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Nada Sudar has no friends listed.</t>
  </si>
  <si>
    <t>How many friends does Nada Sudar have?</t>
  </si>
  <si>
    <t>Nada Sudar has 1 friend.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</si>
  <si>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</si>
  <si>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</si>
  <si>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</si>
  <si>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</si>
  <si>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</si>
  <si>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Devčić's age is 4</t>
  </si>
  <si>
    <t>What is Mirjam Devčić's gender?</t>
  </si>
  <si>
    <t>Female</t>
  </si>
  <si>
    <t>List all Mirjam Devčić's friends.</t>
  </si>
  <si>
    <t>Mirjam Devčić's friends: Nada</t>
  </si>
  <si>
    <t>How many friends does Mirjam Devčić have?</t>
  </si>
  <si>
    <t>Mirjam Devčić has 2 friends.</t>
  </si>
  <si>
    <t>Duje Ravlić, Zoran Goreta</t>
  </si>
  <si>
    <t>4</t>
  </si>
  <si>
    <t>Ivo Čelina, Mirjam Dev</t>
  </si>
  <si>
    <t>3</t>
  </si>
  <si>
    <t>Zoran Goreta, Ivo Čel</t>
  </si>
  <si>
    <t>Eduard Tutić, Saša</t>
  </si>
  <si>
    <t>Jagoda Draženović, Sa</t>
  </si>
  <si>
    <t>11</t>
  </si>
  <si>
    <t>Jagoda Draženović is friends</t>
  </si>
  <si>
    <t>Mika</t>
  </si>
  <si>
    <t>Monika Rimac is friends with Saša</t>
  </si>
  <si>
    <t>Mia Popić's only friend is Mirjam</t>
  </si>
  <si>
    <t>41</t>
  </si>
  <si>
    <t>FEMALE</t>
  </si>
  <si>
    <t>Mirjam Devčić's friends: Mia Pop</t>
  </si>
  <si>
    <t>Duje Ravlić knows: Zoran Gore</t>
  </si>
  <si>
    <t>Zoran Goreta is 39 years old</t>
  </si>
  <si>
    <t>Zoran Goreta knows Zoran Goreta,</t>
  </si>
  <si>
    <t>Ivo Čelina knows Zoran Gore</t>
  </si>
  <si>
    <t>Monika Rimac's friends: Nada Sud</t>
  </si>
  <si>
    <t>Mia Popić knows Nada Sudar.</t>
  </si>
  <si>
    <t>Nada Sudar knows Mirjam Devčić</t>
  </si>
  <si>
    <t>Mirjam Devčić knows Nada Sudar</t>
  </si>
  <si>
    <t>Zoran Goreta knows Eduard Tutić</t>
  </si>
  <si>
    <t>Ivo Čelina knows Duje Rav</t>
  </si>
  <si>
    <t>Jagoda Draženović knows Sa</t>
  </si>
  <si>
    <t>No friends listed for Monika Rimac.</t>
  </si>
  <si>
    <t>Mia Popić knows Mirjam Devčić</t>
  </si>
  <si>
    <t>19</t>
  </si>
  <si>
    <t>Nada Sudar knows Eduard Tutić</t>
  </si>
  <si>
    <t>Mirjam Devčić knows Mia Popić.</t>
  </si>
  <si>
    <t>Duje Ravlić's friends: Saš</t>
  </si>
  <si>
    <t>Zoran Goreta's friends: Zoran Gore</t>
  </si>
  <si>
    <t>Monika Rimac's gender is female.</t>
  </si>
  <si>
    <t>Monika Rimac's only friend is Jagoda</t>
  </si>
  <si>
    <t>Mia Popić's only friend is Nada</t>
  </si>
  <si>
    <t>Nada Sudar is female.</t>
  </si>
  <si>
    <t>Nada Sudar's friends: Mirjam Dev</t>
  </si>
  <si>
    <t>Mirjam Devčić's friends: Mirjam</t>
  </si>
  <si>
    <t>Eduard Tutić</t>
  </si>
  <si>
    <t>Mirjam Devčić</t>
  </si>
  <si>
    <t>Nada Sudar: Nada Sudar</t>
  </si>
  <si>
    <t>Mirjam Devčić: Mia Popić</t>
  </si>
  <si>
    <t>17 years old.</t>
  </si>
  <si>
    <t>5</t>
  </si>
  <si>
    <t>Duje Ravlić is 18 years</t>
  </si>
  <si>
    <t>Duje Ravlić is a male.</t>
  </si>
  <si>
    <t>Duje Ravlić is friends with Saš</t>
  </si>
  <si>
    <t>Eduard Tutić is 21</t>
  </si>
  <si>
    <t>Eduard Tutić is a male.</t>
  </si>
  <si>
    <t>Zoran Goreta is a male.</t>
  </si>
  <si>
    <t>Ivo Čelina is 24</t>
  </si>
  <si>
    <t>Ivo Čelina is a male.</t>
  </si>
  <si>
    <t>Jagoda Draženović is a</t>
  </si>
  <si>
    <t>Ivo Čelina, Saša</t>
  </si>
  <si>
    <t>Monika Rimac's last name is Rimac</t>
  </si>
  <si>
    <t>Monika Rimac is 10 years old</t>
  </si>
  <si>
    <t>Monika Rimac is a female.</t>
  </si>
  <si>
    <t>Mia Popić is 18 years old</t>
  </si>
  <si>
    <t>Mia Popić is a female.</t>
  </si>
  <si>
    <t>Nada Sudar is 19 years old</t>
  </si>
  <si>
    <t>Nada Sudar is a female.</t>
  </si>
  <si>
    <t>Mirjam Devčić is 41 years</t>
  </si>
  <si>
    <t>Mirjam Devčić is a female.</t>
  </si>
  <si>
    <t>Duje Ravlić, Mia Popić</t>
  </si>
  <si>
    <t>Saša Škrtić is</t>
  </si>
  <si>
    <t>Saša Škrtić is a</t>
  </si>
  <si>
    <t>Monika Rimac, Duje Ravlić</t>
  </si>
  <si>
    <t>Nada Sudar, Eduard Tutić</t>
  </si>
  <si>
    <t>Ivo Ćelina is 24</t>
  </si>
  <si>
    <t>Ivo Čelina is friends with Jag</t>
  </si>
  <si>
    <t>Ivo Čelina, Eduard T</t>
  </si>
  <si>
    <t>Monika Rimac has 2 friends: Sa</t>
  </si>
  <si>
    <t>Mia Popić's last name is Popić</t>
  </si>
  <si>
    <t>Mia Popić's friends: Mirjam Dev</t>
  </si>
  <si>
    <t>Nada Sudar's last name is Sudar</t>
  </si>
  <si>
    <t>Nada Sudar is friends with Eduard T</t>
  </si>
  <si>
    <t>Nada Sudar has 2 friends.</t>
  </si>
  <si>
    <t>Mirjam Devčić's last name is Dev</t>
  </si>
  <si>
    <t>Mirjam Devčić is friends with Duje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</si>
</sst>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72C22-2F1E-4830-93DC-696C062FF6EB}">
  <dimension ref="A1:T49"/>
  <sheetViews>
    <sheetView workbookViewId="0">
      <selection activeCell="Q25" sqref="Q25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9.7109375" bestFit="1" customWidth="1"/>
    <col min="13" max="13" width="21" bestFit="1" customWidth="1"/>
    <col min="14" max="14" width="15.28515625" bestFit="1" customWidth="1"/>
    <col min="15" max="17" width="12.5703125" bestFit="1" customWidth="1"/>
    <col min="18" max="18" width="14.7109375" bestFit="1" customWidth="1"/>
    <col min="19" max="19" width="12.570312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46</v>
      </c>
      <c r="N2">
        <f ca="1">G3+G4+G5</f>
        <v>48</v>
      </c>
      <c r="O2">
        <f ca="1">B13+B14+B15</f>
        <v>43</v>
      </c>
      <c r="P2">
        <f ca="1">G13+G14+G15</f>
        <v>47</v>
      </c>
      <c r="Q2">
        <f ca="1">B23+B24+B25</f>
        <v>44</v>
      </c>
      <c r="R2">
        <f ca="1">G23+G24+G25</f>
        <v>46</v>
      </c>
      <c r="S2">
        <f ca="1">B33+B34+B35</f>
        <v>45</v>
      </c>
      <c r="T2">
        <f ca="1">G33+G34+G35</f>
        <v>47</v>
      </c>
    </row>
    <row r="3" spans="1:20">
      <c r="A3" t="b">
        <v>1</v>
      </c>
      <c r="B3">
        <f ca="1">COUNTIFS(INDIRECT(A1 &amp; "!$C$2:$C$61"),TRUE, INDIRECT(A1 &amp; "!$E$2:$E$61"),TRUE)</f>
        <v>44</v>
      </c>
      <c r="C3">
        <f ca="1">COUNTIFS(INDIRECT(A1 &amp; "!$C$2:$C$61"),TRUE, INDIRECT(A1 &amp; "!$E$2:$E$61"),FALSE)</f>
        <v>1</v>
      </c>
      <c r="D3">
        <f ca="1">COUNTIFS(INDIRECT(A1 &amp; "!$C$2:$C$61"),TRUE, INDIRECT(A1 &amp; "!$E$2:$E$61"),"half true")</f>
        <v>0</v>
      </c>
      <c r="F3" t="b">
        <v>1</v>
      </c>
      <c r="G3">
        <f ca="1">COUNTIFS(INDIRECT(F1 &amp; "!$C$2:$C$61"),TRUE, INDIRECT(F1 &amp; "!$E$2:$E$61"),TRUE)</f>
        <v>48</v>
      </c>
      <c r="H3">
        <f ca="1">COUNTIFS(INDIRECT(F1 &amp; "!$C$2:$C$61"),TRUE, INDIRECT(F1 &amp; "!$E$2:$E$61"),FALSE)</f>
        <v>2</v>
      </c>
      <c r="I3">
        <f ca="1">COUNTIFS(INDIRECT(F1 &amp; "!$C$2:$C$61"),TRUE, INDIRECT(F1 &amp; "!$E$2:$E$61"),"half true")</f>
        <v>0</v>
      </c>
      <c r="L3" t="s">
        <v>10</v>
      </c>
      <c r="M3">
        <f ca="1">SUM(B3:D3)</f>
        <v>45</v>
      </c>
      <c r="N3">
        <f ca="1">SUM(G3:I3)</f>
        <v>50</v>
      </c>
      <c r="O3">
        <f ca="1">SUM(B13:D13)</f>
        <v>43</v>
      </c>
      <c r="P3">
        <f ca="1">SUM(G13:I13)</f>
        <v>47</v>
      </c>
      <c r="Q3">
        <f ca="1">SUM(B23:D23)</f>
        <v>44</v>
      </c>
      <c r="R3">
        <f ca="1">G23+H23+I23</f>
        <v>48</v>
      </c>
      <c r="S3">
        <f ca="1">B33+C33+D33</f>
        <v>45</v>
      </c>
      <c r="T3">
        <f ca="1">G33+H33+I33</f>
        <v>47</v>
      </c>
    </row>
    <row r="4" spans="1:20">
      <c r="A4" t="b">
        <v>0</v>
      </c>
      <c r="B4">
        <f ca="1">COUNTIFS(INDIRECT(A1 &amp; "!$C$2:$C$61"),FALSE, INDIRECT(A1 &amp; "!$E$2:$E$61"),TRUE)</f>
        <v>1</v>
      </c>
      <c r="C4">
        <f ca="1">COUNTIFS(INDIRECT(A1 &amp; "!$C$2:$C$61"),FALSE, INDIRECT(A1 &amp; "!$E$2:$E$61"),FALSE)</f>
        <v>11</v>
      </c>
      <c r="D4">
        <f ca="1">COUNTIFS(INDIRECT(A1 &amp; "!$C$2:$C$61"),FALSE, INDIRECT(A1 &amp; "!$E$2:$E$61"),"half true")</f>
        <v>0</v>
      </c>
      <c r="F4" t="b">
        <v>0</v>
      </c>
      <c r="G4">
        <f ca="1">COUNTIFS(INDIRECT(F1 &amp; "!$C$2:$C$61"),FALSE, INDIRECT(F1 &amp; "!$E$2:$E$61"),TRUE)</f>
        <v>0</v>
      </c>
      <c r="H4">
        <f ca="1">COUNTIFS(INDIRECT(F1 &amp; "!$C$2:$C$61"),FALSE, INDIRECT(F1 &amp; "!$E$2:$E$61"),FALSE)</f>
        <v>5</v>
      </c>
      <c r="I4">
        <f ca="1">COUNTIFS(INDIRECT(F1 &amp; "!$C$2:$C$61"),FALSE, INDIRECT(F1 &amp; "!$E$2:$E$61"),"half true")</f>
        <v>0</v>
      </c>
      <c r="L4" t="s">
        <v>11</v>
      </c>
      <c r="M4">
        <f ca="1">SUM(M2:M3)</f>
        <v>91</v>
      </c>
      <c r="N4">
        <f t="shared" ref="N4:T4" ca="1" si="0">SUM(N2:N3)</f>
        <v>98</v>
      </c>
      <c r="O4">
        <f t="shared" ca="1" si="0"/>
        <v>86</v>
      </c>
      <c r="P4">
        <f t="shared" ca="1" si="0"/>
        <v>94</v>
      </c>
      <c r="Q4">
        <f t="shared" ca="1" si="0"/>
        <v>88</v>
      </c>
      <c r="R4">
        <f t="shared" ca="1" si="0"/>
        <v>94</v>
      </c>
      <c r="S4">
        <f t="shared" ca="1" si="0"/>
        <v>90</v>
      </c>
      <c r="T4">
        <f t="shared" ca="1" si="0"/>
        <v>94</v>
      </c>
    </row>
    <row r="5" spans="1:20">
      <c r="A5" t="s">
        <v>8</v>
      </c>
      <c r="B5">
        <f ca="1">COUNTIFS(INDIRECT(A1 &amp; "!$C$2:$C$61"),"half true", INDIRECT(A1 &amp; "!$E$2:$E$61"),TRUE)</f>
        <v>1</v>
      </c>
      <c r="C5">
        <f ca="1">COUNTIFS(INDIRECT(A1 &amp; "!$C$2:$C$61"),"half true", INDIRECT(A1 &amp; "!$E$2:$E$61"),FALSE)</f>
        <v>2</v>
      </c>
      <c r="D5">
        <f ca="1">COUNTIFS(INDIRECT(A1 &amp; "!$C$2:$C$61"),"half true", INDIRECT(A1 &amp; "!$E$2:$E$61"),"half true")</f>
        <v>0</v>
      </c>
      <c r="F5" t="s">
        <v>8</v>
      </c>
      <c r="G5">
        <f ca="1">COUNTIFS(INDIRECT(F1 &amp; "!$C$2:$C$61"),"half true", INDIRECT(F1 &amp; "!$E$2:$E$61"),TRUE)</f>
        <v>0</v>
      </c>
      <c r="H5">
        <f ca="1">COUNTIFS(INDIRECT(F1 &amp; "!$C$2:$C$61"),"half true", INDIRECT(F1 &amp; "!$E$2:$E$61"),FALSE)</f>
        <v>5</v>
      </c>
      <c r="I5">
        <f ca="1">COUNTIFS(INDIRECT(F1 &amp; "!$C$2:$C$61"),"half true", INDIRECT(F1 &amp; "!$E$2:$E$61"),"half true")</f>
        <v>0</v>
      </c>
    </row>
    <row r="6" spans="1:20">
      <c r="A6" t="s">
        <v>12</v>
      </c>
      <c r="B6">
        <f ca="1">SUM(B3:D5)</f>
        <v>60</v>
      </c>
      <c r="F6" t="s">
        <v>12</v>
      </c>
      <c r="G6">
        <f ca="1">SUM(G3:I5)</f>
        <v>60</v>
      </c>
    </row>
    <row r="7" spans="1:20">
      <c r="A7" t="s">
        <v>13</v>
      </c>
      <c r="B7">
        <f ca="1">(B3+C4+D5)/B6</f>
        <v>0.91666666666666663</v>
      </c>
      <c r="F7" t="s">
        <v>13</v>
      </c>
      <c r="G7">
        <f ca="1">(G3+H4+I5)/G6</f>
        <v>0.8833333333333333</v>
      </c>
    </row>
    <row r="8" spans="1:20">
      <c r="A8" t="s">
        <v>14</v>
      </c>
      <c r="B8">
        <f ca="1">((SUM(B3:D3)*SUM(B3:B5))+(SUM(B4:D4)*SUM(C3:C5))+(SUM(B5:D5)*SUM(D3:D5)))/(B6^2)</f>
        <v>0.6216666666666667</v>
      </c>
      <c r="F8" t="s">
        <v>14</v>
      </c>
      <c r="G8">
        <f ca="1">((SUM(G3:I3)*SUM(G3:G5))+(SUM(G4:I4)*SUM(H3:H5))+(SUM(G5:I5)*SUM(I3:I5)))/(G6^2)</f>
        <v>0.68333333333333335</v>
      </c>
      <c r="M8" t="s">
        <v>15</v>
      </c>
    </row>
    <row r="9" spans="1:20">
      <c r="A9" t="s">
        <v>16</v>
      </c>
      <c r="B9">
        <f ca="1">(B7-B8)/(1-B8)</f>
        <v>0.7797356828193831</v>
      </c>
      <c r="F9" t="s">
        <v>16</v>
      </c>
      <c r="G9">
        <f ca="1">(G7-G8)/(1-G8)</f>
        <v>0.63157894736842091</v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</row>
    <row r="10" spans="1:20">
      <c r="M10">
        <f ca="1">M4</f>
        <v>91</v>
      </c>
      <c r="N10">
        <f t="shared" ref="N10:T10" ca="1" si="1">N4</f>
        <v>98</v>
      </c>
      <c r="O10">
        <f t="shared" ca="1" si="1"/>
        <v>86</v>
      </c>
      <c r="P10">
        <f t="shared" ca="1" si="1"/>
        <v>94</v>
      </c>
      <c r="Q10">
        <f t="shared" ca="1" si="1"/>
        <v>88</v>
      </c>
      <c r="R10">
        <f t="shared" ca="1" si="1"/>
        <v>94</v>
      </c>
      <c r="S10">
        <f t="shared" ca="1" si="1"/>
        <v>90</v>
      </c>
      <c r="T10">
        <f t="shared" ca="1" si="1"/>
        <v>94</v>
      </c>
    </row>
    <row r="11" spans="1:20">
      <c r="A11" t="s">
        <v>2</v>
      </c>
      <c r="F11" t="s">
        <v>3</v>
      </c>
      <c r="M11">
        <v>88</v>
      </c>
      <c r="N11">
        <v>102</v>
      </c>
      <c r="O11">
        <v>87</v>
      </c>
      <c r="P11">
        <v>90</v>
      </c>
      <c r="Q11">
        <v>86</v>
      </c>
      <c r="R11">
        <v>94</v>
      </c>
      <c r="S11">
        <v>90</v>
      </c>
      <c r="T11">
        <v>94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  <c r="M12">
        <v>92</v>
      </c>
      <c r="N12">
        <v>100</v>
      </c>
      <c r="O12">
        <v>84</v>
      </c>
      <c r="P12">
        <v>90</v>
      </c>
      <c r="Q12">
        <v>88</v>
      </c>
      <c r="R12">
        <v>94</v>
      </c>
      <c r="S12">
        <v>92</v>
      </c>
      <c r="T12">
        <v>96</v>
      </c>
    </row>
    <row r="13" spans="1:20">
      <c r="A13" t="b">
        <v>1</v>
      </c>
      <c r="B13">
        <f ca="1">COUNTIFS(INDIRECT(A11 &amp; "!$C$2:$C$61"),TRUE, INDIRECT(A11 &amp; "!$E$2:$E$61"),TRUE)</f>
        <v>43</v>
      </c>
      <c r="C13">
        <f ca="1">COUNTIFS(INDIRECT(A11 &amp; "!$C$2:$C$61"),TRUE, INDIRECT(A11 &amp; "!$E$2:$E$61"),FALSE)</f>
        <v>0</v>
      </c>
      <c r="D13">
        <f ca="1">COUNTIFS(INDIRECT(A11 &amp; "!$C$2:$C$61"),TRUE, INDIRECT(A11 &amp; "!$E$2:$E$61"),"half true")</f>
        <v>0</v>
      </c>
      <c r="F13" t="b">
        <v>1</v>
      </c>
      <c r="G13">
        <f ca="1">COUNTIFS(INDIRECT(F11 &amp; "!$C$2:$C$61"),TRUE, INDIRECT(F11 &amp; "!$E$2:$E$61"),TRUE)</f>
        <v>47</v>
      </c>
      <c r="H13">
        <f ca="1">COUNTIFS(INDIRECT(F11 &amp; "!$C$2:$C$61"),TRUE, INDIRECT(F11 &amp; "!$E$2:$E$61"),FALSE)</f>
        <v>0</v>
      </c>
      <c r="I13">
        <f ca="1">COUNTIFS(INDIRECT(F11 &amp; "!$C$2:$C$61"),TRUE, INDIRECT(F11 &amp; "!$E$2:$E$61"),"half true")</f>
        <v>0</v>
      </c>
      <c r="M13">
        <v>94</v>
      </c>
      <c r="N13">
        <v>98</v>
      </c>
      <c r="O13">
        <v>86</v>
      </c>
      <c r="P13">
        <v>88</v>
      </c>
      <c r="Q13">
        <v>82</v>
      </c>
      <c r="R13">
        <v>94</v>
      </c>
      <c r="S13">
        <v>90</v>
      </c>
      <c r="T13">
        <v>96</v>
      </c>
    </row>
    <row r="14" spans="1:20">
      <c r="A14" t="b">
        <v>0</v>
      </c>
      <c r="B14">
        <f ca="1">COUNTIFS(INDIRECT(A11 &amp; "!$C$2:$C$61"),FALSE, INDIRECT(A11 &amp; "!$E$2:$E$61"),TRUE)</f>
        <v>0</v>
      </c>
      <c r="C14">
        <f ca="1">COUNTIFS(INDIRECT(A11 &amp; "!$C$2:$C$61"),FALSE, INDIRECT(A11 &amp; "!$E$2:$E$61"),FALSE)</f>
        <v>10</v>
      </c>
      <c r="D14">
        <f ca="1">COUNTIFS(INDIRECT(A11 &amp; "!$C$2:$C$61"),FALSE, INDIRECT(A11 &amp; "!$E$2:$E$61"),"half true")</f>
        <v>0</v>
      </c>
      <c r="F14" t="b">
        <v>0</v>
      </c>
      <c r="G14">
        <f ca="1">COUNTIFS(INDIRECT(F11 &amp; "!$C$2:$C$61"),FALSE, INDIRECT(F11 &amp; "!$E$2:$E$61"),TRUE)</f>
        <v>0</v>
      </c>
      <c r="H14">
        <f ca="1">COUNTIFS(INDIRECT(F11 &amp; "!$C$2:$C$61"),FALSE, INDIRECT(F11 &amp; "!$E$2:$E$61"),FALSE)</f>
        <v>9</v>
      </c>
      <c r="I14">
        <f ca="1">COUNTIFS(INDIRECT(F11 &amp; "!$C$2:$C$61"),FALSE, INDIRECT(F11 &amp; "!$E$2:$E$61"),"half true")</f>
        <v>0</v>
      </c>
      <c r="M14">
        <v>94</v>
      </c>
      <c r="N14">
        <v>96</v>
      </c>
      <c r="O14">
        <v>90</v>
      </c>
      <c r="P14">
        <v>90</v>
      </c>
      <c r="Q14">
        <v>86</v>
      </c>
      <c r="R14">
        <v>96</v>
      </c>
      <c r="S14">
        <v>92</v>
      </c>
      <c r="T14">
        <v>96</v>
      </c>
    </row>
    <row r="15" spans="1:20">
      <c r="A15" t="s">
        <v>8</v>
      </c>
      <c r="B15">
        <f ca="1">COUNTIFS(INDIRECT(A11 &amp; "!$C$2:$C$61"),"half true", INDIRECT(A11 &amp; "!$E$2:$E$61"),TRUE)</f>
        <v>0</v>
      </c>
      <c r="C15">
        <f ca="1">COUNTIFS(INDIRECT(A11 &amp; "!$C$2:$C$61"),"half true", INDIRECT(A11 &amp; "!$E$2:$E$61"),FALSE)</f>
        <v>7</v>
      </c>
      <c r="D15">
        <f ca="1">COUNTIFS(INDIRECT(A11 &amp; "!$C$2:$C$61"),"half true", INDIRECT(A11 &amp; "!$E$2:$E$61"),"half true")</f>
        <v>0</v>
      </c>
      <c r="F15" t="s">
        <v>8</v>
      </c>
      <c r="G15">
        <f ca="1">COUNTIFS(INDIRECT(F11 &amp; "!$C$2:$C$61"),"half true", INDIRECT(F11 &amp; "!$E$2:$E$61"),TRUE)</f>
        <v>0</v>
      </c>
      <c r="H15">
        <f ca="1">COUNTIFS(INDIRECT(F11 &amp; "!$C$2:$C$61"),"half true", INDIRECT(F11 &amp; "!$E$2:$E$61"),FALSE)</f>
        <v>4</v>
      </c>
      <c r="I15">
        <f ca="1">COUNTIFS(INDIRECT(F11 &amp; "!$C$2:$C$61"),"half true", INDIRECT(F11 &amp; "!$E$2:$E$61"),"half true")</f>
        <v>0</v>
      </c>
      <c r="L15" t="s">
        <v>17</v>
      </c>
      <c r="M15">
        <f ca="1">SUM(M10:M14)</f>
        <v>459</v>
      </c>
      <c r="N15">
        <f t="shared" ref="N15:T15" ca="1" si="2">SUM(N10:N14)</f>
        <v>494</v>
      </c>
      <c r="O15">
        <f t="shared" ca="1" si="2"/>
        <v>433</v>
      </c>
      <c r="P15">
        <f t="shared" ca="1" si="2"/>
        <v>452</v>
      </c>
      <c r="Q15">
        <f t="shared" ca="1" si="2"/>
        <v>430</v>
      </c>
      <c r="R15">
        <f t="shared" ca="1" si="2"/>
        <v>472</v>
      </c>
      <c r="S15">
        <f t="shared" ca="1" si="2"/>
        <v>454</v>
      </c>
      <c r="T15">
        <f t="shared" ca="1" si="2"/>
        <v>476</v>
      </c>
    </row>
    <row r="16" spans="1:20">
      <c r="A16" t="s">
        <v>12</v>
      </c>
      <c r="B16">
        <f ca="1">SUM(B13:D15)</f>
        <v>60</v>
      </c>
      <c r="F16" t="s">
        <v>12</v>
      </c>
      <c r="G16">
        <f ca="1">SUM(G13:I15)</f>
        <v>60</v>
      </c>
      <c r="L16" t="s">
        <v>18</v>
      </c>
      <c r="M16">
        <f ca="1">2*5*B6</f>
        <v>600</v>
      </c>
      <c r="N16">
        <f ca="1">M16</f>
        <v>600</v>
      </c>
      <c r="O16">
        <f t="shared" ref="O16:T16" ca="1" si="3">N16</f>
        <v>600</v>
      </c>
      <c r="P16">
        <f t="shared" ca="1" si="3"/>
        <v>600</v>
      </c>
      <c r="Q16">
        <f t="shared" ca="1" si="3"/>
        <v>600</v>
      </c>
      <c r="R16">
        <f t="shared" ca="1" si="3"/>
        <v>600</v>
      </c>
      <c r="S16">
        <f t="shared" ca="1" si="3"/>
        <v>600</v>
      </c>
      <c r="T16">
        <f t="shared" ca="1" si="3"/>
        <v>600</v>
      </c>
    </row>
    <row r="17" spans="1:20">
      <c r="A17" t="s">
        <v>13</v>
      </c>
      <c r="B17">
        <f ca="1">(B13+C14+D15)/B16</f>
        <v>0.8833333333333333</v>
      </c>
      <c r="F17" t="s">
        <v>13</v>
      </c>
      <c r="G17">
        <f ca="1">(G13+H14+I15)/G16</f>
        <v>0.93333333333333335</v>
      </c>
      <c r="L17" t="s">
        <v>19</v>
      </c>
      <c r="M17">
        <f ca="1">M15/M16</f>
        <v>0.76500000000000001</v>
      </c>
      <c r="N17">
        <f t="shared" ref="N17:T17" ca="1" si="4">N15/N16</f>
        <v>0.82333333333333336</v>
      </c>
      <c r="O17">
        <f t="shared" ca="1" si="4"/>
        <v>0.72166666666666668</v>
      </c>
      <c r="P17">
        <f t="shared" ca="1" si="4"/>
        <v>0.7533333333333333</v>
      </c>
      <c r="Q17">
        <f t="shared" ca="1" si="4"/>
        <v>0.71666666666666667</v>
      </c>
      <c r="R17">
        <f t="shared" ca="1" si="4"/>
        <v>0.78666666666666663</v>
      </c>
      <c r="S17">
        <f t="shared" ca="1" si="4"/>
        <v>0.75666666666666671</v>
      </c>
      <c r="T17">
        <f t="shared" ca="1" si="4"/>
        <v>0.79333333333333333</v>
      </c>
    </row>
    <row r="18" spans="1:20">
      <c r="A18" t="s">
        <v>14</v>
      </c>
      <c r="B18">
        <f ca="1">((SUM(B13:D13)*SUM(B13:B15))+(SUM(B14:D14)*SUM(C13:C15))+(SUM(B15:D15)*SUM(D13:D15)))/(B16^2)</f>
        <v>0.56083333333333329</v>
      </c>
      <c r="F18" t="s">
        <v>14</v>
      </c>
      <c r="G18">
        <f ca="1">((SUM(G13:I13)*SUM(G13:G15))+(SUM(G14:I14)*SUM(H13:H15))+(SUM(G15:I15)*SUM(I13:I15)))/(G16^2)</f>
        <v>0.64611111111111108</v>
      </c>
    </row>
    <row r="19" spans="1:20">
      <c r="A19" t="s">
        <v>16</v>
      </c>
      <c r="B19">
        <f ca="1">(B17-B18)/(1-B18)</f>
        <v>0.73434535104364318</v>
      </c>
      <c r="F19" t="s">
        <v>16</v>
      </c>
      <c r="G19">
        <f ca="1">(G17-G18)/(1-G18)</f>
        <v>0.81161695447409743</v>
      </c>
    </row>
    <row r="21" spans="1:20">
      <c r="A21" t="s">
        <v>4</v>
      </c>
      <c r="F21" t="s">
        <v>5</v>
      </c>
    </row>
    <row r="22" spans="1:20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20">
      <c r="A23" t="b">
        <v>1</v>
      </c>
      <c r="B23">
        <f ca="1">COUNTIFS(INDIRECT(A21 &amp; "!$C$2:$C$61"),TRUE, INDIRECT(A21 &amp; "!$E$2:$E$61"),TRUE)</f>
        <v>44</v>
      </c>
      <c r="C23">
        <f ca="1">COUNTIFS(INDIRECT(A21 &amp; "!$C$2:$C$61"),TRUE, INDIRECT(A21 &amp; "!$E$2:$E$61"),FALSE)</f>
        <v>0</v>
      </c>
      <c r="D23">
        <f ca="1">COUNTIFS(INDIRECT(A21 &amp; "!$C$2:$C$61"),TRUE, INDIRECT(A21 &amp; "!$E$2:$E$61"),"half true")</f>
        <v>0</v>
      </c>
      <c r="F23" t="b">
        <v>1</v>
      </c>
      <c r="G23">
        <f ca="1">COUNTIFS(INDIRECT(F21 &amp; "!$C$2:$C$61"),TRUE, INDIRECT(F21 &amp; "!$E$2:$E$61"),TRUE)</f>
        <v>46</v>
      </c>
      <c r="H23">
        <f ca="1">COUNTIFS(INDIRECT(F21 &amp; "!$C$2:$C$61"),TRUE, INDIRECT(F21 &amp; "!$E$2:$E$61"),FALSE)</f>
        <v>2</v>
      </c>
      <c r="I23">
        <f ca="1">COUNTIFS(INDIRECT(F21 &amp; "!$C$2:$C$61"),TRUE, INDIRECT(F21 &amp; "!$E$2:$E$61"),"half true")</f>
        <v>0</v>
      </c>
    </row>
    <row r="24" spans="1:20">
      <c r="A24" t="b">
        <v>0</v>
      </c>
      <c r="B24">
        <f ca="1">COUNTIFS(INDIRECT(A21 &amp; "!$C$2:$C$61"),FALSE, INDIRECT(A21 &amp; "!$E$2:$E$61"),TRUE)</f>
        <v>0</v>
      </c>
      <c r="C24">
        <f ca="1">COUNTIFS(INDIRECT(A21 &amp; "!$C$2:$C$61"),FALSE, INDIRECT(A21 &amp; "!$E$2:$E$61"),FALSE)</f>
        <v>14</v>
      </c>
      <c r="D24">
        <f ca="1">COUNTIFS(INDIRECT(A21 &amp; "!$C$2:$C$61"),FALSE, INDIRECT(A21 &amp; "!$E$2:$E$61"),"half true")</f>
        <v>0</v>
      </c>
      <c r="F24" t="b">
        <v>0</v>
      </c>
      <c r="G24">
        <f ca="1">COUNTIFS(INDIRECT(F21 &amp; "!$C$2:$C$61"),FALSE, INDIRECT(F21 &amp; "!$E$2:$E$61"),TRUE)</f>
        <v>0</v>
      </c>
      <c r="H24">
        <f ca="1">COUNTIFS(INDIRECT(F21 &amp; "!$C$2:$C$61"),FALSE, INDIRECT(F21 &amp; "!$E$2:$E$61"),FALSE)</f>
        <v>5</v>
      </c>
      <c r="I24">
        <f ca="1">COUNTIFS(INDIRECT(F21 &amp; "!$C$2:$C$61"),FALSE, INDIRECT(F21 &amp; "!$E$2:$E$61"),"half true")</f>
        <v>0</v>
      </c>
    </row>
    <row r="25" spans="1:20">
      <c r="A25" t="s">
        <v>8</v>
      </c>
      <c r="B25">
        <f ca="1">COUNTIFS(INDIRECT(A21 &amp; "!$C$2:$C$61"),"half true", INDIRECT(A21 &amp; "!$E$2:$E$61"),TRUE)</f>
        <v>0</v>
      </c>
      <c r="C25">
        <f ca="1">COUNTIFS(INDIRECT(A21 &amp; "!$C$2:$C$61"),"half true", INDIRECT(A21 &amp; "!$E$2:$E$61"),FALSE)</f>
        <v>2</v>
      </c>
      <c r="D25">
        <f ca="1">COUNTIFS(INDIRECT(A21 &amp; "!$C$2:$C$61"),"half true", INDIRECT(A21 &amp; "!$E$2:$E$61"),"half true")</f>
        <v>0</v>
      </c>
      <c r="F25" t="s">
        <v>8</v>
      </c>
      <c r="G25">
        <f ca="1">COUNTIFS(INDIRECT(F21 &amp; "!$C$2:$C$61"),"half true", INDIRECT(F21 &amp; "!$E$2:$E$61"),TRUE)</f>
        <v>0</v>
      </c>
      <c r="H25">
        <f ca="1">COUNTIFS(INDIRECT(F21 &amp; "!$C$2:$C$61"),"half true", INDIRECT(F21 &amp; "!$E$2:$E$61"),FALSE)</f>
        <v>5</v>
      </c>
      <c r="I25">
        <f ca="1">COUNTIFS(INDIRECT(F21 &amp; "!$C$2:$C$61"),"half true", INDIRECT(F21 &amp; "!$E$2:$E$61"),"half true")</f>
        <v>2</v>
      </c>
    </row>
    <row r="26" spans="1:20">
      <c r="A26" t="s">
        <v>12</v>
      </c>
      <c r="B26">
        <f ca="1">SUM(B23:D25)</f>
        <v>60</v>
      </c>
      <c r="F26" t="s">
        <v>12</v>
      </c>
      <c r="G26">
        <f ca="1">SUM(G23:I25)</f>
        <v>60</v>
      </c>
    </row>
    <row r="27" spans="1:20">
      <c r="A27" t="s">
        <v>13</v>
      </c>
      <c r="B27">
        <f ca="1">(B23+C24+D25)/B26</f>
        <v>0.96666666666666667</v>
      </c>
      <c r="F27" t="s">
        <v>13</v>
      </c>
      <c r="G27">
        <f ca="1">(G23+H24+I25)/G26</f>
        <v>0.8833333333333333</v>
      </c>
    </row>
    <row r="28" spans="1:20">
      <c r="A28" t="s">
        <v>14</v>
      </c>
      <c r="B28">
        <f ca="1">((SUM(B23:D23)*SUM(B23:B25))+(SUM(B24:D24)*SUM(C23:C25))+(SUM(B25:D25)*SUM(D23:D25)))/(B26^2)</f>
        <v>0.6</v>
      </c>
      <c r="F28" t="s">
        <v>14</v>
      </c>
      <c r="G28">
        <f ca="1">((SUM(G23:I23)*SUM(G23:G25))+(SUM(G24:I24)*SUM(H23:H25))+(SUM(G25:I25)*SUM(I23:I25)))/(G26^2)</f>
        <v>0.63388888888888884</v>
      </c>
    </row>
    <row r="29" spans="1:20">
      <c r="A29" t="s">
        <v>16</v>
      </c>
      <c r="B29">
        <f ca="1">(B27-B28)/(1-B28)</f>
        <v>0.91666666666666674</v>
      </c>
      <c r="F29" t="s">
        <v>16</v>
      </c>
      <c r="G29">
        <f ca="1">(G27-G28)/(1-G28)</f>
        <v>0.68133535660091049</v>
      </c>
    </row>
    <row r="31" spans="1:20">
      <c r="A31" t="s">
        <v>6</v>
      </c>
      <c r="F31" t="s">
        <v>7</v>
      </c>
    </row>
    <row r="32" spans="1:20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"!$C$2:$C$61"),TRUE, INDIRECT(A31 &amp; "!$E$2:$E$61"),TRUE)</f>
        <v>45</v>
      </c>
      <c r="C33">
        <f ca="1">COUNTIFS(INDIRECT(A31 &amp; "!$C$2:$C$61"),TRUE, INDIRECT(A31 &amp; "!$E$2:$E$61"),FALSE)</f>
        <v>0</v>
      </c>
      <c r="D33">
        <f ca="1">COUNTIFS(INDIRECT(A31 &amp; "!$C$2:$C$61"),TRUE, INDIRECT(A31 &amp; "!$E$2:$E$61"),"half true")</f>
        <v>0</v>
      </c>
      <c r="F33" t="b">
        <v>1</v>
      </c>
      <c r="G33">
        <f ca="1">COUNTIFS(INDIRECT(F31 &amp; "!$C$2:$C$61"),TRUE, INDIRECT(F31 &amp; "!$E$2:$E$61"),TRUE)</f>
        <v>47</v>
      </c>
      <c r="H33">
        <f ca="1">COUNTIFS(INDIRECT(F31 &amp; "!$C$2:$C$61"),TRUE, INDIRECT(F31 &amp; "!$E$2:$E$61"),FALSE)</f>
        <v>0</v>
      </c>
      <c r="I33">
        <f ca="1">COUNTIFS(INDIRECT(F31 &amp; "!$C$2:$C$61"),TRUE, INDIRECT(F31 &amp; "!$E$2:$E$61"),"half true")</f>
        <v>0</v>
      </c>
    </row>
    <row r="34" spans="1:9">
      <c r="A34" t="b">
        <v>0</v>
      </c>
      <c r="B34">
        <f ca="1">COUNTIFS(INDIRECT(A31 &amp; "!$C$2:$C$61"),FALSE, INDIRECT(A31 &amp; "!$E$2:$E$61"),TRUE)</f>
        <v>0</v>
      </c>
      <c r="C34">
        <f ca="1">COUNTIFS(INDIRECT(A31 &amp; "!$C$2:$C$61"),FALSE, INDIRECT(A31 &amp; "!$E$2:$E$61"),FALSE)</f>
        <v>12</v>
      </c>
      <c r="D34">
        <f ca="1">COUNTIFS(INDIRECT(A31 &amp; "!$C$2:$C$61"),FALSE, INDIRECT(A31 &amp; "!$E$2:$E$61"),"half true")</f>
        <v>0</v>
      </c>
      <c r="F34" t="b">
        <v>0</v>
      </c>
      <c r="G34">
        <f ca="1">COUNTIFS(INDIRECT(F31 &amp; "!$C$2:$C$61"),FALSE, INDIRECT(F31 &amp; "!$E$2:$E$61"),TRUE)</f>
        <v>0</v>
      </c>
      <c r="H34">
        <f ca="1">COUNTIFS(INDIRECT(F31 &amp; "!$C$2:$C$61"),FALSE, INDIRECT(F31 &amp; "!$E$2:$E$61"),FALSE)</f>
        <v>6</v>
      </c>
      <c r="I34">
        <f ca="1">COUNTIFS(INDIRECT(F31 &amp; "!$C$2:$C$61"),FALSE, INDIRECT(F31 &amp; "!$E$2:$E$61"),"half true")</f>
        <v>0</v>
      </c>
    </row>
    <row r="35" spans="1:9">
      <c r="A35" t="s">
        <v>8</v>
      </c>
      <c r="B35">
        <f ca="1">COUNTIFS(INDIRECT(A31 &amp; "!$C$2:$C$61"),"half true", INDIRECT(A31 &amp; "!$E$2:$E$61"),TRUE)</f>
        <v>0</v>
      </c>
      <c r="C35">
        <f ca="1">COUNTIFS(INDIRECT(A31 &amp; "!$C$2:$C$61"),"half true", INDIRECT(A31 &amp; "!$E$2:$E$61"),FALSE)</f>
        <v>1</v>
      </c>
      <c r="D35">
        <f ca="1">COUNTIFS(INDIRECT(A31 &amp; "!$C$2:$C$61"),"half true", INDIRECT(A31 &amp; "!$E$2:$E$61"),"half true")</f>
        <v>2</v>
      </c>
      <c r="F35" t="s">
        <v>8</v>
      </c>
      <c r="G35">
        <f ca="1">COUNTIFS(INDIRECT(F31 &amp; "!$C$2:$C$61"),"half true", INDIRECT(F31 &amp; "!$E$2:$E$61"),TRUE)</f>
        <v>0</v>
      </c>
      <c r="H35">
        <f ca="1">COUNTIFS(INDIRECT(F31 &amp; "!$C$2:$C$61"),"half true", INDIRECT(F31 &amp; "!$E$2:$E$61"),FALSE)</f>
        <v>7</v>
      </c>
      <c r="I35">
        <f ca="1">COUNTIFS(INDIRECT(F31 &amp; "!$C$2:$C$61"),"half true", INDIRECT(F31 &amp; "!$E$2:$E$61"),"half true")</f>
        <v>0</v>
      </c>
    </row>
    <row r="36" spans="1:9">
      <c r="A36" t="s">
        <v>12</v>
      </c>
      <c r="B36">
        <f ca="1">SUM(B33:D35)</f>
        <v>60</v>
      </c>
      <c r="F36" t="s">
        <v>12</v>
      </c>
      <c r="G36">
        <f ca="1">SUM(G33:I35)</f>
        <v>60</v>
      </c>
    </row>
    <row r="37" spans="1:9">
      <c r="A37" t="s">
        <v>13</v>
      </c>
      <c r="B37">
        <f ca="1">(B33+C34+D35)/B36</f>
        <v>0.98333333333333328</v>
      </c>
      <c r="F37" t="s">
        <v>13</v>
      </c>
      <c r="G37">
        <f ca="1">(G33+H34+I35)/G36</f>
        <v>0.8833333333333333</v>
      </c>
    </row>
    <row r="38" spans="1:9">
      <c r="A38" t="s">
        <v>14</v>
      </c>
      <c r="B38">
        <f ca="1">((SUM(B33:D33)*SUM(B33:B35))+(SUM(B34:D34)*SUM(C33:C35))+(SUM(B35:D35)*SUM(D33:D35)))/(B36^2)</f>
        <v>0.60750000000000004</v>
      </c>
      <c r="F38" t="s">
        <v>14</v>
      </c>
      <c r="G38">
        <f ca="1">((SUM(G33:I33)*SUM(G33:G35))+(SUM(G34:I34)*SUM(H33:H35))+(SUM(G35:I35)*SUM(I33:I35)))/(G36^2)</f>
        <v>0.63527777777777783</v>
      </c>
    </row>
    <row r="39" spans="1:9">
      <c r="A39" t="s">
        <v>16</v>
      </c>
      <c r="B39">
        <f ca="1">(B37-B38)/(1-B38)</f>
        <v>0.95753715498938419</v>
      </c>
      <c r="F39" t="s">
        <v>16</v>
      </c>
      <c r="G39">
        <f ca="1">(G37-G38)/(1-G38)</f>
        <v>0.68012185833967997</v>
      </c>
    </row>
    <row r="41" spans="1:9">
      <c r="A41" t="s">
        <v>20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364</v>
      </c>
      <c r="C43">
        <f t="shared" ref="C43:D45" ca="1" si="5">C3+H3+C13+H13+C23+H23+C33+H33</f>
        <v>5</v>
      </c>
      <c r="D43">
        <f t="shared" ca="1" si="5"/>
        <v>0</v>
      </c>
    </row>
    <row r="44" spans="1:9">
      <c r="A44" t="b">
        <v>0</v>
      </c>
      <c r="B44">
        <f t="shared" ref="B44:B45" ca="1" si="6">B4+G4+B14+G14+B24+G24+B34+G34</f>
        <v>1</v>
      </c>
      <c r="C44">
        <f t="shared" ca="1" si="5"/>
        <v>72</v>
      </c>
      <c r="D44">
        <f t="shared" ca="1" si="5"/>
        <v>0</v>
      </c>
    </row>
    <row r="45" spans="1:9">
      <c r="A45" t="s">
        <v>8</v>
      </c>
      <c r="B45">
        <f t="shared" ca="1" si="6"/>
        <v>1</v>
      </c>
      <c r="C45">
        <f t="shared" ca="1" si="5"/>
        <v>33</v>
      </c>
      <c r="D45">
        <f t="shared" ca="1" si="5"/>
        <v>4</v>
      </c>
    </row>
    <row r="46" spans="1:9">
      <c r="A46" t="s">
        <v>12</v>
      </c>
      <c r="B46">
        <f ca="1">SUM(B43:D45)</f>
        <v>480</v>
      </c>
    </row>
    <row r="47" spans="1:9">
      <c r="A47" t="s">
        <v>13</v>
      </c>
      <c r="B47">
        <f ca="1">(B43+C44+D45)/B46</f>
        <v>0.91666666666666663</v>
      </c>
    </row>
    <row r="48" spans="1:9">
      <c r="A48" t="s">
        <v>14</v>
      </c>
      <c r="B48">
        <f ca="1">((SUM(B43:D43)*SUM(B43:B45))+(SUM(B44:D44)*SUM(C43:C45))+(SUM(B45:D45)*SUM(D43:D45)))/(B46^2)</f>
        <v>0.62168402777777776</v>
      </c>
    </row>
    <row r="49" spans="1:2">
      <c r="A49" t="s">
        <v>16</v>
      </c>
      <c r="B49">
        <f ca="1">(B47-B48)/(1-B48)</f>
        <v>0.77972557477857818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zoomScaleNormal="100" workbookViewId="0">
      <selection activeCell="F2" sqref="F2"/>
    </sheetView>
  </sheetViews>
  <sheetFormatPr defaultColWidth="8.5703125" defaultRowHeight="15"/>
  <cols>
    <col min="1" max="1" width="43.5703125" customWidth="1"/>
    <col min="2" max="2" width="32.5703125" customWidth="1"/>
    <col min="4" max="4" width="11.85546875" customWidth="1"/>
    <col min="5" max="5" width="15.5703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34</v>
      </c>
      <c r="C5" t="s">
        <v>8</v>
      </c>
      <c r="E5" t="b">
        <f>TRUE()</f>
        <v>1</v>
      </c>
      <c r="F5" t="b">
        <f t="shared" si="0"/>
        <v>0</v>
      </c>
    </row>
    <row r="6" spans="1:6">
      <c r="A6" t="s">
        <v>35</v>
      </c>
      <c r="B6" t="s">
        <v>36</v>
      </c>
      <c r="C6" t="b">
        <f>FALSE()</f>
        <v>0</v>
      </c>
      <c r="E6" s="2" t="b">
        <f>FALSE()</f>
        <v>0</v>
      </c>
      <c r="F6" t="b">
        <f t="shared" si="0"/>
        <v>1</v>
      </c>
    </row>
    <row r="7" spans="1:6">
      <c r="A7" t="s">
        <v>37</v>
      </c>
      <c r="B7" t="s">
        <v>38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46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48</v>
      </c>
      <c r="C12" t="b">
        <f>FALSE()</f>
        <v>0</v>
      </c>
      <c r="D12" t="s">
        <v>49</v>
      </c>
      <c r="E12" s="2" t="b">
        <f>FALSE()</f>
        <v>0</v>
      </c>
      <c r="F12" t="b">
        <f t="shared" si="0"/>
        <v>1</v>
      </c>
    </row>
    <row r="13" spans="1:6">
      <c r="A13" t="s">
        <v>50</v>
      </c>
      <c r="B13" t="s">
        <v>51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57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59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61</v>
      </c>
      <c r="C18" t="s">
        <v>8</v>
      </c>
      <c r="E18" s="2" t="b">
        <f>FALSE()</f>
        <v>0</v>
      </c>
      <c r="F18" t="b">
        <f t="shared" si="0"/>
        <v>0</v>
      </c>
    </row>
    <row r="19" spans="1:6">
      <c r="A19" t="s">
        <v>62</v>
      </c>
      <c r="B19" t="s">
        <v>63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69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46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72</v>
      </c>
      <c r="C24" t="s">
        <v>8</v>
      </c>
      <c r="E24" s="2" t="b">
        <f>FALSE()</f>
        <v>0</v>
      </c>
      <c r="F24" t="b">
        <f t="shared" si="0"/>
        <v>0</v>
      </c>
    </row>
    <row r="25" spans="1:6">
      <c r="A25" t="s">
        <v>73</v>
      </c>
      <c r="B25" t="s">
        <v>74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80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82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61</v>
      </c>
      <c r="C30" t="b">
        <f>FALSE()</f>
        <v>0</v>
      </c>
      <c r="E30" s="2" t="b">
        <f>FALSE()</f>
        <v>0</v>
      </c>
      <c r="F30" t="b">
        <f t="shared" si="0"/>
        <v>1</v>
      </c>
    </row>
    <row r="31" spans="1:6">
      <c r="A31" t="s">
        <v>84</v>
      </c>
      <c r="B31" t="s">
        <v>85</v>
      </c>
      <c r="C31" t="b">
        <f>TRUE()</f>
        <v>1</v>
      </c>
      <c r="E31" t="b">
        <f>FALSE()</f>
        <v>0</v>
      </c>
      <c r="F31" t="b">
        <f t="shared" si="0"/>
        <v>0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91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92</v>
      </c>
      <c r="B35" t="s">
        <v>93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94</v>
      </c>
      <c r="B36" t="s">
        <v>95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96</v>
      </c>
      <c r="B37" t="s">
        <v>97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99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100</v>
      </c>
      <c r="B39" t="s">
        <v>101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103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105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107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108</v>
      </c>
      <c r="B43" t="s">
        <v>109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44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116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118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126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128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130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131</v>
      </c>
      <c r="B55" t="s">
        <v>132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138</v>
      </c>
      <c r="C58" t="b">
        <f>FALSE()</f>
        <v>0</v>
      </c>
      <c r="E58" t="b">
        <f>TRUE()</f>
        <v>1</v>
      </c>
      <c r="F58" t="b">
        <f t="shared" si="0"/>
        <v>0</v>
      </c>
    </row>
    <row r="59" spans="1:6">
      <c r="A59" t="s">
        <v>139</v>
      </c>
      <c r="B59" t="s">
        <v>140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142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143</v>
      </c>
      <c r="B61" t="s">
        <v>144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"/>
  <sheetViews>
    <sheetView zoomScaleNormal="100" workbookViewId="0">
      <selection activeCell="F2" sqref="F2"/>
    </sheetView>
  </sheetViews>
  <sheetFormatPr defaultColWidth="8.5703125" defaultRowHeight="15"/>
  <cols>
    <col min="1" max="1" width="44.85546875" customWidth="1"/>
    <col min="2" max="2" width="31.5703125" customWidth="1"/>
    <col min="5" max="5" width="14.1406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46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145</v>
      </c>
      <c r="C6" t="s">
        <v>8</v>
      </c>
      <c r="E6" s="2" t="b">
        <f>FALSE()</f>
        <v>0</v>
      </c>
      <c r="F6" t="b">
        <f t="shared" si="0"/>
        <v>0</v>
      </c>
    </row>
    <row r="7" spans="1:6">
      <c r="A7" t="s">
        <v>37</v>
      </c>
      <c r="B7" t="s">
        <v>146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46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147</v>
      </c>
      <c r="C12" t="s">
        <v>8</v>
      </c>
      <c r="E12" s="2" t="b">
        <f>FALSE()</f>
        <v>0</v>
      </c>
      <c r="F12" t="b">
        <f t="shared" si="0"/>
        <v>0</v>
      </c>
    </row>
    <row r="13" spans="1:6">
      <c r="A13" t="s">
        <v>50</v>
      </c>
      <c r="B13" t="s">
        <v>148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57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46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149</v>
      </c>
      <c r="C18" t="s">
        <v>8</v>
      </c>
      <c r="E18" s="2" t="b">
        <f>FALSE()</f>
        <v>0</v>
      </c>
      <c r="F18" t="b">
        <f t="shared" si="0"/>
        <v>0</v>
      </c>
    </row>
    <row r="19" spans="1:6">
      <c r="A19" t="s">
        <v>62</v>
      </c>
      <c r="B19" t="s">
        <v>146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69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82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150</v>
      </c>
      <c r="C24" t="b">
        <f>TRUE()</f>
        <v>1</v>
      </c>
      <c r="E24" s="2" t="b">
        <f>FALSE()</f>
        <v>0</v>
      </c>
      <c r="F24" t="b">
        <f t="shared" si="0"/>
        <v>0</v>
      </c>
    </row>
    <row r="25" spans="1:6">
      <c r="A25" t="s">
        <v>73</v>
      </c>
      <c r="B25" t="s">
        <v>74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80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46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151</v>
      </c>
      <c r="C30" t="b">
        <f>FALSE()</f>
        <v>0</v>
      </c>
      <c r="E30" s="2" t="b">
        <f>FALSE()</f>
        <v>0</v>
      </c>
      <c r="F30" t="b">
        <f t="shared" si="0"/>
        <v>1</v>
      </c>
    </row>
    <row r="31" spans="1:6">
      <c r="A31" t="s">
        <v>84</v>
      </c>
      <c r="B31" t="s">
        <v>148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152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92</v>
      </c>
      <c r="B35" t="s">
        <v>140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94</v>
      </c>
      <c r="B36" t="s">
        <v>153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96</v>
      </c>
      <c r="B37" t="s">
        <v>74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98</v>
      </c>
      <c r="B38" t="s">
        <v>154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100</v>
      </c>
      <c r="B39" t="s">
        <v>101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103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140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155</v>
      </c>
      <c r="C42" t="s">
        <v>8</v>
      </c>
      <c r="E42" t="b">
        <f>FALSE()</f>
        <v>0</v>
      </c>
      <c r="F42" t="b">
        <f t="shared" si="0"/>
        <v>0</v>
      </c>
    </row>
    <row r="43" spans="1:6">
      <c r="A43" t="s">
        <v>108</v>
      </c>
      <c r="B43" t="s">
        <v>109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44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140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156</v>
      </c>
      <c r="C48" t="b">
        <f>TRUE()</f>
        <v>1</v>
      </c>
      <c r="E48" t="b">
        <f>FALSE()</f>
        <v>0</v>
      </c>
      <c r="F48" t="b">
        <f t="shared" si="0"/>
        <v>0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126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128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130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131</v>
      </c>
      <c r="B55" t="s">
        <v>120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157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158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159</v>
      </c>
      <c r="C60" t="s">
        <v>8</v>
      </c>
      <c r="E60" t="b">
        <f>FALSE()</f>
        <v>0</v>
      </c>
      <c r="F60" t="b">
        <f t="shared" si="0"/>
        <v>0</v>
      </c>
    </row>
    <row r="61" spans="1:6">
      <c r="A61" t="s">
        <v>143</v>
      </c>
      <c r="B61" t="s">
        <v>148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topLeftCell="A25" zoomScaleNormal="100" workbookViewId="0">
      <selection activeCell="J38" sqref="J38"/>
    </sheetView>
  </sheetViews>
  <sheetFormatPr defaultColWidth="8.5703125" defaultRowHeight="15"/>
  <cols>
    <col min="1" max="1" width="43.7109375" customWidth="1"/>
    <col min="2" max="2" width="31.85546875" customWidth="1"/>
    <col min="5" max="5" width="14.285156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46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145</v>
      </c>
      <c r="C6" t="s">
        <v>8</v>
      </c>
      <c r="E6" s="2" t="b">
        <f>FALSE()</f>
        <v>0</v>
      </c>
      <c r="F6" t="b">
        <f t="shared" si="0"/>
        <v>0</v>
      </c>
    </row>
    <row r="7" spans="1:6">
      <c r="A7" t="s">
        <v>37</v>
      </c>
      <c r="B7" t="s">
        <v>38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46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160</v>
      </c>
      <c r="C12" t="b">
        <f>FALSE()</f>
        <v>0</v>
      </c>
      <c r="E12" s="2" t="b">
        <f>FALSE()</f>
        <v>0</v>
      </c>
      <c r="F12" t="b">
        <f t="shared" si="0"/>
        <v>1</v>
      </c>
    </row>
    <row r="13" spans="1:6">
      <c r="A13" t="s">
        <v>50</v>
      </c>
      <c r="B13" t="s">
        <v>148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57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46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149</v>
      </c>
      <c r="C18" t="s">
        <v>8</v>
      </c>
      <c r="E18" s="2" t="b">
        <f>FALSE()</f>
        <v>0</v>
      </c>
      <c r="F18" t="b">
        <f t="shared" si="0"/>
        <v>0</v>
      </c>
    </row>
    <row r="19" spans="1:6">
      <c r="A19" t="s">
        <v>62</v>
      </c>
      <c r="B19" t="s">
        <v>146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161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46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162</v>
      </c>
      <c r="C24" t="b">
        <f>FALSE()</f>
        <v>0</v>
      </c>
      <c r="E24" s="2" t="b">
        <f>FALSE()</f>
        <v>0</v>
      </c>
      <c r="F24" t="b">
        <f t="shared" si="0"/>
        <v>1</v>
      </c>
    </row>
    <row r="25" spans="1:6">
      <c r="A25" t="s">
        <v>73</v>
      </c>
      <c r="B25" t="s">
        <v>148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80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46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163</v>
      </c>
      <c r="C30" t="b">
        <f>FALSE()</f>
        <v>0</v>
      </c>
      <c r="E30" s="2" t="b">
        <f>FALSE()</f>
        <v>0</v>
      </c>
      <c r="F30" t="b">
        <f t="shared" si="0"/>
        <v>1</v>
      </c>
    </row>
    <row r="31" spans="1:6">
      <c r="A31" t="s">
        <v>84</v>
      </c>
      <c r="B31" t="s">
        <v>148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91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92</v>
      </c>
      <c r="B35" t="s">
        <v>93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94</v>
      </c>
      <c r="B36" t="s">
        <v>153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96</v>
      </c>
      <c r="B37" t="s">
        <v>148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99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100</v>
      </c>
      <c r="B39" t="s">
        <v>101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103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158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164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108</v>
      </c>
      <c r="B43" t="s">
        <v>74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44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158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165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126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158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166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131</v>
      </c>
      <c r="B55" t="s">
        <v>148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157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158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167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143</v>
      </c>
      <c r="B61" t="s">
        <v>148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topLeftCell="A25" zoomScaleNormal="100" workbookViewId="0">
      <selection activeCell="E54" sqref="E54"/>
    </sheetView>
  </sheetViews>
  <sheetFormatPr defaultColWidth="8.5703125" defaultRowHeight="15"/>
  <cols>
    <col min="1" max="1" width="44.85546875" customWidth="1"/>
    <col min="2" max="2" width="30.5703125" customWidth="1"/>
    <col min="5" max="5" width="11.5703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46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145</v>
      </c>
      <c r="C6" t="s">
        <v>8</v>
      </c>
      <c r="E6" s="2" t="b">
        <f>FALSE()</f>
        <v>0</v>
      </c>
      <c r="F6" t="b">
        <f t="shared" si="0"/>
        <v>0</v>
      </c>
    </row>
    <row r="7" spans="1:6">
      <c r="A7" t="s">
        <v>37</v>
      </c>
      <c r="B7" t="s">
        <v>148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46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147</v>
      </c>
      <c r="C12" t="s">
        <v>8</v>
      </c>
      <c r="E12" s="2" t="b">
        <f>FALSE()</f>
        <v>0</v>
      </c>
      <c r="F12" t="b">
        <f t="shared" si="0"/>
        <v>0</v>
      </c>
    </row>
    <row r="13" spans="1:6">
      <c r="A13" t="s">
        <v>50</v>
      </c>
      <c r="B13" t="s">
        <v>148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57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46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149</v>
      </c>
      <c r="C18" t="s">
        <v>8</v>
      </c>
      <c r="E18" t="s">
        <v>8</v>
      </c>
      <c r="F18" t="b">
        <f t="shared" si="0"/>
        <v>1</v>
      </c>
    </row>
    <row r="19" spans="1:6">
      <c r="A19" t="s">
        <v>62</v>
      </c>
      <c r="B19" t="s">
        <v>146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69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46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168</v>
      </c>
      <c r="C24" t="s">
        <v>8</v>
      </c>
      <c r="E24" t="b">
        <v>0</v>
      </c>
      <c r="F24" t="b">
        <f t="shared" si="0"/>
        <v>0</v>
      </c>
    </row>
    <row r="25" spans="1:6">
      <c r="A25" t="s">
        <v>73</v>
      </c>
      <c r="B25" t="s">
        <v>148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80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46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169</v>
      </c>
      <c r="C30" t="s">
        <v>8</v>
      </c>
      <c r="E30" t="s">
        <v>8</v>
      </c>
      <c r="F30" t="b">
        <f t="shared" si="0"/>
        <v>1</v>
      </c>
    </row>
    <row r="31" spans="1:6">
      <c r="A31" t="s">
        <v>84</v>
      </c>
      <c r="B31" t="s">
        <v>148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152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92</v>
      </c>
      <c r="B35" t="s">
        <v>158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94</v>
      </c>
      <c r="B36" t="s">
        <v>170</v>
      </c>
      <c r="C36" t="s">
        <v>8</v>
      </c>
      <c r="E36" t="b">
        <f>FALSE()</f>
        <v>0</v>
      </c>
      <c r="F36" t="b">
        <f t="shared" si="0"/>
        <v>0</v>
      </c>
    </row>
    <row r="37" spans="1:6">
      <c r="A37" t="s">
        <v>96</v>
      </c>
      <c r="B37" t="s">
        <v>120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99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100</v>
      </c>
      <c r="B39" t="s">
        <v>101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103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158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171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108</v>
      </c>
      <c r="B43" t="s">
        <v>120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44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158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172</v>
      </c>
      <c r="C48" t="b">
        <f>TRUE()</f>
        <v>1</v>
      </c>
      <c r="E48" t="b">
        <f>FALSE()</f>
        <v>0</v>
      </c>
      <c r="F48" t="b">
        <f t="shared" si="0"/>
        <v>0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173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158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174</v>
      </c>
      <c r="C54" t="b">
        <f>TRUE()</f>
        <v>1</v>
      </c>
      <c r="E54" t="b">
        <f>FALSE()</f>
        <v>0</v>
      </c>
      <c r="F54" t="b">
        <f t="shared" si="0"/>
        <v>0</v>
      </c>
    </row>
    <row r="55" spans="1:6">
      <c r="A55" t="s">
        <v>131</v>
      </c>
      <c r="B55" t="s">
        <v>120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157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158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175</v>
      </c>
      <c r="C60" t="s">
        <v>8</v>
      </c>
      <c r="E60" t="b">
        <f>FALSE()</f>
        <v>0</v>
      </c>
      <c r="F60" t="b">
        <f t="shared" si="0"/>
        <v>0</v>
      </c>
    </row>
    <row r="61" spans="1:6">
      <c r="A61" t="s">
        <v>143</v>
      </c>
      <c r="B61" t="s">
        <v>74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tabSelected="1" zoomScaleNormal="100" workbookViewId="0">
      <selection activeCell="H5" sqref="H5"/>
    </sheetView>
  </sheetViews>
  <sheetFormatPr defaultColWidth="8.5703125" defaultRowHeight="15"/>
  <cols>
    <col min="1" max="1" width="43.7109375" customWidth="1"/>
    <col min="2" max="2" width="32.42578125" customWidth="1"/>
    <col min="5" max="5" width="10.710937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82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36</v>
      </c>
      <c r="C6" t="b">
        <f>FALSE()</f>
        <v>0</v>
      </c>
      <c r="E6" s="2" t="b">
        <f>FALSE()</f>
        <v>0</v>
      </c>
      <c r="F6" t="b">
        <f t="shared" si="0"/>
        <v>1</v>
      </c>
    </row>
    <row r="7" spans="1:6">
      <c r="A7" t="s">
        <v>37</v>
      </c>
      <c r="B7" t="s">
        <v>38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46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176</v>
      </c>
      <c r="C12" t="s">
        <v>8</v>
      </c>
      <c r="E12" s="2" t="b">
        <f>FALSE()</f>
        <v>0</v>
      </c>
      <c r="F12" t="b">
        <f t="shared" si="0"/>
        <v>0</v>
      </c>
    </row>
    <row r="13" spans="1:6">
      <c r="A13" t="s">
        <v>50</v>
      </c>
      <c r="B13" t="s">
        <v>146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57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82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149</v>
      </c>
      <c r="C18" t="s">
        <v>8</v>
      </c>
      <c r="E18" t="s">
        <v>8</v>
      </c>
      <c r="F18" t="b">
        <f t="shared" si="0"/>
        <v>1</v>
      </c>
    </row>
    <row r="19" spans="1:6">
      <c r="A19" t="s">
        <v>62</v>
      </c>
      <c r="B19" t="s">
        <v>63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69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82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177</v>
      </c>
      <c r="C24" t="b">
        <f>FALSE()</f>
        <v>0</v>
      </c>
      <c r="E24" t="b">
        <v>0</v>
      </c>
      <c r="F24" t="b">
        <f t="shared" si="0"/>
        <v>1</v>
      </c>
    </row>
    <row r="25" spans="1:6">
      <c r="A25" t="s">
        <v>73</v>
      </c>
      <c r="B25" t="s">
        <v>74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80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82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36</v>
      </c>
      <c r="C30" t="s">
        <v>8</v>
      </c>
      <c r="E30" t="s">
        <v>8</v>
      </c>
      <c r="F30" t="b">
        <f t="shared" si="0"/>
        <v>1</v>
      </c>
    </row>
    <row r="31" spans="1:6">
      <c r="A31" t="s">
        <v>84</v>
      </c>
      <c r="B31" t="s">
        <v>146</v>
      </c>
      <c r="C31" t="b">
        <f>FALSE()</f>
        <v>0</v>
      </c>
      <c r="E31" t="b">
        <f>FALSE()</f>
        <v>0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152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92</v>
      </c>
      <c r="B35" t="s">
        <v>93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94</v>
      </c>
      <c r="B36" t="s">
        <v>153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96</v>
      </c>
      <c r="B37" t="s">
        <v>97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99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100</v>
      </c>
      <c r="B39" t="s">
        <v>101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103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178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179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108</v>
      </c>
      <c r="B43" t="s">
        <v>109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44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140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180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173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181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182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131</v>
      </c>
      <c r="B55" t="s">
        <v>120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157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140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183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143</v>
      </c>
      <c r="B61" t="s">
        <v>148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1"/>
  <sheetViews>
    <sheetView topLeftCell="A25" zoomScaleNormal="100" workbookViewId="0">
      <selection activeCell="H15" sqref="H15"/>
    </sheetView>
  </sheetViews>
  <sheetFormatPr defaultColWidth="8.5703125" defaultRowHeight="15"/>
  <cols>
    <col min="1" max="1" width="44" customWidth="1"/>
    <col min="2" max="2" width="30" customWidth="1"/>
    <col min="5" max="5" width="13.42578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46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145</v>
      </c>
      <c r="C6" t="s">
        <v>8</v>
      </c>
      <c r="E6" s="2" t="b">
        <f>FALSE()</f>
        <v>0</v>
      </c>
      <c r="F6" t="b">
        <f t="shared" si="0"/>
        <v>0</v>
      </c>
    </row>
    <row r="7" spans="1:6">
      <c r="A7" t="s">
        <v>37</v>
      </c>
      <c r="B7" t="s">
        <v>148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46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147</v>
      </c>
      <c r="C12" t="s">
        <v>8</v>
      </c>
      <c r="E12" s="2" t="b">
        <f>FALSE()</f>
        <v>0</v>
      </c>
      <c r="F12" t="b">
        <f t="shared" si="0"/>
        <v>0</v>
      </c>
    </row>
    <row r="13" spans="1:6">
      <c r="A13" t="s">
        <v>50</v>
      </c>
      <c r="B13" t="s">
        <v>148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57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82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149</v>
      </c>
      <c r="C18" t="s">
        <v>8</v>
      </c>
      <c r="E18" s="2" t="b">
        <f>FALSE()</f>
        <v>0</v>
      </c>
      <c r="F18" t="b">
        <f t="shared" si="0"/>
        <v>0</v>
      </c>
    </row>
    <row r="19" spans="1:6">
      <c r="A19" t="s">
        <v>62</v>
      </c>
      <c r="B19" t="s">
        <v>146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69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82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184</v>
      </c>
      <c r="C24" t="s">
        <v>8</v>
      </c>
      <c r="E24" s="2" t="b">
        <f>FALSE()</f>
        <v>0</v>
      </c>
      <c r="F24" t="b">
        <f t="shared" si="0"/>
        <v>0</v>
      </c>
    </row>
    <row r="25" spans="1:6">
      <c r="A25" t="s">
        <v>73</v>
      </c>
      <c r="B25" t="s">
        <v>74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80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46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151</v>
      </c>
      <c r="C30" t="s">
        <v>8</v>
      </c>
      <c r="E30" s="2" t="b">
        <f>FALSE()</f>
        <v>0</v>
      </c>
      <c r="F30" t="b">
        <f t="shared" si="0"/>
        <v>0</v>
      </c>
    </row>
    <row r="31" spans="1:6">
      <c r="A31" t="s">
        <v>84</v>
      </c>
      <c r="B31" t="s">
        <v>148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152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92</v>
      </c>
      <c r="B35" t="s">
        <v>140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94</v>
      </c>
      <c r="B36" t="s">
        <v>153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96</v>
      </c>
      <c r="B37" t="s">
        <v>120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111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100</v>
      </c>
      <c r="B39" t="s">
        <v>101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103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140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184</v>
      </c>
      <c r="C42" t="s">
        <v>8</v>
      </c>
      <c r="E42" s="2" t="b">
        <f>FALSE()</f>
        <v>0</v>
      </c>
      <c r="F42" t="b">
        <f t="shared" si="0"/>
        <v>0</v>
      </c>
    </row>
    <row r="43" spans="1:6">
      <c r="A43" t="s">
        <v>108</v>
      </c>
      <c r="B43" t="s">
        <v>109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44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140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185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173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140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186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131</v>
      </c>
      <c r="B55" t="s">
        <v>120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157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140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187</v>
      </c>
      <c r="C60" t="s">
        <v>8</v>
      </c>
      <c r="E60" s="2" t="b">
        <f>FALSE()</f>
        <v>0</v>
      </c>
      <c r="F60" t="b">
        <f t="shared" si="0"/>
        <v>0</v>
      </c>
    </row>
    <row r="61" spans="1:6">
      <c r="A61" t="s">
        <v>143</v>
      </c>
      <c r="B61" t="s">
        <v>148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1"/>
  <sheetViews>
    <sheetView topLeftCell="A31" zoomScaleNormal="100" workbookViewId="0">
      <selection activeCell="F42" sqref="F42"/>
    </sheetView>
  </sheetViews>
  <sheetFormatPr defaultColWidth="8.5703125" defaultRowHeight="15"/>
  <cols>
    <col min="1" max="1" width="44" customWidth="1"/>
    <col min="2" max="2" width="34" customWidth="1"/>
    <col min="5" max="5" width="10.5703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188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82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145</v>
      </c>
      <c r="C6" t="s">
        <v>8</v>
      </c>
      <c r="E6" s="2" t="b">
        <f>FALSE()</f>
        <v>0</v>
      </c>
      <c r="F6" t="b">
        <f t="shared" si="0"/>
        <v>0</v>
      </c>
    </row>
    <row r="7" spans="1:6">
      <c r="A7" t="s">
        <v>37</v>
      </c>
      <c r="B7" t="s">
        <v>189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190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191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192</v>
      </c>
      <c r="C12" t="s">
        <v>8</v>
      </c>
      <c r="E12" s="2" t="b">
        <f>FALSE()</f>
        <v>0</v>
      </c>
      <c r="F12" t="b">
        <f t="shared" si="0"/>
        <v>0</v>
      </c>
    </row>
    <row r="13" spans="1:6">
      <c r="A13" t="s">
        <v>50</v>
      </c>
      <c r="B13" t="s">
        <v>74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193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194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149</v>
      </c>
      <c r="C18" t="s">
        <v>8</v>
      </c>
      <c r="E18" s="2" t="b">
        <f>FALSE()</f>
        <v>0</v>
      </c>
      <c r="F18" t="b">
        <f t="shared" si="0"/>
        <v>0</v>
      </c>
    </row>
    <row r="19" spans="1:6">
      <c r="A19" t="s">
        <v>62</v>
      </c>
      <c r="B19" t="s">
        <v>148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161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195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150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73</v>
      </c>
      <c r="B25" t="s">
        <v>148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196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197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151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84</v>
      </c>
      <c r="B31" t="s">
        <v>85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91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92</v>
      </c>
      <c r="B35" t="s">
        <v>198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94</v>
      </c>
      <c r="B36" t="s">
        <v>199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96</v>
      </c>
      <c r="B37" t="s">
        <v>97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99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100</v>
      </c>
      <c r="B39" t="s">
        <v>200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201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202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155</v>
      </c>
      <c r="C42" t="s">
        <v>8</v>
      </c>
      <c r="E42" s="2" t="b">
        <f>FALSE()</f>
        <v>0</v>
      </c>
      <c r="F42" t="b">
        <f t="shared" si="0"/>
        <v>0</v>
      </c>
    </row>
    <row r="43" spans="1:6">
      <c r="A43" t="s">
        <v>108</v>
      </c>
      <c r="B43" t="s">
        <v>148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113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203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204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185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124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205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206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184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131</v>
      </c>
      <c r="B55" t="s">
        <v>120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136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137</v>
      </c>
      <c r="B58" t="s">
        <v>207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208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209</v>
      </c>
      <c r="C60" t="b">
        <f>TRUE()</f>
        <v>1</v>
      </c>
      <c r="E60" t="b">
        <f>TRUE()</f>
        <v>1</v>
      </c>
      <c r="F60" t="b">
        <f t="shared" si="0"/>
        <v>1</v>
      </c>
    </row>
    <row r="61" spans="1:6">
      <c r="A61" t="s">
        <v>143</v>
      </c>
      <c r="B61" t="s">
        <v>144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1"/>
  <sheetViews>
    <sheetView topLeftCell="A25" zoomScaleNormal="100" workbookViewId="0">
      <selection activeCell="F57" sqref="F57"/>
    </sheetView>
  </sheetViews>
  <sheetFormatPr defaultColWidth="8.5703125" defaultRowHeight="15"/>
  <cols>
    <col min="1" max="1" width="44.140625" customWidth="1"/>
    <col min="2" max="2" width="30.7109375" customWidth="1"/>
    <col min="5" max="5" width="12.710937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31</v>
      </c>
      <c r="B4" t="s">
        <v>210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33</v>
      </c>
      <c r="B5" t="s">
        <v>211</v>
      </c>
      <c r="C5" t="b">
        <f>FALSE()</f>
        <v>0</v>
      </c>
      <c r="E5" t="b">
        <f>FALSE()</f>
        <v>0</v>
      </c>
      <c r="F5" t="b">
        <f t="shared" si="0"/>
        <v>1</v>
      </c>
    </row>
    <row r="6" spans="1:6">
      <c r="A6" t="s">
        <v>35</v>
      </c>
      <c r="B6" t="s">
        <v>212</v>
      </c>
      <c r="C6" t="s">
        <v>8</v>
      </c>
      <c r="E6" s="2" t="b">
        <f>FALSE()</f>
        <v>0</v>
      </c>
      <c r="F6" t="b">
        <f t="shared" si="0"/>
        <v>0</v>
      </c>
    </row>
    <row r="7" spans="1:6">
      <c r="A7" t="s">
        <v>37</v>
      </c>
      <c r="B7" t="s">
        <v>146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190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191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47</v>
      </c>
      <c r="B12" t="s">
        <v>192</v>
      </c>
      <c r="C12" t="s">
        <v>8</v>
      </c>
      <c r="E12" s="2" t="b">
        <f>FALSE()</f>
        <v>0</v>
      </c>
      <c r="F12" t="b">
        <f t="shared" si="0"/>
        <v>0</v>
      </c>
    </row>
    <row r="13" spans="1:6">
      <c r="A13" t="s">
        <v>50</v>
      </c>
      <c r="B13" t="s">
        <v>148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52</v>
      </c>
      <c r="B14" t="s">
        <v>53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54</v>
      </c>
      <c r="B15" t="s">
        <v>55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56</v>
      </c>
      <c r="B16" t="s">
        <v>193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58</v>
      </c>
      <c r="B17" t="s">
        <v>194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60</v>
      </c>
      <c r="B18" t="s">
        <v>213</v>
      </c>
      <c r="C18" t="b">
        <f>FALSE()</f>
        <v>0</v>
      </c>
      <c r="E18" t="b">
        <f>FALSE()</f>
        <v>0</v>
      </c>
      <c r="F18" t="b">
        <f t="shared" si="0"/>
        <v>1</v>
      </c>
    </row>
    <row r="19" spans="1:6">
      <c r="A19" t="s">
        <v>62</v>
      </c>
      <c r="B19" t="s">
        <v>146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64</v>
      </c>
      <c r="B20" t="s">
        <v>65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66</v>
      </c>
      <c r="B21" t="s">
        <v>67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68</v>
      </c>
      <c r="B22" t="s">
        <v>161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70</v>
      </c>
      <c r="B23" t="s">
        <v>195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71</v>
      </c>
      <c r="B24" t="s">
        <v>150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73</v>
      </c>
      <c r="B25" t="s">
        <v>148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75</v>
      </c>
      <c r="B26" t="s">
        <v>76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77</v>
      </c>
      <c r="B27" t="s">
        <v>78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79</v>
      </c>
      <c r="B28" t="s">
        <v>214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81</v>
      </c>
      <c r="B29" t="s">
        <v>197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83</v>
      </c>
      <c r="B30" t="s">
        <v>215</v>
      </c>
      <c r="C30" t="s">
        <v>8</v>
      </c>
      <c r="E30" s="2" t="b">
        <f>FALSE()</f>
        <v>0</v>
      </c>
      <c r="F30" t="b">
        <f t="shared" si="0"/>
        <v>0</v>
      </c>
    </row>
    <row r="31" spans="1:6">
      <c r="A31" t="s">
        <v>84</v>
      </c>
      <c r="B31" t="s">
        <v>146</v>
      </c>
      <c r="C31" t="b">
        <f>FALSE()</f>
        <v>0</v>
      </c>
      <c r="E31" t="b">
        <f>FALSE()</f>
        <v>0</v>
      </c>
      <c r="F31" t="b">
        <f t="shared" si="0"/>
        <v>1</v>
      </c>
    </row>
    <row r="32" spans="1:6">
      <c r="A32" t="s">
        <v>86</v>
      </c>
      <c r="B32" t="s">
        <v>87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88</v>
      </c>
      <c r="B33" t="s">
        <v>89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90</v>
      </c>
      <c r="B34" t="s">
        <v>91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92</v>
      </c>
      <c r="B35" t="s">
        <v>198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94</v>
      </c>
      <c r="B36" t="s">
        <v>216</v>
      </c>
      <c r="C36" t="s">
        <v>8</v>
      </c>
      <c r="E36" s="2" t="b">
        <f>FALSE()</f>
        <v>0</v>
      </c>
      <c r="F36" t="b">
        <f t="shared" si="0"/>
        <v>0</v>
      </c>
    </row>
    <row r="37" spans="1:6">
      <c r="A37" t="s">
        <v>96</v>
      </c>
      <c r="B37" t="s">
        <v>148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98</v>
      </c>
      <c r="B38" t="s">
        <v>99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100</v>
      </c>
      <c r="B39" t="s">
        <v>200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102</v>
      </c>
      <c r="B40" t="s">
        <v>201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104</v>
      </c>
      <c r="B41" t="s">
        <v>202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106</v>
      </c>
      <c r="B42" t="s">
        <v>155</v>
      </c>
      <c r="C42" t="s">
        <v>8</v>
      </c>
      <c r="E42" s="2" t="b">
        <f>FALSE()</f>
        <v>0</v>
      </c>
      <c r="F42" t="b">
        <f t="shared" si="0"/>
        <v>0</v>
      </c>
    </row>
    <row r="43" spans="1:6">
      <c r="A43" t="s">
        <v>108</v>
      </c>
      <c r="B43" t="s">
        <v>217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110</v>
      </c>
      <c r="B44" t="s">
        <v>111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112</v>
      </c>
      <c r="B45" t="s">
        <v>218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114</v>
      </c>
      <c r="B46" t="s">
        <v>203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115</v>
      </c>
      <c r="B47" t="s">
        <v>204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117</v>
      </c>
      <c r="B48" t="s">
        <v>219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119</v>
      </c>
      <c r="B49" t="s">
        <v>120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121</v>
      </c>
      <c r="B50" t="s">
        <v>122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123</v>
      </c>
      <c r="B51" t="s">
        <v>220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125</v>
      </c>
      <c r="B52" t="s">
        <v>205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127</v>
      </c>
      <c r="B53" t="s">
        <v>206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129</v>
      </c>
      <c r="B54" t="s">
        <v>221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131</v>
      </c>
      <c r="B55" t="s">
        <v>222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133</v>
      </c>
      <c r="B56" t="s">
        <v>134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135</v>
      </c>
      <c r="B57" t="s">
        <v>223</v>
      </c>
      <c r="C57" t="s">
        <v>8</v>
      </c>
      <c r="E57" s="2" t="b">
        <f>FALSE()</f>
        <v>0</v>
      </c>
      <c r="F57" t="b">
        <f t="shared" si="0"/>
        <v>0</v>
      </c>
    </row>
    <row r="58" spans="1:6">
      <c r="A58" t="s">
        <v>137</v>
      </c>
      <c r="B58" t="s">
        <v>207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139</v>
      </c>
      <c r="B59" t="s">
        <v>208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141</v>
      </c>
      <c r="B60" t="s">
        <v>224</v>
      </c>
      <c r="C60" t="s">
        <v>8</v>
      </c>
      <c r="E60" s="2" t="b">
        <f>FALSE()</f>
        <v>0</v>
      </c>
      <c r="F60" t="b">
        <f t="shared" si="0"/>
        <v>0</v>
      </c>
    </row>
    <row r="61" spans="1:6">
      <c r="A61" t="s">
        <v>143</v>
      </c>
      <c r="B61" t="s">
        <v>148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7</cp:revision>
  <dcterms:created xsi:type="dcterms:W3CDTF">2026-06-18T12:43:12Z</dcterms:created>
  <dcterms:modified xsi:type="dcterms:W3CDTF">2026-09-16T13:02:28Z</dcterms:modified>
  <cp:category/>
  <cp:contentStatus/>
</cp:coreProperties>
</file>