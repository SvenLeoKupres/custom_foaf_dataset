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5" documentId="11_1BA5A3CF526B2B8008894700E85E0F1A86112717" xr6:coauthVersionLast="47" xr6:coauthVersionMax="47" xr10:uidLastSave="{8F5FBD82-8DA9-4822-BE98-019019800DEF}"/>
  <bookViews>
    <workbookView xWindow="0" yWindow="0" windowWidth="16384" windowHeight="8192" tabRatio="500" firstSheet="3" xr2:uid="{00000000-000D-0000-FFFF-FFFF00000000}"/>
  </bookViews>
  <sheets>
    <sheet name="kappa" sheetId="5" r:id="rId1"/>
    <sheet name="people6" sheetId="1" r:id="rId2"/>
    <sheet name="people10" sheetId="2" r:id="rId3"/>
    <sheet name="people14" sheetId="3" r:id="rId4"/>
    <sheet name="people20" sheetId="4" r:id="rId5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5" l="1"/>
  <c r="H15" i="5"/>
  <c r="G15" i="5"/>
  <c r="D15" i="5"/>
  <c r="C15" i="5"/>
  <c r="B15" i="5"/>
  <c r="I14" i="5"/>
  <c r="H14" i="5"/>
  <c r="G14" i="5"/>
  <c r="D14" i="5"/>
  <c r="C14" i="5"/>
  <c r="B14" i="5"/>
  <c r="I13" i="5"/>
  <c r="H13" i="5"/>
  <c r="G13" i="5"/>
  <c r="D13" i="5"/>
  <c r="C13" i="5"/>
  <c r="B13" i="5"/>
  <c r="I5" i="5"/>
  <c r="H5" i="5"/>
  <c r="G5" i="5"/>
  <c r="D5" i="5"/>
  <c r="D25" i="5" s="1"/>
  <c r="C5" i="5"/>
  <c r="C25" i="5" s="1"/>
  <c r="B5" i="5"/>
  <c r="B25" i="5" s="1"/>
  <c r="I4" i="5"/>
  <c r="H4" i="5"/>
  <c r="G4" i="5"/>
  <c r="D4" i="5"/>
  <c r="D24" i="5" s="1"/>
  <c r="C4" i="5"/>
  <c r="C24" i="5" s="1"/>
  <c r="B4" i="5"/>
  <c r="B24" i="5" s="1"/>
  <c r="I3" i="5"/>
  <c r="H3" i="5"/>
  <c r="G3" i="5"/>
  <c r="D3" i="5"/>
  <c r="D23" i="5" s="1"/>
  <c r="C3" i="5"/>
  <c r="C23" i="5" s="1"/>
  <c r="B3" i="5"/>
  <c r="E85" i="3"/>
  <c r="C85" i="3"/>
  <c r="E84" i="3"/>
  <c r="C84" i="3"/>
  <c r="E83" i="3"/>
  <c r="C83" i="3"/>
  <c r="E82" i="3"/>
  <c r="C82" i="3"/>
  <c r="E81" i="3"/>
  <c r="C81" i="3"/>
  <c r="E80" i="3"/>
  <c r="C80" i="3"/>
  <c r="E79" i="3"/>
  <c r="C79" i="3"/>
  <c r="E78" i="3"/>
  <c r="C78" i="3"/>
  <c r="E77" i="3"/>
  <c r="C77" i="3"/>
  <c r="E76" i="3"/>
  <c r="C76" i="3"/>
  <c r="E75" i="3"/>
  <c r="C75" i="3"/>
  <c r="E74" i="3"/>
  <c r="C74" i="3"/>
  <c r="E73" i="3"/>
  <c r="C73" i="3"/>
  <c r="E72" i="3"/>
  <c r="C72" i="3"/>
  <c r="E71" i="3"/>
  <c r="C71" i="3"/>
  <c r="E70" i="3"/>
  <c r="C70" i="3"/>
  <c r="E69" i="3"/>
  <c r="C69" i="3"/>
  <c r="E68" i="3"/>
  <c r="C68" i="3"/>
  <c r="E67" i="3"/>
  <c r="C67" i="3"/>
  <c r="E65" i="3"/>
  <c r="C65" i="3"/>
  <c r="E64" i="3"/>
  <c r="C64" i="3"/>
  <c r="E63" i="3"/>
  <c r="C63" i="3"/>
  <c r="E62" i="3"/>
  <c r="C62" i="3"/>
  <c r="E61" i="3"/>
  <c r="C61" i="3"/>
  <c r="E60" i="3"/>
  <c r="C60" i="3"/>
  <c r="E59" i="3"/>
  <c r="C59" i="3"/>
  <c r="E58" i="3"/>
  <c r="C58" i="3"/>
  <c r="E57" i="3"/>
  <c r="C57" i="3"/>
  <c r="E56" i="3"/>
  <c r="C56" i="3"/>
  <c r="E55" i="3"/>
  <c r="C55" i="3"/>
  <c r="E54" i="3"/>
  <c r="C54" i="3"/>
  <c r="E53" i="3"/>
  <c r="C53" i="3"/>
  <c r="E52" i="3"/>
  <c r="C52" i="3"/>
  <c r="E51" i="3"/>
  <c r="C51" i="3"/>
  <c r="E50" i="3"/>
  <c r="C50" i="3"/>
  <c r="E49" i="3"/>
  <c r="C49" i="3"/>
  <c r="E48" i="3"/>
  <c r="C48" i="3"/>
  <c r="E47" i="3"/>
  <c r="C47" i="3"/>
  <c r="E46" i="3"/>
  <c r="C46" i="3"/>
  <c r="E45" i="3"/>
  <c r="C45" i="3"/>
  <c r="E44" i="3"/>
  <c r="C44" i="3"/>
  <c r="E43" i="3"/>
  <c r="C43" i="3"/>
  <c r="E42" i="3"/>
  <c r="C42" i="3"/>
  <c r="E41" i="3"/>
  <c r="C41" i="3"/>
  <c r="E40" i="3"/>
  <c r="C40" i="3"/>
  <c r="E39" i="3"/>
  <c r="C39" i="3"/>
  <c r="E38" i="3"/>
  <c r="C38" i="3"/>
  <c r="E37" i="3"/>
  <c r="C37" i="3"/>
  <c r="E36" i="3"/>
  <c r="C36" i="3"/>
  <c r="E35" i="3"/>
  <c r="C35" i="3"/>
  <c r="E34" i="3"/>
  <c r="C34" i="3"/>
  <c r="E33" i="3"/>
  <c r="C33" i="3"/>
  <c r="E32" i="3"/>
  <c r="C32" i="3"/>
  <c r="E31" i="3"/>
  <c r="C31" i="3"/>
  <c r="E30" i="3"/>
  <c r="C30" i="3"/>
  <c r="E29" i="3"/>
  <c r="C29" i="3"/>
  <c r="E28" i="3"/>
  <c r="C28" i="3"/>
  <c r="E27" i="3"/>
  <c r="C27" i="3"/>
  <c r="E26" i="3"/>
  <c r="C26" i="3"/>
  <c r="E25" i="3"/>
  <c r="C25" i="3"/>
  <c r="E24" i="3"/>
  <c r="C24" i="3"/>
  <c r="E23" i="3"/>
  <c r="C23" i="3"/>
  <c r="E22" i="3"/>
  <c r="C22" i="3"/>
  <c r="E21" i="3"/>
  <c r="C21" i="3"/>
  <c r="E20" i="3"/>
  <c r="C20" i="3"/>
  <c r="E19" i="3"/>
  <c r="C19" i="3"/>
  <c r="E18" i="3"/>
  <c r="C18" i="3"/>
  <c r="E17" i="3"/>
  <c r="C17" i="3"/>
  <c r="E16" i="3"/>
  <c r="C16" i="3"/>
  <c r="E15" i="3"/>
  <c r="C15" i="3"/>
  <c r="E14" i="3"/>
  <c r="C14" i="3"/>
  <c r="E13" i="3"/>
  <c r="C13" i="3"/>
  <c r="E12" i="3"/>
  <c r="C12" i="3"/>
  <c r="E11" i="3"/>
  <c r="C11" i="3"/>
  <c r="E10" i="3"/>
  <c r="C10" i="3"/>
  <c r="E9" i="3"/>
  <c r="C9" i="3"/>
  <c r="E8" i="3"/>
  <c r="C8" i="3"/>
  <c r="E7" i="3"/>
  <c r="C7" i="3"/>
  <c r="E6" i="3"/>
  <c r="C6" i="3"/>
  <c r="E5" i="3"/>
  <c r="C5" i="3"/>
  <c r="E4" i="3"/>
  <c r="C4" i="3"/>
  <c r="E3" i="3"/>
  <c r="C3" i="3"/>
  <c r="E2" i="3"/>
  <c r="C2" i="3"/>
  <c r="E61" i="2"/>
  <c r="C61" i="2"/>
  <c r="E60" i="2"/>
  <c r="C60" i="2"/>
  <c r="E59" i="2"/>
  <c r="C59" i="2"/>
  <c r="E58" i="2"/>
  <c r="C58" i="2"/>
  <c r="E57" i="2"/>
  <c r="C57" i="2"/>
  <c r="E56" i="2"/>
  <c r="C56" i="2"/>
  <c r="E55" i="2"/>
  <c r="C55" i="2"/>
  <c r="E54" i="2"/>
  <c r="C54" i="2"/>
  <c r="E53" i="2"/>
  <c r="C53" i="2"/>
  <c r="E52" i="2"/>
  <c r="C52" i="2"/>
  <c r="E51" i="2"/>
  <c r="C51" i="2"/>
  <c r="E50" i="2"/>
  <c r="C50" i="2"/>
  <c r="E49" i="2"/>
  <c r="C49" i="2"/>
  <c r="E48" i="2"/>
  <c r="C48" i="2"/>
  <c r="E47" i="2"/>
  <c r="C47" i="2"/>
  <c r="E46" i="2"/>
  <c r="C46" i="2"/>
  <c r="E45" i="2"/>
  <c r="C45" i="2"/>
  <c r="E44" i="2"/>
  <c r="C44" i="2"/>
  <c r="E43" i="2"/>
  <c r="C43" i="2"/>
  <c r="E42" i="2"/>
  <c r="C42" i="2"/>
  <c r="E41" i="2"/>
  <c r="C41" i="2"/>
  <c r="E40" i="2"/>
  <c r="C40" i="2"/>
  <c r="E39" i="2"/>
  <c r="C39" i="2"/>
  <c r="E38" i="2"/>
  <c r="C38" i="2"/>
  <c r="E37" i="2"/>
  <c r="C37" i="2"/>
  <c r="E36" i="2"/>
  <c r="C36" i="2"/>
  <c r="E35" i="2"/>
  <c r="C35" i="2"/>
  <c r="E34" i="2"/>
  <c r="C34" i="2"/>
  <c r="E33" i="2"/>
  <c r="C33" i="2"/>
  <c r="E32" i="2"/>
  <c r="C32" i="2"/>
  <c r="E31" i="2"/>
  <c r="C31" i="2"/>
  <c r="E30" i="2"/>
  <c r="C30" i="2"/>
  <c r="E29" i="2"/>
  <c r="C29" i="2"/>
  <c r="E28" i="2"/>
  <c r="C28" i="2"/>
  <c r="E27" i="2"/>
  <c r="C27" i="2"/>
  <c r="E26" i="2"/>
  <c r="C26" i="2"/>
  <c r="E25" i="2"/>
  <c r="C25" i="2"/>
  <c r="E24" i="2"/>
  <c r="C24" i="2"/>
  <c r="E23" i="2"/>
  <c r="C23" i="2"/>
  <c r="E22" i="2"/>
  <c r="C22" i="2"/>
  <c r="E21" i="2"/>
  <c r="C21" i="2"/>
  <c r="E20" i="2"/>
  <c r="C20" i="2"/>
  <c r="E19" i="2"/>
  <c r="C19" i="2"/>
  <c r="E18" i="2"/>
  <c r="C18" i="2"/>
  <c r="E17" i="2"/>
  <c r="C17" i="2"/>
  <c r="E16" i="2"/>
  <c r="C16" i="2"/>
  <c r="E15" i="2"/>
  <c r="C15" i="2"/>
  <c r="E14" i="2"/>
  <c r="C14" i="2"/>
  <c r="E13" i="2"/>
  <c r="C13" i="2"/>
  <c r="E12" i="2"/>
  <c r="C12" i="2"/>
  <c r="E11" i="2"/>
  <c r="C11" i="2"/>
  <c r="E10" i="2"/>
  <c r="C10" i="2"/>
  <c r="E9" i="2"/>
  <c r="C9" i="2"/>
  <c r="E8" i="2"/>
  <c r="C8" i="2"/>
  <c r="E7" i="2"/>
  <c r="C7" i="2"/>
  <c r="E6" i="2"/>
  <c r="C6" i="2"/>
  <c r="E5" i="2"/>
  <c r="C5" i="2"/>
  <c r="E4" i="2"/>
  <c r="C4" i="2"/>
  <c r="E3" i="2"/>
  <c r="C3" i="2"/>
  <c r="E2" i="2"/>
  <c r="C2" i="2"/>
  <c r="E37" i="1"/>
  <c r="C37" i="1"/>
  <c r="E36" i="1"/>
  <c r="C36" i="1"/>
  <c r="E35" i="1"/>
  <c r="C35" i="1"/>
  <c r="E34" i="1"/>
  <c r="C34" i="1"/>
  <c r="E33" i="1"/>
  <c r="C33" i="1"/>
  <c r="E32" i="1"/>
  <c r="C32" i="1"/>
  <c r="E31" i="1"/>
  <c r="C31" i="1"/>
  <c r="E30" i="1"/>
  <c r="C30" i="1"/>
  <c r="E29" i="1"/>
  <c r="C29" i="1"/>
  <c r="E28" i="1"/>
  <c r="C28" i="1"/>
  <c r="E27" i="1"/>
  <c r="C27" i="1"/>
  <c r="E26" i="1"/>
  <c r="C26" i="1"/>
  <c r="E25" i="1"/>
  <c r="C25" i="1"/>
  <c r="E24" i="1"/>
  <c r="C24" i="1"/>
  <c r="E23" i="1"/>
  <c r="C23" i="1"/>
  <c r="E22" i="1"/>
  <c r="C22" i="1"/>
  <c r="E21" i="1"/>
  <c r="C21" i="1"/>
  <c r="E20" i="1"/>
  <c r="C20" i="1"/>
  <c r="E19" i="1"/>
  <c r="C19" i="1"/>
  <c r="E18" i="1"/>
  <c r="C18" i="1"/>
  <c r="E17" i="1"/>
  <c r="C17" i="1"/>
  <c r="E16" i="1"/>
  <c r="C16" i="1"/>
  <c r="E15" i="1"/>
  <c r="C15" i="1"/>
  <c r="E14" i="1"/>
  <c r="C14" i="1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5" i="1"/>
  <c r="C5" i="1"/>
  <c r="E4" i="1"/>
  <c r="C4" i="1"/>
  <c r="E3" i="1"/>
  <c r="C3" i="1"/>
  <c r="E2" i="1"/>
  <c r="C2" i="1"/>
  <c r="E121" i="4"/>
  <c r="C121" i="4"/>
  <c r="E120" i="4"/>
  <c r="C120" i="4"/>
  <c r="E119" i="4"/>
  <c r="C119" i="4"/>
  <c r="E118" i="4"/>
  <c r="C118" i="4"/>
  <c r="E117" i="4"/>
  <c r="C117" i="4"/>
  <c r="E116" i="4"/>
  <c r="C116" i="4"/>
  <c r="E115" i="4"/>
  <c r="C115" i="4"/>
  <c r="E114" i="4"/>
  <c r="C114" i="4"/>
  <c r="E113" i="4"/>
  <c r="C113" i="4"/>
  <c r="E112" i="4"/>
  <c r="C112" i="4"/>
  <c r="E111" i="4"/>
  <c r="C111" i="4"/>
  <c r="E110" i="4"/>
  <c r="C110" i="4"/>
  <c r="E109" i="4"/>
  <c r="C109" i="4"/>
  <c r="E108" i="4"/>
  <c r="C108" i="4"/>
  <c r="E107" i="4"/>
  <c r="C107" i="4"/>
  <c r="E106" i="4"/>
  <c r="C106" i="4"/>
  <c r="E105" i="4"/>
  <c r="C105" i="4"/>
  <c r="E104" i="4"/>
  <c r="C104" i="4"/>
  <c r="E103" i="4"/>
  <c r="C103" i="4"/>
  <c r="E102" i="4"/>
  <c r="C102" i="4"/>
  <c r="E101" i="4"/>
  <c r="C101" i="4"/>
  <c r="E100" i="4"/>
  <c r="C100" i="4"/>
  <c r="E99" i="4"/>
  <c r="C99" i="4"/>
  <c r="E98" i="4"/>
  <c r="C98" i="4"/>
  <c r="E97" i="4"/>
  <c r="C97" i="4"/>
  <c r="E96" i="4"/>
  <c r="C96" i="4"/>
  <c r="E95" i="4"/>
  <c r="C95" i="4"/>
  <c r="E94" i="4"/>
  <c r="C94" i="4"/>
  <c r="E93" i="4"/>
  <c r="C93" i="4"/>
  <c r="E92" i="4"/>
  <c r="C92" i="4"/>
  <c r="E91" i="4"/>
  <c r="C91" i="4"/>
  <c r="E90" i="4"/>
  <c r="C90" i="4"/>
  <c r="E89" i="4"/>
  <c r="C89" i="4"/>
  <c r="E88" i="4"/>
  <c r="C88" i="4"/>
  <c r="E87" i="4"/>
  <c r="C87" i="4"/>
  <c r="E86" i="4"/>
  <c r="C86" i="4"/>
  <c r="E85" i="4"/>
  <c r="C85" i="4"/>
  <c r="E84" i="4"/>
  <c r="C84" i="4"/>
  <c r="E83" i="4"/>
  <c r="C83" i="4"/>
  <c r="E82" i="4"/>
  <c r="C82" i="4"/>
  <c r="E81" i="4"/>
  <c r="C81" i="4"/>
  <c r="E80" i="4"/>
  <c r="C80" i="4"/>
  <c r="E79" i="4"/>
  <c r="C79" i="4"/>
  <c r="E78" i="4"/>
  <c r="C78" i="4"/>
  <c r="E77" i="4"/>
  <c r="C77" i="4"/>
  <c r="E76" i="4"/>
  <c r="C76" i="4"/>
  <c r="E75" i="4"/>
  <c r="C75" i="4"/>
  <c r="E74" i="4"/>
  <c r="C74" i="4"/>
  <c r="E73" i="4"/>
  <c r="C73" i="4"/>
  <c r="E72" i="4"/>
  <c r="C72" i="4"/>
  <c r="E71" i="4"/>
  <c r="C71" i="4"/>
  <c r="E70" i="4"/>
  <c r="C70" i="4"/>
  <c r="E69" i="4"/>
  <c r="C69" i="4"/>
  <c r="E68" i="4"/>
  <c r="C68" i="4"/>
  <c r="E67" i="4"/>
  <c r="C67" i="4"/>
  <c r="E66" i="4"/>
  <c r="C66" i="4"/>
  <c r="E65" i="4"/>
  <c r="C65" i="4"/>
  <c r="E64" i="4"/>
  <c r="C64" i="4"/>
  <c r="E63" i="4"/>
  <c r="C63" i="4"/>
  <c r="E62" i="4"/>
  <c r="C62" i="4"/>
  <c r="E61" i="4"/>
  <c r="C61" i="4"/>
  <c r="E60" i="4"/>
  <c r="C60" i="4"/>
  <c r="E59" i="4"/>
  <c r="C59" i="4"/>
  <c r="E58" i="4"/>
  <c r="C58" i="4"/>
  <c r="E57" i="4"/>
  <c r="C57" i="4"/>
  <c r="E56" i="4"/>
  <c r="C56" i="4"/>
  <c r="E55" i="4"/>
  <c r="C55" i="4"/>
  <c r="E54" i="4"/>
  <c r="C54" i="4"/>
  <c r="E53" i="4"/>
  <c r="C53" i="4"/>
  <c r="E52" i="4"/>
  <c r="C52" i="4"/>
  <c r="E51" i="4"/>
  <c r="C51" i="4"/>
  <c r="E50" i="4"/>
  <c r="C50" i="4"/>
  <c r="E49" i="4"/>
  <c r="C49" i="4"/>
  <c r="E47" i="4"/>
  <c r="C47" i="4"/>
  <c r="E46" i="4"/>
  <c r="C46" i="4"/>
  <c r="E45" i="4"/>
  <c r="C45" i="4"/>
  <c r="E44" i="4"/>
  <c r="C44" i="4"/>
  <c r="E43" i="4"/>
  <c r="C43" i="4"/>
  <c r="E42" i="4"/>
  <c r="C42" i="4"/>
  <c r="E41" i="4"/>
  <c r="C41" i="4"/>
  <c r="E40" i="4"/>
  <c r="C40" i="4"/>
  <c r="E39" i="4"/>
  <c r="C39" i="4"/>
  <c r="E38" i="4"/>
  <c r="C38" i="4"/>
  <c r="E37" i="4"/>
  <c r="C37" i="4"/>
  <c r="E36" i="4"/>
  <c r="C36" i="4"/>
  <c r="E35" i="4"/>
  <c r="C35" i="4"/>
  <c r="E34" i="4"/>
  <c r="C34" i="4"/>
  <c r="E33" i="4"/>
  <c r="C33" i="4"/>
  <c r="E32" i="4"/>
  <c r="C32" i="4"/>
  <c r="E31" i="4"/>
  <c r="C31" i="4"/>
  <c r="E30" i="4"/>
  <c r="C30" i="4"/>
  <c r="E29" i="4"/>
  <c r="C29" i="4"/>
  <c r="E28" i="4"/>
  <c r="C28" i="4"/>
  <c r="E27" i="4"/>
  <c r="C27" i="4"/>
  <c r="E26" i="4"/>
  <c r="C26" i="4"/>
  <c r="E25" i="4"/>
  <c r="C25" i="4"/>
  <c r="E24" i="4"/>
  <c r="C24" i="4"/>
  <c r="E23" i="4"/>
  <c r="C23" i="4"/>
  <c r="E22" i="4"/>
  <c r="C22" i="4"/>
  <c r="E21" i="4"/>
  <c r="C21" i="4"/>
  <c r="E20" i="4"/>
  <c r="C20" i="4"/>
  <c r="E19" i="4"/>
  <c r="C19" i="4"/>
  <c r="E18" i="4"/>
  <c r="C18" i="4"/>
  <c r="E17" i="4"/>
  <c r="C17" i="4"/>
  <c r="E16" i="4"/>
  <c r="C16" i="4"/>
  <c r="E15" i="4"/>
  <c r="C15" i="4"/>
  <c r="E14" i="4"/>
  <c r="C14" i="4"/>
  <c r="E13" i="4"/>
  <c r="C13" i="4"/>
  <c r="E12" i="4"/>
  <c r="C12" i="4"/>
  <c r="E11" i="4"/>
  <c r="C11" i="4"/>
  <c r="E10" i="4"/>
  <c r="C10" i="4"/>
  <c r="E9" i="4"/>
  <c r="C9" i="4"/>
  <c r="E8" i="4"/>
  <c r="C8" i="4"/>
  <c r="E7" i="4"/>
  <c r="C7" i="4"/>
  <c r="E6" i="4"/>
  <c r="C6" i="4"/>
  <c r="E5" i="4"/>
  <c r="C5" i="4"/>
  <c r="E4" i="4"/>
  <c r="C4" i="4"/>
  <c r="E3" i="4"/>
  <c r="C3" i="4"/>
  <c r="E2" i="4"/>
  <c r="C2" i="4"/>
  <c r="B23" i="5" l="1"/>
  <c r="B6" i="5"/>
  <c r="G6" i="5"/>
  <c r="B16" i="5"/>
  <c r="G16" i="5"/>
  <c r="G18" i="5" l="1"/>
  <c r="G17" i="5"/>
  <c r="G19" i="5" s="1"/>
  <c r="B18" i="5"/>
  <c r="B17" i="5"/>
  <c r="B19" i="5" s="1"/>
  <c r="G8" i="5"/>
  <c r="G7" i="5"/>
  <c r="G9" i="5" s="1"/>
  <c r="B8" i="5"/>
  <c r="B7" i="5"/>
  <c r="B9" i="5" s="1"/>
  <c r="B26" i="5"/>
  <c r="B28" i="5" l="1"/>
  <c r="B27" i="5"/>
  <c r="B29" i="5" s="1"/>
</calcChain>
</file>

<file path=xl/sharedStrings.xml><?xml version="1.0" encoding="utf-8"?>
<sst xmlns="http://schemas.openxmlformats.org/spreadsheetml/2006/main" count="659" uniqueCount="300">
  <si>
    <t>people6</t>
  </si>
  <si>
    <t>people10</t>
  </si>
  <si>
    <t>half true</t>
  </si>
  <si>
    <t>N</t>
  </si>
  <si>
    <t>Po</t>
  </si>
  <si>
    <t>Pe</t>
  </si>
  <si>
    <t>Kappa</t>
  </si>
  <si>
    <t>people14</t>
  </si>
  <si>
    <t>people20</t>
  </si>
  <si>
    <t>OVERALL</t>
  </si>
  <si>
    <t>prompt</t>
  </si>
  <si>
    <t>answer</t>
  </si>
  <si>
    <t>validity</t>
  </si>
  <si>
    <t>note</t>
  </si>
  <si>
    <t>validity_ds</t>
  </si>
  <si>
    <t>What is *Saša Škrtić*'s first name?</t>
  </si>
  <si>
    <t>Saša</t>
  </si>
  <si>
    <t>What is *Saša Škrtić*'s last name?</t>
  </si>
  <si>
    <t>Škrtić.</t>
  </si>
  <si>
    <t>What is *Saša Škrtić*'s age?</t>
  </si>
  <si>
    <t>I don't have the current information on *Saša Škrtić*'s age.</t>
  </si>
  <si>
    <t>What is *Saša Škrtić*'s gender?</t>
  </si>
  <si>
    <t>MALE.</t>
  </si>
  <si>
    <t>List all *Saša Škrtić*'s friends.</t>
  </si>
  <si>
    <t>I couldn't find any information about *Saša Škrtić*'s friends.</t>
  </si>
  <si>
    <t>How many friends does *Saša Škrtić* have?</t>
  </si>
  <si>
    <t>I couldn't find any information on the number of friends *Saša Škrtić*</t>
  </si>
  <si>
    <t>What is *Duje Ravlić*'s first name?</t>
  </si>
  <si>
    <t>Duje.</t>
  </si>
  <si>
    <t>What is *Duje Ravlić*'s last name?</t>
  </si>
  <si>
    <t>Ravlić.</t>
  </si>
  <si>
    <t>What is *Duje Ravlić*'s age?</t>
  </si>
  <si>
    <t>I couldn't find Duje Ravlić's current age.</t>
  </si>
  <si>
    <t>What is *Duje Ravlić*'s gender?</t>
  </si>
  <si>
    <t>List all *Duje Ravlić*'s friends.</t>
  </si>
  <si>
    <t>I couldn't find any publicly available information on Duje Ravlić's friends.</t>
  </si>
  <si>
    <t>How many friends does *Duje Ravlić* have?</t>
  </si>
  <si>
    <t>I couldn't find any information on the number of friends Duje Ravlić has.</t>
  </si>
  <si>
    <t>What is *Eduard Tutić*'s first name?</t>
  </si>
  <si>
    <t>Eduard.</t>
  </si>
  <si>
    <t>What is *Eduard Tutić*'s last name?</t>
  </si>
  <si>
    <t>Tutić.</t>
  </si>
  <si>
    <t>What is *Eduard Tutić*'s age?</t>
  </si>
  <si>
    <t>I don't have information on Eduard Tutić's age.</t>
  </si>
  <si>
    <t>What is *Eduard Tutić*'s gender?</t>
  </si>
  <si>
    <t>List all *Eduard Tutić*'s friends.</t>
  </si>
  <si>
    <t>I couldn't find any publicly available information on Eduard Tutić's friends.</t>
  </si>
  <si>
    <t>How many friends does *Eduard Tutić* have?</t>
  </si>
  <si>
    <t>I couldn't find any information on Eduard Tutić's friend count.</t>
  </si>
  <si>
    <t>What is *Jagoda Draženović*'s first name?</t>
  </si>
  <si>
    <t>Jagoda's first name is Draženović.</t>
  </si>
  <si>
    <t>What is *Jagoda Draženović*'s last name?</t>
  </si>
  <si>
    <t>Draženović.</t>
  </si>
  <si>
    <t>What is *Jagoda Draženović*'s age?</t>
  </si>
  <si>
    <t>I don't have information on Jagoda Draženović's age.</t>
  </si>
  <si>
    <t>What is *Jagoda Draženović*'s gender?</t>
  </si>
  <si>
    <t>FEMALE.</t>
  </si>
  <si>
    <t>List all *Jagoda Draženović*'s friends.</t>
  </si>
  <si>
    <t>I couldn't find any information on a person named *Jagoda Draženović*.</t>
  </si>
  <si>
    <t>How many friends does *Jagoda Draženović* have?</t>
  </si>
  <si>
    <t>I couldn't find any information on the number of friends Jagoda Draženović has.</t>
  </si>
  <si>
    <t>What is *Monika Rimac*'s first name?</t>
  </si>
  <si>
    <t>Monika</t>
  </si>
  <si>
    <t>What is *Monika Rimac*'s last name?</t>
  </si>
  <si>
    <t>Rimac.</t>
  </si>
  <si>
    <t>What is *Monika Rimac*'s age?</t>
  </si>
  <si>
    <t>I couldn't find any public information on Monika Rimac's age.</t>
  </si>
  <si>
    <t>What is *Monika Rimac*'s gender?</t>
  </si>
  <si>
    <t>List all *Monika Rimac*'s friends.</t>
  </si>
  <si>
    <t>I couldn't find any public information about Monika Rimac's friends.</t>
  </si>
  <si>
    <t>How many friends does *Monika Rimac* have?</t>
  </si>
  <si>
    <t>I couldn't find any information about the number of friends *Monika Rimac* has.</t>
  </si>
  <si>
    <t>What is *Mia Popić*'s first name?</t>
  </si>
  <si>
    <t>Mia.</t>
  </si>
  <si>
    <t>What is *Mia Popić*'s last name?</t>
  </si>
  <si>
    <t>Popić.</t>
  </si>
  <si>
    <t>What is *Mia Popić*'s age?</t>
  </si>
  <si>
    <t>I couldn't find Mia Popić's age.</t>
  </si>
  <si>
    <t>What is *Mia Popić*'s gender?</t>
  </si>
  <si>
    <t>List all *Mia Popić*'s friends.</t>
  </si>
  <si>
    <t>I couldn't find any information on Mia Popić's friends.</t>
  </si>
  <si>
    <t>How many friends does *Mia Popić* have?</t>
  </si>
  <si>
    <t>I couldn't find any information on *Saša Škrtić*'s age.</t>
  </si>
  <si>
    <t>I couldn't find any information on a person named *Saša Škrtić*.</t>
  </si>
  <si>
    <t>I couldn't find the information.</t>
  </si>
  <si>
    <t>I don't have real-time information, but Duje Ravlić was born on February 25</t>
  </si>
  <si>
    <t>I don't have information about Duje Ravlić's friends.</t>
  </si>
  <si>
    <t>I couldn't find any information about the exact number of friends *Duje Ravlić* has</t>
  </si>
  <si>
    <t>Eduard</t>
  </si>
  <si>
    <t>I couldn't find any information on Eduard Tutić's age.</t>
  </si>
  <si>
    <t>Nada Sudar, Monika Rimac, Ivo Čelina, Zoran Goreta</t>
  </si>
  <si>
    <t>I couldn't find any information about Eduard Tutić's friends.</t>
  </si>
  <si>
    <t>What is *Zoran Goreta*'s first name?</t>
  </si>
  <si>
    <t>I couldn't find any information on a person named *Zoran Goreta*.</t>
  </si>
  <si>
    <t>What is *Zoran Goreta*'s last name?</t>
  </si>
  <si>
    <t>Goreta.</t>
  </si>
  <si>
    <t>What is *Zoran Goreta*'s age?</t>
  </si>
  <si>
    <t>What is *Zoran Goreta*'s gender?</t>
  </si>
  <si>
    <t>List all *Zoran Goreta*'s friends.</t>
  </si>
  <si>
    <t>I couldn't find any information on a person named Zoran Goreta.</t>
  </si>
  <si>
    <t>How many friends does *Zoran Goreta* have?</t>
  </si>
  <si>
    <t>I couldn't find any information on Zoran Goreta's friends.</t>
  </si>
  <si>
    <t>What is *Ivo Čelina*'s first name?</t>
  </si>
  <si>
    <t>Ivo.</t>
  </si>
  <si>
    <t>What is *Ivo Čelina*'s last name?</t>
  </si>
  <si>
    <t>Čelina.</t>
  </si>
  <si>
    <t>What is *Ivo Čelina*'s age?</t>
  </si>
  <si>
    <t>I couldn't find any information on *Ivo Čelina*'s age.</t>
  </si>
  <si>
    <t>What is *Ivo Čelina*'s gender?</t>
  </si>
  <si>
    <t>List all *Ivo Čelina*'s friends.</t>
  </si>
  <si>
    <t>I couldn't find any information on Ivo Čelina's friends.</t>
  </si>
  <si>
    <t>How many friends does *Ivo Čelina* have?</t>
  </si>
  <si>
    <t>I don't have that information.</t>
  </si>
  <si>
    <t>I couldn't find the current age of *Jagoda Draženović*.</t>
  </si>
  <si>
    <t>I couldn't find any information about the number of friends Jagoda Draženović has.</t>
  </si>
  <si>
    <t>Monika.</t>
  </si>
  <si>
    <t>I don't have real-time information.</t>
  </si>
  <si>
    <t>I couldn't find any information about a person named Monika Rimac, so I couldn't determine</t>
  </si>
  <si>
    <t>Mia</t>
  </si>
  <si>
    <t>I don't have information on Mia Popić's age.</t>
  </si>
  <si>
    <t>I couldn't find any information about Mia Popić's friends.</t>
  </si>
  <si>
    <t>What is *Nada Sudar*'s first name?</t>
  </si>
  <si>
    <t>Nada.</t>
  </si>
  <si>
    <t>What is *Nada Sudar*'s last name?</t>
  </si>
  <si>
    <t>Sudar.</t>
  </si>
  <si>
    <t>What is *Nada Sudar*'s age?</t>
  </si>
  <si>
    <t>I couldn't find any information on *Nada Sudar*'s age.</t>
  </si>
  <si>
    <t>What is *Nada Sudar*'s gender?</t>
  </si>
  <si>
    <t>List all *Nada Sudar*'s friends.</t>
  </si>
  <si>
    <t>I couldn't find any information on "Nada Sudar's" friends.</t>
  </si>
  <si>
    <t>How many friends does *Nada Sudar* have?</t>
  </si>
  <si>
    <t>I couldn't find any information on *Nada Sudar*.</t>
  </si>
  <si>
    <t>What is *Mirjam Devčić*'s first name?</t>
  </si>
  <si>
    <t>Mirjam.</t>
  </si>
  <si>
    <t>What is *Mirjam Devčić*'s last name?</t>
  </si>
  <si>
    <t>Devčić.</t>
  </si>
  <si>
    <t>What is *Mirjam Devčić*'s age?</t>
  </si>
  <si>
    <t>I couldn't find any information on *Mirjam Devčić*'s age.</t>
  </si>
  <si>
    <t>What is *Mirjam Devčić*'s gender?</t>
  </si>
  <si>
    <t>List all *Mirjam Devčić*'s friends.</t>
  </si>
  <si>
    <t>I couldn't find any information on Mirjam Devčić's friends.</t>
  </si>
  <si>
    <t>How many friends does *Mirjam Devčić* have?</t>
  </si>
  <si>
    <t>I couldn't find any public information on the number of friends Mirjam Devčić has.</t>
  </si>
  <si>
    <t>Saša.</t>
  </si>
  <si>
    <t>I couldn't find any information about *Saša Škrtić*'s age.</t>
  </si>
  <si>
    <t>Nada Sudar, Zoran Goreta.</t>
  </si>
  <si>
    <t>I couldn't find any information about the number of friends *Saša Škrtić*</t>
  </si>
  <si>
    <t>I don't have real-time information, but Duje Ravlić was born on 7 September</t>
  </si>
  <si>
    <t>I don't have real-time information on Eduard Tutić's age.</t>
  </si>
  <si>
    <t>Information not available.</t>
  </si>
  <si>
    <t>I couldn't find any information on *Zoran Goreta*.</t>
  </si>
  <si>
    <t>I couldn't find any information on a person named Zoran Goreta, so I couldn't list</t>
  </si>
  <si>
    <t>I don't have information on Ivo Čelina's age.</t>
  </si>
  <si>
    <t>I couldn't find any publicly available information about Ivo Čelina's friends.</t>
  </si>
  <si>
    <t>0</t>
  </si>
  <si>
    <t>What is *Gordan Lucić*'s first name?</t>
  </si>
  <si>
    <t>Gordan.</t>
  </si>
  <si>
    <t>What is *Gordan Lucić*'s last name?</t>
  </si>
  <si>
    <t>Lucić.</t>
  </si>
  <si>
    <t>What is *Gordan Lucić*'s age?</t>
  </si>
  <si>
    <t>I couldn't find any information on a person named *Gordan Lucić*.</t>
  </si>
  <si>
    <t>What is *Gordan Lucić*'s gender?</t>
  </si>
  <si>
    <t>List all *Gordan Lucić*'s friends.</t>
  </si>
  <si>
    <t>How many friends does *Gordan Lucić* have?</t>
  </si>
  <si>
    <t>What is *Ljubomir Jurišić*'s first name?</t>
  </si>
  <si>
    <t>Ljubomir.</t>
  </si>
  <si>
    <t>What is *Ljubomir Jurišić*'s last name?</t>
  </si>
  <si>
    <t>Jurišić.</t>
  </si>
  <si>
    <t>What is *Ljubomir Jurišić*'s age?</t>
  </si>
  <si>
    <t>I don't have the most recent information on *Ljubomir Jurišić*'</t>
  </si>
  <si>
    <t>What is *Ljubomir Jurišić*'s gender?</t>
  </si>
  <si>
    <t>List all *Ljubomir Jurišić*'s friends.</t>
  </si>
  <si>
    <t>I couldn't find any information about a person named Ljubomir Jurišić.</t>
  </si>
  <si>
    <t>How many friends does *Ljubomir Jurišić* have?</t>
  </si>
  <si>
    <t>Not enough information.</t>
  </si>
  <si>
    <t>I couldn't find any information on *Jagoda Draženović*'s age.</t>
  </si>
  <si>
    <t>Nada Sudar, Mia Popić, Gordan Lucić, Ljubomir J</t>
  </si>
  <si>
    <t>I couldn't find the current age of Monika Rimac.</t>
  </si>
  <si>
    <t>I couldn't find any information on a person named *Monika Rimac*.</t>
  </si>
  <si>
    <t>I couldn't find any information on a person named Mia Popić.</t>
  </si>
  <si>
    <t>Nada is her full name.</t>
  </si>
  <si>
    <t>Nada Sudar's friends: 
1. Antonija Salinović
2. Le</t>
  </si>
  <si>
    <t>Not available.</t>
  </si>
  <si>
    <t>I couldn't find any information about Mirjam Devčić's friends.</t>
  </si>
  <si>
    <t>I couldn't find the information on Mirjam Devčić's friends.</t>
  </si>
  <si>
    <t>What is *Lea Grubić*'s first name?</t>
  </si>
  <si>
    <t>Lea.</t>
  </si>
  <si>
    <t>What is *Lea Grubić*'s last name?</t>
  </si>
  <si>
    <t>Grubić.</t>
  </si>
  <si>
    <t>What is *Lea Grubić*'s age?</t>
  </si>
  <si>
    <t>I don't have Lea Grubić's current age.</t>
  </si>
  <si>
    <t>What is *Lea Grubić*'s gender?</t>
  </si>
  <si>
    <t>List all *Lea Grubić*'s friends.</t>
  </si>
  <si>
    <t>I couldn't find any information on Lea Grubić's friends.</t>
  </si>
  <si>
    <t>How many friends does *Lea Grubić* have?</t>
  </si>
  <si>
    <t>I couldn't find any information on the number of friends *Lea Grubić* has.</t>
  </si>
  <si>
    <t>What is *Antonija Salinović*'s first name?</t>
  </si>
  <si>
    <t>Antonija.</t>
  </si>
  <si>
    <t>What is *Antonija Salinović*'s last name?</t>
  </si>
  <si>
    <t>Salinović.</t>
  </si>
  <si>
    <t>What is *Antonija Salinović*'s age?</t>
  </si>
  <si>
    <t>I couldn't find any information on *Antonija Salinović*'s age.</t>
  </si>
  <si>
    <t>What is *Antonija Salinović*'s gender?</t>
  </si>
  <si>
    <t>List all *Antonija Salinović*'s friends.</t>
  </si>
  <si>
    <t>I couldn't find any information on a person named Antonija Salinović.</t>
  </si>
  <si>
    <t>How many friends does *Antonija Salinović* have?</t>
  </si>
  <si>
    <t>I couldn't find any information on the number of friends Antonija Salinović has.</t>
  </si>
  <si>
    <t>I couldn't find Saša Škrtić's age.</t>
  </si>
  <si>
    <t>I couldn't find any information about Saša Škrtić's friends.</t>
  </si>
  <si>
    <t>I don't have the most current information.</t>
  </si>
  <si>
    <t>I couldn't find any information about Duje Ravlić's friends.</t>
  </si>
  <si>
    <t>Eduard's first name is not provided in the given information.</t>
  </si>
  <si>
    <t>I couldn't find any information on the number of friends Eduard Tutić has.</t>
  </si>
  <si>
    <t>I couldn't find any information about *Zoran Goreta*.</t>
  </si>
  <si>
    <t>I couldn't find any information on Ivo Čelina's age.</t>
  </si>
  <si>
    <t>I couldn't find any information on the number of friends *Ivo Čelina* has.</t>
  </si>
  <si>
    <t>I couldn't find any information about Gordan Lucić's friends.</t>
  </si>
  <si>
    <t>I don't have the information on *Ljubomir Jurišić*'s age</t>
  </si>
  <si>
    <t>I couldn't find any information about Ljubomir Jurišić's friends.</t>
  </si>
  <si>
    <t>I couldn't find any information on the number of friends *Ljubomir Juriš</t>
  </si>
  <si>
    <t>What is *Vladimir Svalina*'s first name?</t>
  </si>
  <si>
    <t>Vladimir.</t>
  </si>
  <si>
    <t>What is *Vladimir Svalina*'s last name?</t>
  </si>
  <si>
    <t>Svalina.</t>
  </si>
  <si>
    <t>What is *Vladimir Svalina*'s age?</t>
  </si>
  <si>
    <t>I couldn't find any information on Vladimir Svalina's age.</t>
  </si>
  <si>
    <t>What is *Vladimir Svalina*'s gender?</t>
  </si>
  <si>
    <t>List all *Vladimir Svalina*'s friends.</t>
  </si>
  <si>
    <t>Nada Sudar, Jagoda Draženović, Nikola Prelošnjak, Edu</t>
  </si>
  <si>
    <t>How many friends does *Vladimir Svalina* have?</t>
  </si>
  <si>
    <t>I couldn't find any information on Vladimir Svalina's friends.</t>
  </si>
  <si>
    <t>What is *Tomislav Šoštarić*'s first name?</t>
  </si>
  <si>
    <t>Tomislav.</t>
  </si>
  <si>
    <t>What is *Tomislav Šoštarić*'s last name?</t>
  </si>
  <si>
    <t>Šoštarić.</t>
  </si>
  <si>
    <t>What is *Tomislav Šoštarić*'s age?</t>
  </si>
  <si>
    <t>I don't have information on Tomislav Šoštarić's age.</t>
  </si>
  <si>
    <t>What is *Tomislav Šoštarić*'s gender?</t>
  </si>
  <si>
    <t>List all *Tomislav Šoštarić*'s friends.</t>
  </si>
  <si>
    <t>I couldn't find any information about Tomislav Šoštarić's friends.</t>
  </si>
  <si>
    <t>How many friends does *Tomislav Šoštarić* have?</t>
  </si>
  <si>
    <t>I couldn't find any information on the number of friends Tomislav Šoštarić has.</t>
  </si>
  <si>
    <t>What is *Nikola Prelošnjak*'s first name?</t>
  </si>
  <si>
    <t>Nikola.</t>
  </si>
  <si>
    <t>What is *Nikola Prelošnjak*'s last name?</t>
  </si>
  <si>
    <t>Prelošnjak.</t>
  </si>
  <si>
    <t>What is *Nikola Prelošnjak*'s age?</t>
  </si>
  <si>
    <t>I couldn't find any information on a person named *Nikola Prelošnjak*.</t>
  </si>
  <si>
    <t>What is *Nikola Prelošnjak*'s gender?</t>
  </si>
  <si>
    <t>List all *Nikola Prelošnjak*'s friends.</t>
  </si>
  <si>
    <t>I couldn't find any information on a person named Nikola Prelošnjak.</t>
  </si>
  <si>
    <t>How many friends does *Nikola Prelošnjak* have?</t>
  </si>
  <si>
    <t>I couldn't find the current age of Jagoda Draženović.</t>
  </si>
  <si>
    <t>I couldn't find any information on a person named Jagoda Draženović.</t>
  </si>
  <si>
    <t>No information available.</t>
  </si>
  <si>
    <t>Not available (publicly known as of cut-off date).</t>
  </si>
  <si>
    <t>I couldn't find any information about Monika Rimac's friends.</t>
  </si>
  <si>
    <t>I couldn't find any information on the number of friends *Monika Rimac* has.</t>
  </si>
  <si>
    <t>I couldn't find any information on Mia Popić's age.</t>
  </si>
  <si>
    <t>I couldn't find any information on the number of friends Mia Popić has.</t>
  </si>
  <si>
    <t>Nada is her last name.</t>
  </si>
  <si>
    <t>Nada Sudar's age is not publicly available.</t>
  </si>
  <si>
    <t>I couldn't find any information on a person named Nada Sudar.</t>
  </si>
  <si>
    <t>I don't have information on Mirjam Devčić's age.</t>
  </si>
  <si>
    <t>Not enough information is available to determine the number of friends Mirjam Devčić has.</t>
  </si>
  <si>
    <t>I couldn't find any information on Lea Grubić's age.</t>
  </si>
  <si>
    <t>I couldn't find any information on Antonija Salinović's friends.</t>
  </si>
  <si>
    <t>I couldn't find any information on the number of friends *Antonija Salinović*</t>
  </si>
  <si>
    <t>What is *Cvijeta Svetličić*'s first name?</t>
  </si>
  <si>
    <t>Cvijeta.</t>
  </si>
  <si>
    <t>What is *Cvijeta Svetličić*'s last name?</t>
  </si>
  <si>
    <t>Svetličić.</t>
  </si>
  <si>
    <t>What is *Cvijeta Svetličić*'s age?</t>
  </si>
  <si>
    <t>I couldn't find any information on *Cvijeta Svetličić*'s age.</t>
  </si>
  <si>
    <t>What is *Cvijeta Svetličić*'s gender?</t>
  </si>
  <si>
    <t>List all *Cvijeta Svetličić*'s friends.</t>
  </si>
  <si>
    <t>I couldn't find any information about Cvijeta Svetličić's friends.</t>
  </si>
  <si>
    <t>How many friends does *Cvijeta Svetličić* have?</t>
  </si>
  <si>
    <t>I couldn't find any information about *Cvijeta Svetličić*'s friends.</t>
  </si>
  <si>
    <t>What is *Irena Jurilj*'s first name?</t>
  </si>
  <si>
    <t>Irena.</t>
  </si>
  <si>
    <t>What is *Irena Jurilj*'s last name?</t>
  </si>
  <si>
    <t>Jurilj.</t>
  </si>
  <si>
    <t>What is *Irena Jurilj*'s age?</t>
  </si>
  <si>
    <t>I couldn't find any information on *Irena Jurilj*'s age.</t>
  </si>
  <si>
    <t>What is *Irena Jurilj*'s gender?</t>
  </si>
  <si>
    <t>List all *Irena Jurilj*'s friends.</t>
  </si>
  <si>
    <t>Nada Sudar, Ivo Čelina, Jagoda Draženović</t>
  </si>
  <si>
    <t>How many friends does *Irena Jurilj* have?</t>
  </si>
  <si>
    <t>I don't have information on Irena Jurilj's friends.</t>
  </si>
  <si>
    <t>What is *Stela Mišković*'s first name?</t>
  </si>
  <si>
    <t>Stela.</t>
  </si>
  <si>
    <t>What is *Stela Mišković*'s last name?</t>
  </si>
  <si>
    <t>Mišković.</t>
  </si>
  <si>
    <t>What is *Stela Mišković*'s age?</t>
  </si>
  <si>
    <t>I don't have the information on Stela Mišković's age.</t>
  </si>
  <si>
    <t>What is *Stela Mišković*'s gender?</t>
  </si>
  <si>
    <t>List all *Stela Mišković*'s friends.</t>
  </si>
  <si>
    <t>I couldn't find any information about Stela Mišković's friends.</t>
  </si>
  <si>
    <t>How many friends does *Stela Mišković* have?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</si>
</sst>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32196-0C20-49A2-8A05-4D49F8D20BD2}">
  <dimension ref="A1:I29"/>
  <sheetViews>
    <sheetView tabSelected="1" workbookViewId="0">
      <selection activeCell="D12" sqref="D12"/>
    </sheetView>
  </sheetViews>
  <sheetFormatPr defaultRowHeight="15"/>
  <sheetData>
    <row r="1" spans="1:9">
      <c r="A1" t="s">
        <v>0</v>
      </c>
      <c r="F1" t="s">
        <v>1</v>
      </c>
    </row>
    <row r="2" spans="1:9">
      <c r="B2" t="b">
        <v>1</v>
      </c>
      <c r="C2" t="b">
        <v>0</v>
      </c>
      <c r="D2" t="s">
        <v>2</v>
      </c>
      <c r="G2" t="b">
        <v>1</v>
      </c>
      <c r="H2" t="b">
        <v>0</v>
      </c>
      <c r="I2" t="s">
        <v>2</v>
      </c>
    </row>
    <row r="3" spans="1:9">
      <c r="A3" t="b">
        <v>1</v>
      </c>
      <c r="B3">
        <f ca="1">COUNTIFS(INDIRECT(A1 &amp; "!$C$2:$C$86"),TRUE, INDIRECT(A1 &amp; "!$E$2:$E$86"),TRUE)</f>
        <v>17</v>
      </c>
      <c r="C3">
        <f ca="1">COUNTIFS(INDIRECT(A1 &amp; "!$C$2:$C$86"),TRUE, INDIRECT(A1 &amp; "!$E$2:$E$86"),FALSE)</f>
        <v>0</v>
      </c>
      <c r="D3">
        <f ca="1">COUNTIFS(INDIRECT(A1 &amp; "!$C$2:$C$86"),TRUE, INDIRECT(A1 &amp; "!$E$2:$E$86"),"half true")</f>
        <v>0</v>
      </c>
      <c r="F3" t="b">
        <v>1</v>
      </c>
      <c r="G3">
        <f ca="1">COUNTIFS(INDIRECT(F1 &amp; "!$C$2:$C$86"),TRUE, INDIRECT(F1 &amp; "!$E$2:$E$86"),TRUE)</f>
        <v>27</v>
      </c>
      <c r="H3">
        <f ca="1">COUNTIFS(INDIRECT(F1 &amp; "!$C$2:$C$86"),TRUE, INDIRECT(F1 &amp; "!$E$2:$E$86"),FALSE)</f>
        <v>0</v>
      </c>
      <c r="I3">
        <f ca="1">COUNTIFS(INDIRECT(F1 &amp; "!$C$2:$C$86"),TRUE, INDIRECT(F1 &amp; "!$E$2:$E$86"),"half true")</f>
        <v>0</v>
      </c>
    </row>
    <row r="4" spans="1:9">
      <c r="A4" t="b">
        <v>0</v>
      </c>
      <c r="B4">
        <f ca="1">COUNTIFS(INDIRECT(A1 &amp; "!$C$2:$C$86"),FALSE, INDIRECT(A1 &amp; "!$E$2:$E$86"),TRUE)</f>
        <v>0</v>
      </c>
      <c r="C4">
        <f ca="1">COUNTIFS(INDIRECT(A1 &amp; "!$C$2:$C$86"),FALSE, INDIRECT(A1 &amp; "!$E$2:$E$86"),FALSE)</f>
        <v>19</v>
      </c>
      <c r="D4">
        <f ca="1">COUNTIFS(INDIRECT(A1 &amp; "!$C$2:$C$86"),FALSE, INDIRECT(A1 &amp; "!$E$2:$E$86"),"half true")</f>
        <v>0</v>
      </c>
      <c r="F4" t="b">
        <v>0</v>
      </c>
      <c r="G4">
        <f ca="1">COUNTIFS(INDIRECT(F1 &amp; "!$C$2:$C$86"),FALSE, INDIRECT(F1 &amp; "!$E$2:$E$86"),TRUE)</f>
        <v>0</v>
      </c>
      <c r="H4">
        <f ca="1">COUNTIFS(INDIRECT(F1 &amp; "!$C$2:$C$86"),FALSE, INDIRECT(F1 &amp; "!$E$2:$E$86"),FALSE)</f>
        <v>33</v>
      </c>
      <c r="I4">
        <f ca="1">COUNTIFS(INDIRECT(F1 &amp; "!$C$2:$C$86"),FALSE, INDIRECT(F1 &amp; "!$E$2:$E$86"),"half true")</f>
        <v>0</v>
      </c>
    </row>
    <row r="5" spans="1:9">
      <c r="A5" t="s">
        <v>2</v>
      </c>
      <c r="B5">
        <f ca="1">COUNTIFS(INDIRECT(A1 &amp; "!$C$2:$C$86"),"half true", INDIRECT(A1 &amp; "!$E$2:$E$86"),TRUE)</f>
        <v>0</v>
      </c>
      <c r="C5">
        <f ca="1">COUNTIFS(INDIRECT(A1 &amp; "!$C$2:$C$86"),"half true", INDIRECT(A1 &amp; "!$E$2:$E$86"),FALSE)</f>
        <v>0</v>
      </c>
      <c r="D5">
        <f ca="1">COUNTIFS(INDIRECT(A1 &amp; "!$C$2:$C$86"),"half true", INDIRECT(A1 &amp; "!$E$2:$E$86"),"half true")</f>
        <v>0</v>
      </c>
      <c r="F5" t="s">
        <v>2</v>
      </c>
      <c r="G5">
        <f ca="1">COUNTIFS(INDIRECT(F1 &amp; "!$C$2:$C$86"),"half true", INDIRECT(F1 &amp; "!$E$2:$E$86"),TRUE)</f>
        <v>0</v>
      </c>
      <c r="H5">
        <f ca="1">COUNTIFS(INDIRECT(F1 &amp; "!$C$2:$C$86"),"half true", INDIRECT(F1 &amp; "!$E$2:$E$86"),FALSE)</f>
        <v>0</v>
      </c>
      <c r="I5">
        <f ca="1">COUNTIFS(INDIRECT(F1 &amp; "!$C$2:$C$86"),"half true", INDIRECT(F1 &amp; "!$E$2:$E$86"),"half true")</f>
        <v>0</v>
      </c>
    </row>
    <row r="6" spans="1:9">
      <c r="A6" t="s">
        <v>3</v>
      </c>
      <c r="B6">
        <f ca="1">SUM(B3:D5)</f>
        <v>36</v>
      </c>
      <c r="F6" t="s">
        <v>3</v>
      </c>
      <c r="G6">
        <f ca="1">SUM(G3:I5)</f>
        <v>60</v>
      </c>
    </row>
    <row r="7" spans="1:9">
      <c r="A7" t="s">
        <v>4</v>
      </c>
      <c r="B7">
        <f ca="1">(B3+C4+D5)/B6</f>
        <v>1</v>
      </c>
      <c r="F7" t="s">
        <v>4</v>
      </c>
      <c r="G7">
        <f ca="1">(G3+H4+I5)/G6</f>
        <v>1</v>
      </c>
    </row>
    <row r="8" spans="1:9">
      <c r="A8" t="s">
        <v>5</v>
      </c>
      <c r="B8">
        <f ca="1">((SUM(B3:D3)*SUM(B3:B5))+(SUM(B4:D4)*SUM(C3:C5))+(SUM(B5:D5)*SUM(D3:D5)))/(B6^2)</f>
        <v>0.50154320987654322</v>
      </c>
      <c r="F8" t="s">
        <v>5</v>
      </c>
      <c r="G8">
        <f ca="1">((SUM(G3:I3)*SUM(G3:G5))+(SUM(G4:I4)*SUM(H3:H5))+(SUM(G5:I5)*SUM(I3:I5)))/(G6^2)</f>
        <v>0.505</v>
      </c>
    </row>
    <row r="9" spans="1:9">
      <c r="A9" t="s">
        <v>6</v>
      </c>
      <c r="B9">
        <f ca="1">(B7-B8)/(1-B8)</f>
        <v>1</v>
      </c>
      <c r="F9" t="s">
        <v>6</v>
      </c>
      <c r="G9">
        <f ca="1">(G7-G8)/(1-G8)</f>
        <v>1</v>
      </c>
    </row>
    <row r="11" spans="1:9">
      <c r="A11" t="s">
        <v>7</v>
      </c>
      <c r="F11" t="s">
        <v>8</v>
      </c>
    </row>
    <row r="12" spans="1:9">
      <c r="B12" t="b">
        <v>1</v>
      </c>
      <c r="C12" t="b">
        <v>0</v>
      </c>
      <c r="D12" t="s">
        <v>2</v>
      </c>
      <c r="G12" t="b">
        <v>1</v>
      </c>
      <c r="H12" t="b">
        <v>0</v>
      </c>
      <c r="I12" t="s">
        <v>2</v>
      </c>
    </row>
    <row r="13" spans="1:9">
      <c r="A13" t="b">
        <v>1</v>
      </c>
      <c r="B13">
        <f ca="1">COUNTIFS(INDIRECT(A11 &amp; "!$C$2:$C$86"),TRUE, INDIRECT(A11 &amp; "!$E$2:$E$86"),TRUE)</f>
        <v>40</v>
      </c>
      <c r="C13">
        <f ca="1">COUNTIFS(INDIRECT(A11 &amp; "!$C$2:$C$86"),TRUE, INDIRECT(A11 &amp; "!$E$2:$E$86"),FALSE)</f>
        <v>0</v>
      </c>
      <c r="D13">
        <f ca="1">COUNTIFS(INDIRECT(A11 &amp; "!$C$2:$C$86"),TRUE, INDIRECT(A11 &amp; "!$E$2:$E$86"),"half true")</f>
        <v>0</v>
      </c>
      <c r="F13" t="b">
        <v>1</v>
      </c>
      <c r="G13">
        <f ca="1">COUNTIFS(INDIRECT(F11 &amp; "!$C$2:$C$121"),TRUE, INDIRECT(F11 &amp; "!$E$2:$E$121"),TRUE)</f>
        <v>55</v>
      </c>
      <c r="H13">
        <f ca="1">COUNTIFS(INDIRECT(F11 &amp; "!$C$2:$C$121"),TRUE, INDIRECT(F11 &amp; "!$E$2:$E$121"),FALSE)</f>
        <v>0</v>
      </c>
      <c r="I13">
        <f ca="1">COUNTIFS(INDIRECT(F11 &amp; "!$C$2:$C$121"),TRUE, INDIRECT(F11 &amp; "!$E$2:$E$121"),"half true")</f>
        <v>0</v>
      </c>
    </row>
    <row r="14" spans="1:9">
      <c r="A14" t="b">
        <v>0</v>
      </c>
      <c r="B14">
        <f ca="1">COUNTIFS(INDIRECT(A11 &amp; "!$C$2:$C$86"),FALSE, INDIRECT(A11 &amp; "!$E$2:$E$86"),TRUE)</f>
        <v>0</v>
      </c>
      <c r="C14">
        <f ca="1">COUNTIFS(INDIRECT(A11 &amp; "!$C$2:$C$86"),FALSE, INDIRECT(A11 &amp; "!$E$2:$E$86"),FALSE)</f>
        <v>43</v>
      </c>
      <c r="D14">
        <f ca="1">COUNTIFS(INDIRECT(A11 &amp; "!$C$2:$C$86"),FALSE, INDIRECT(A11 &amp; "!$E$2:$E$86"),"half true")</f>
        <v>0</v>
      </c>
      <c r="F14" t="b">
        <v>0</v>
      </c>
      <c r="G14">
        <f ca="1">COUNTIFS(INDIRECT(F11 &amp; "!$C$2:$C$121"),FALSE, INDIRECT(F11 &amp; "!$E$2:$E$121"),TRUE)</f>
        <v>0</v>
      </c>
      <c r="H14">
        <f ca="1">COUNTIFS(INDIRECT(F11 &amp; "!$C$2:$C$121"),FALSE, INDIRECT(F11 &amp; "!$E$2:$E$121"),FALSE)</f>
        <v>64</v>
      </c>
      <c r="I14">
        <f ca="1">COUNTIFS(INDIRECT(F11 &amp; "!$C$2:$C$121"),FALSE, INDIRECT(F11 &amp; "!$E$2:$E$121"),"half true")</f>
        <v>0</v>
      </c>
    </row>
    <row r="15" spans="1:9">
      <c r="A15" t="s">
        <v>2</v>
      </c>
      <c r="B15">
        <f ca="1">COUNTIFS(INDIRECT(A11 &amp; "!$C$2:$C$86"),"half true", INDIRECT(A11 &amp; "!$E$2:$E$86"),TRUE)</f>
        <v>0</v>
      </c>
      <c r="C15">
        <f ca="1">COUNTIFS(INDIRECT(A11 &amp; "!$C$2:$C$86"),"half true", INDIRECT(A11 &amp; "!$E$2:$E$86"),FALSE)</f>
        <v>0</v>
      </c>
      <c r="D15">
        <f ca="1">COUNTIFS(INDIRECT(A11 &amp; "!$C$2:$C$86"),"half true", INDIRECT(A11 &amp; "!$E$2:$E$86"),"half true")</f>
        <v>1</v>
      </c>
      <c r="F15" t="s">
        <v>2</v>
      </c>
      <c r="G15">
        <f ca="1">COUNTIFS(INDIRECT(F11 &amp; "!$C$2:$C$121"),"half true", INDIRECT(F11 &amp; "!$E$2:$E$121"),TRUE)</f>
        <v>0</v>
      </c>
      <c r="H15">
        <f ca="1">COUNTIFS(INDIRECT(F11 &amp; "!$C$2:$C$121"),"half true", INDIRECT(F11 &amp; "!$E$2:$E$121"),FALSE)</f>
        <v>0</v>
      </c>
      <c r="I15">
        <f ca="1">COUNTIFS(INDIRECT(F11 &amp; "!$C$2:$C$121"),"half true", INDIRECT(F11 &amp; "!$E$2:$E$121"),"half true")</f>
        <v>1</v>
      </c>
    </row>
    <row r="16" spans="1:9">
      <c r="A16" t="s">
        <v>3</v>
      </c>
      <c r="B16">
        <f ca="1">SUM(B13:D15)</f>
        <v>84</v>
      </c>
      <c r="F16" t="s">
        <v>3</v>
      </c>
      <c r="G16">
        <f ca="1">SUM(G13:I15)</f>
        <v>120</v>
      </c>
    </row>
    <row r="17" spans="1:7">
      <c r="A17" t="s">
        <v>4</v>
      </c>
      <c r="B17">
        <f ca="1">(B13+C14+D15)/B16</f>
        <v>1</v>
      </c>
      <c r="F17" t="s">
        <v>4</v>
      </c>
      <c r="G17">
        <f ca="1">(G13+H14+I15)/G16</f>
        <v>1</v>
      </c>
    </row>
    <row r="18" spans="1:7">
      <c r="A18" t="s">
        <v>5</v>
      </c>
      <c r="B18">
        <f ca="1">((SUM(B13:D13)*SUM(B13:B15))+(SUM(B14:D14)*SUM(C13:C15))+(SUM(B15:D15)*SUM(D13:D15)))/(B16^2)</f>
        <v>0.48894557823129253</v>
      </c>
      <c r="F18" t="s">
        <v>5</v>
      </c>
      <c r="G18">
        <f ca="1">((SUM(G13:I13)*SUM(G13:G15))+(SUM(G14:I14)*SUM(H13:H15))+(SUM(G15:I15)*SUM(I13:I15)))/(G16^2)</f>
        <v>0.49458333333333332</v>
      </c>
    </row>
    <row r="19" spans="1:7">
      <c r="A19" t="s">
        <v>6</v>
      </c>
      <c r="B19">
        <f ca="1">(B17-B18)/(1-B18)</f>
        <v>1</v>
      </c>
      <c r="F19" t="s">
        <v>6</v>
      </c>
      <c r="G19">
        <f ca="1">(G17-G18)/(1-G18)</f>
        <v>1</v>
      </c>
    </row>
    <row r="21" spans="1:7">
      <c r="A21" t="s">
        <v>9</v>
      </c>
    </row>
    <row r="22" spans="1:7">
      <c r="B22" t="b">
        <v>1</v>
      </c>
      <c r="C22" t="b">
        <v>0</v>
      </c>
      <c r="D22" t="s">
        <v>2</v>
      </c>
    </row>
    <row r="23" spans="1:7">
      <c r="A23" t="b">
        <v>1</v>
      </c>
      <c r="B23">
        <f ca="1">B3+G3+B13+G13</f>
        <v>139</v>
      </c>
      <c r="C23">
        <f t="shared" ref="C23:D25" ca="1" si="0">C3+H3+C13+H13</f>
        <v>0</v>
      </c>
      <c r="D23">
        <f t="shared" ca="1" si="0"/>
        <v>0</v>
      </c>
    </row>
    <row r="24" spans="1:7">
      <c r="A24" t="b">
        <v>0</v>
      </c>
      <c r="B24">
        <f ca="1">B4+G4+B14+G14</f>
        <v>0</v>
      </c>
      <c r="C24">
        <f t="shared" ca="1" si="0"/>
        <v>159</v>
      </c>
      <c r="D24">
        <f t="shared" ca="1" si="0"/>
        <v>0</v>
      </c>
    </row>
    <row r="25" spans="1:7">
      <c r="A25" t="s">
        <v>2</v>
      </c>
      <c r="B25">
        <f ca="1">B5+G5+B15+G15</f>
        <v>0</v>
      </c>
      <c r="C25">
        <f t="shared" ca="1" si="0"/>
        <v>0</v>
      </c>
      <c r="D25">
        <f t="shared" ca="1" si="0"/>
        <v>2</v>
      </c>
    </row>
    <row r="26" spans="1:7">
      <c r="A26" t="s">
        <v>3</v>
      </c>
      <c r="B26">
        <f ca="1">SUM(B23:D25)</f>
        <v>300</v>
      </c>
    </row>
    <row r="27" spans="1:7">
      <c r="A27" t="s">
        <v>4</v>
      </c>
      <c r="B27">
        <f ca="1">(B23+C24+D25)/B26</f>
        <v>1</v>
      </c>
    </row>
    <row r="28" spans="1:7">
      <c r="A28" t="s">
        <v>5</v>
      </c>
      <c r="B28">
        <f ca="1">((SUM(B23:D23)*SUM(B23:B25))+(SUM(B24:D24)*SUM(C23:C25))+(SUM(B25:D25)*SUM(D23:D25)))/(B26^2)</f>
        <v>0.49562222222222224</v>
      </c>
    </row>
    <row r="29" spans="1:7">
      <c r="A29" t="s">
        <v>6</v>
      </c>
      <c r="B29">
        <f ca="1">(B27-B28)/(1-B28)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zoomScaleNormal="100" workbookViewId="0">
      <selection activeCell="C37" sqref="C37"/>
    </sheetView>
  </sheetViews>
  <sheetFormatPr defaultColWidth="8.5703125" defaultRowHeight="15"/>
  <cols>
    <col min="1" max="1" width="47.140625" customWidth="1"/>
    <col min="2" max="2" width="71.7109375" customWidth="1"/>
    <col min="5" max="5" width="10.5703125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16</v>
      </c>
      <c r="C2" t="b">
        <f>TRUE()</f>
        <v>1</v>
      </c>
      <c r="E2" t="b">
        <f>TRUE()</f>
        <v>1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20</v>
      </c>
      <c r="C4" t="b">
        <f>FALSE()</f>
        <v>0</v>
      </c>
      <c r="E4" t="b">
        <f>FALSE()</f>
        <v>0</v>
      </c>
    </row>
    <row r="5" spans="1:5">
      <c r="A5" t="s">
        <v>21</v>
      </c>
      <c r="B5" t="s">
        <v>22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24</v>
      </c>
      <c r="C6" t="b">
        <f>FALSE()</f>
        <v>0</v>
      </c>
      <c r="E6" t="b">
        <f>FALSE()</f>
        <v>0</v>
      </c>
    </row>
    <row r="7" spans="1:5">
      <c r="A7" t="s">
        <v>25</v>
      </c>
      <c r="B7" t="s">
        <v>26</v>
      </c>
      <c r="C7" t="b">
        <f>FALSE()</f>
        <v>0</v>
      </c>
      <c r="E7" t="b">
        <f>FALSE()</f>
        <v>0</v>
      </c>
    </row>
    <row r="8" spans="1:5">
      <c r="A8" t="s">
        <v>27</v>
      </c>
      <c r="B8" t="s">
        <v>28</v>
      </c>
      <c r="C8" t="b">
        <f>TRUE()</f>
        <v>1</v>
      </c>
      <c r="E8" t="b">
        <f>TRUE()</f>
        <v>1</v>
      </c>
    </row>
    <row r="9" spans="1:5">
      <c r="A9" t="s">
        <v>29</v>
      </c>
      <c r="B9" t="s">
        <v>30</v>
      </c>
      <c r="C9" t="b">
        <f>TRUE()</f>
        <v>1</v>
      </c>
      <c r="E9" t="b">
        <f>TRUE()</f>
        <v>1</v>
      </c>
    </row>
    <row r="10" spans="1:5">
      <c r="A10" t="s">
        <v>31</v>
      </c>
      <c r="B10" t="s">
        <v>32</v>
      </c>
      <c r="C10" t="b">
        <f>FALSE()</f>
        <v>0</v>
      </c>
      <c r="E10" t="b">
        <f>FALSE()</f>
        <v>0</v>
      </c>
    </row>
    <row r="11" spans="1:5">
      <c r="A11" t="s">
        <v>33</v>
      </c>
      <c r="B11" t="s">
        <v>22</v>
      </c>
      <c r="C11" t="b">
        <f>TRUE()</f>
        <v>1</v>
      </c>
      <c r="E11" t="b">
        <f>TRUE()</f>
        <v>1</v>
      </c>
    </row>
    <row r="12" spans="1:5">
      <c r="A12" t="s">
        <v>34</v>
      </c>
      <c r="B12" t="s">
        <v>35</v>
      </c>
      <c r="C12" t="b">
        <f>FALSE()</f>
        <v>0</v>
      </c>
      <c r="E12" t="b">
        <f>FALSE()</f>
        <v>0</v>
      </c>
    </row>
    <row r="13" spans="1:5">
      <c r="A13" t="s">
        <v>36</v>
      </c>
      <c r="B13" t="s">
        <v>37</v>
      </c>
      <c r="C13" t="b">
        <f>FALSE()</f>
        <v>0</v>
      </c>
      <c r="E13" t="b">
        <f>FALSE()</f>
        <v>0</v>
      </c>
    </row>
    <row r="14" spans="1:5">
      <c r="A14" t="s">
        <v>38</v>
      </c>
      <c r="B14" t="s">
        <v>39</v>
      </c>
      <c r="C14" t="b">
        <f>TRUE()</f>
        <v>1</v>
      </c>
      <c r="E14" t="b">
        <f>TRUE()</f>
        <v>1</v>
      </c>
    </row>
    <row r="15" spans="1:5">
      <c r="A15" t="s">
        <v>40</v>
      </c>
      <c r="B15" t="s">
        <v>41</v>
      </c>
      <c r="C15" t="b">
        <f>TRUE()</f>
        <v>1</v>
      </c>
      <c r="E15" t="b">
        <f>TRUE()</f>
        <v>1</v>
      </c>
    </row>
    <row r="16" spans="1:5">
      <c r="A16" t="s">
        <v>42</v>
      </c>
      <c r="B16" t="s">
        <v>43</v>
      </c>
      <c r="C16" t="b">
        <f>FALSE()</f>
        <v>0</v>
      </c>
      <c r="E16" t="b">
        <f>FALSE()</f>
        <v>0</v>
      </c>
    </row>
    <row r="17" spans="1:5">
      <c r="A17" t="s">
        <v>44</v>
      </c>
      <c r="B17" t="s">
        <v>22</v>
      </c>
      <c r="C17" t="b">
        <f>TRUE()</f>
        <v>1</v>
      </c>
      <c r="E17" t="b">
        <f>TRUE()</f>
        <v>1</v>
      </c>
    </row>
    <row r="18" spans="1:5">
      <c r="A18" t="s">
        <v>45</v>
      </c>
      <c r="B18" t="s">
        <v>46</v>
      </c>
      <c r="C18" t="b">
        <f>FALSE()</f>
        <v>0</v>
      </c>
      <c r="E18" t="b">
        <f>FALSE()</f>
        <v>0</v>
      </c>
    </row>
    <row r="19" spans="1:5">
      <c r="A19" t="s">
        <v>47</v>
      </c>
      <c r="B19" t="s">
        <v>48</v>
      </c>
      <c r="C19" t="b">
        <f>FALSE()</f>
        <v>0</v>
      </c>
      <c r="E19" t="b">
        <f>FALSE()</f>
        <v>0</v>
      </c>
    </row>
    <row r="20" spans="1:5">
      <c r="A20" t="s">
        <v>49</v>
      </c>
      <c r="B20" t="s">
        <v>50</v>
      </c>
      <c r="C20" t="b">
        <f>FALSE()</f>
        <v>0</v>
      </c>
      <c r="E20" t="b">
        <f>FALSE()</f>
        <v>0</v>
      </c>
    </row>
    <row r="21" spans="1:5">
      <c r="A21" t="s">
        <v>51</v>
      </c>
      <c r="B21" t="s">
        <v>52</v>
      </c>
      <c r="C21" t="b">
        <f>TRUE()</f>
        <v>1</v>
      </c>
      <c r="E21" t="b">
        <f>TRUE()</f>
        <v>1</v>
      </c>
    </row>
    <row r="22" spans="1:5">
      <c r="A22" t="s">
        <v>53</v>
      </c>
      <c r="B22" t="s">
        <v>54</v>
      </c>
      <c r="C22" t="b">
        <f>FALSE()</f>
        <v>0</v>
      </c>
      <c r="E22" t="b">
        <f>FALSE()</f>
        <v>0</v>
      </c>
    </row>
    <row r="23" spans="1:5">
      <c r="A23" t="s">
        <v>55</v>
      </c>
      <c r="B23" t="s">
        <v>56</v>
      </c>
      <c r="C23" t="b">
        <f>TRUE()</f>
        <v>1</v>
      </c>
      <c r="E23" t="b">
        <f>TRUE()</f>
        <v>1</v>
      </c>
    </row>
    <row r="24" spans="1:5">
      <c r="A24" t="s">
        <v>57</v>
      </c>
      <c r="B24" t="s">
        <v>58</v>
      </c>
      <c r="C24" t="b">
        <f>FALSE()</f>
        <v>0</v>
      </c>
      <c r="E24" t="b">
        <f>FALSE()</f>
        <v>0</v>
      </c>
    </row>
    <row r="25" spans="1:5">
      <c r="A25" t="s">
        <v>59</v>
      </c>
      <c r="B25" t="s">
        <v>60</v>
      </c>
      <c r="C25" t="b">
        <f>FALSE()</f>
        <v>0</v>
      </c>
      <c r="E25" t="b">
        <f>FALSE()</f>
        <v>0</v>
      </c>
    </row>
    <row r="26" spans="1:5">
      <c r="A26" t="s">
        <v>61</v>
      </c>
      <c r="B26" t="s">
        <v>62</v>
      </c>
      <c r="C26" t="b">
        <f>TRUE()</f>
        <v>1</v>
      </c>
      <c r="E26" t="b">
        <f>TRUE()</f>
        <v>1</v>
      </c>
    </row>
    <row r="27" spans="1:5">
      <c r="A27" t="s">
        <v>63</v>
      </c>
      <c r="B27" t="s">
        <v>64</v>
      </c>
      <c r="C27" t="b">
        <f>TRUE()</f>
        <v>1</v>
      </c>
      <c r="E27" t="b">
        <f>TRUE()</f>
        <v>1</v>
      </c>
    </row>
    <row r="28" spans="1:5">
      <c r="A28" t="s">
        <v>65</v>
      </c>
      <c r="B28" t="s">
        <v>66</v>
      </c>
      <c r="C28" t="b">
        <f>FALSE()</f>
        <v>0</v>
      </c>
      <c r="E28" t="b">
        <f>FALSE()</f>
        <v>0</v>
      </c>
    </row>
    <row r="29" spans="1:5">
      <c r="A29" t="s">
        <v>67</v>
      </c>
      <c r="B29" t="s">
        <v>56</v>
      </c>
      <c r="C29" t="b">
        <f>TRUE()</f>
        <v>1</v>
      </c>
      <c r="E29" t="b">
        <f>TRUE()</f>
        <v>1</v>
      </c>
    </row>
    <row r="30" spans="1:5">
      <c r="A30" t="s">
        <v>68</v>
      </c>
      <c r="B30" t="s">
        <v>69</v>
      </c>
      <c r="C30" t="b">
        <f>FALSE()</f>
        <v>0</v>
      </c>
      <c r="E30" t="b">
        <f>FALSE()</f>
        <v>0</v>
      </c>
    </row>
    <row r="31" spans="1:5">
      <c r="A31" t="s">
        <v>70</v>
      </c>
      <c r="B31" t="s">
        <v>71</v>
      </c>
      <c r="C31" t="b">
        <f>FALSE()</f>
        <v>0</v>
      </c>
      <c r="E31" t="b">
        <f>FALSE()</f>
        <v>0</v>
      </c>
    </row>
    <row r="32" spans="1:5">
      <c r="A32" t="s">
        <v>72</v>
      </c>
      <c r="B32" t="s">
        <v>73</v>
      </c>
      <c r="C32" t="b">
        <f>TRUE()</f>
        <v>1</v>
      </c>
      <c r="E32" t="b">
        <f>TRUE()</f>
        <v>1</v>
      </c>
    </row>
    <row r="33" spans="1:5">
      <c r="A33" t="s">
        <v>74</v>
      </c>
      <c r="B33" t="s">
        <v>75</v>
      </c>
      <c r="C33" t="b">
        <f>TRUE()</f>
        <v>1</v>
      </c>
      <c r="E33" t="b">
        <f>TRUE()</f>
        <v>1</v>
      </c>
    </row>
    <row r="34" spans="1:5">
      <c r="A34" t="s">
        <v>76</v>
      </c>
      <c r="B34" t="s">
        <v>77</v>
      </c>
      <c r="C34" t="b">
        <f>FALSE()</f>
        <v>0</v>
      </c>
      <c r="E34" t="b">
        <f>FALSE()</f>
        <v>0</v>
      </c>
    </row>
    <row r="35" spans="1:5">
      <c r="A35" t="s">
        <v>78</v>
      </c>
      <c r="B35" t="s">
        <v>56</v>
      </c>
      <c r="C35" t="b">
        <f>TRUE()</f>
        <v>1</v>
      </c>
      <c r="E35" t="b">
        <f>TRUE()</f>
        <v>1</v>
      </c>
    </row>
    <row r="36" spans="1:5">
      <c r="A36" t="s">
        <v>79</v>
      </c>
      <c r="B36" t="s">
        <v>80</v>
      </c>
      <c r="C36" t="b">
        <f>FALSE()</f>
        <v>0</v>
      </c>
      <c r="E36" t="b">
        <f>FALSE()</f>
        <v>0</v>
      </c>
    </row>
    <row r="37" spans="1:5">
      <c r="A37" t="s">
        <v>81</v>
      </c>
      <c r="B37" t="s">
        <v>80</v>
      </c>
      <c r="C37" t="b">
        <f>FALSE()</f>
        <v>0</v>
      </c>
      <c r="E37" t="b">
        <f>FALSE()</f>
        <v>0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1"/>
  <sheetViews>
    <sheetView zoomScaleNormal="100" workbookViewId="0">
      <selection activeCell="E1" sqref="E1"/>
    </sheetView>
  </sheetViews>
  <sheetFormatPr defaultColWidth="8.5703125" defaultRowHeight="15"/>
  <cols>
    <col min="1" max="1" width="46.28515625" customWidth="1"/>
    <col min="2" max="2" width="80.5703125" customWidth="1"/>
    <col min="5" max="5" width="12.7109375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16</v>
      </c>
      <c r="C2" t="b">
        <f>TRUE()</f>
        <v>1</v>
      </c>
      <c r="E2" t="b">
        <f>TRUE()</f>
        <v>1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82</v>
      </c>
      <c r="C4" t="b">
        <f>FALSE()</f>
        <v>0</v>
      </c>
      <c r="E4" t="b">
        <f>FALSE()</f>
        <v>0</v>
      </c>
    </row>
    <row r="5" spans="1:5">
      <c r="A5" t="s">
        <v>21</v>
      </c>
      <c r="B5" t="s">
        <v>56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83</v>
      </c>
      <c r="C6" t="b">
        <f>FALSE()</f>
        <v>0</v>
      </c>
      <c r="E6" t="b">
        <f>FALSE()</f>
        <v>0</v>
      </c>
    </row>
    <row r="7" spans="1:5">
      <c r="A7" t="s">
        <v>25</v>
      </c>
      <c r="B7" t="s">
        <v>84</v>
      </c>
      <c r="C7" t="b">
        <f>FALSE()</f>
        <v>0</v>
      </c>
      <c r="E7" t="b">
        <f>FALSE()</f>
        <v>0</v>
      </c>
    </row>
    <row r="8" spans="1:5">
      <c r="A8" t="s">
        <v>27</v>
      </c>
      <c r="B8" t="s">
        <v>28</v>
      </c>
      <c r="C8" t="b">
        <f>TRUE()</f>
        <v>1</v>
      </c>
      <c r="E8" t="b">
        <f>TRUE()</f>
        <v>1</v>
      </c>
    </row>
    <row r="9" spans="1:5">
      <c r="A9" t="s">
        <v>29</v>
      </c>
      <c r="B9" t="s">
        <v>30</v>
      </c>
      <c r="C9" t="b">
        <f>TRUE()</f>
        <v>1</v>
      </c>
      <c r="E9" t="b">
        <f>TRUE()</f>
        <v>1</v>
      </c>
    </row>
    <row r="10" spans="1:5">
      <c r="A10" t="s">
        <v>31</v>
      </c>
      <c r="B10" t="s">
        <v>85</v>
      </c>
      <c r="C10" t="b">
        <f>FALSE()</f>
        <v>0</v>
      </c>
      <c r="E10" t="b">
        <f>FALSE()</f>
        <v>0</v>
      </c>
    </row>
    <row r="11" spans="1:5">
      <c r="A11" t="s">
        <v>33</v>
      </c>
      <c r="B11" t="s">
        <v>22</v>
      </c>
      <c r="C11" t="b">
        <f>TRUE()</f>
        <v>1</v>
      </c>
      <c r="E11" t="b">
        <f>TRUE()</f>
        <v>1</v>
      </c>
    </row>
    <row r="12" spans="1:5">
      <c r="A12" t="s">
        <v>34</v>
      </c>
      <c r="B12" t="s">
        <v>86</v>
      </c>
      <c r="C12" t="b">
        <f>FALSE()</f>
        <v>0</v>
      </c>
      <c r="E12" t="b">
        <f>FALSE()</f>
        <v>0</v>
      </c>
    </row>
    <row r="13" spans="1:5">
      <c r="A13" t="s">
        <v>36</v>
      </c>
      <c r="B13" t="s">
        <v>87</v>
      </c>
      <c r="C13" t="b">
        <f>FALSE()</f>
        <v>0</v>
      </c>
      <c r="E13" t="b">
        <f>FALSE()</f>
        <v>0</v>
      </c>
    </row>
    <row r="14" spans="1:5">
      <c r="A14" t="s">
        <v>38</v>
      </c>
      <c r="B14" t="s">
        <v>88</v>
      </c>
      <c r="C14" t="b">
        <f>TRUE()</f>
        <v>1</v>
      </c>
      <c r="E14" t="b">
        <f>TRUE()</f>
        <v>1</v>
      </c>
    </row>
    <row r="15" spans="1:5">
      <c r="A15" t="s">
        <v>40</v>
      </c>
      <c r="B15" t="s">
        <v>41</v>
      </c>
      <c r="C15" t="b">
        <f>TRUE()</f>
        <v>1</v>
      </c>
      <c r="E15" t="b">
        <f>TRUE()</f>
        <v>1</v>
      </c>
    </row>
    <row r="16" spans="1:5">
      <c r="A16" t="s">
        <v>42</v>
      </c>
      <c r="B16" t="s">
        <v>89</v>
      </c>
      <c r="C16" t="b">
        <f>FALSE()</f>
        <v>0</v>
      </c>
      <c r="E16" t="b">
        <f>FALSE()</f>
        <v>0</v>
      </c>
    </row>
    <row r="17" spans="1:5">
      <c r="A17" t="s">
        <v>44</v>
      </c>
      <c r="B17" t="s">
        <v>22</v>
      </c>
      <c r="C17" t="b">
        <f>TRUE()</f>
        <v>1</v>
      </c>
      <c r="E17" t="b">
        <f>TRUE()</f>
        <v>1</v>
      </c>
    </row>
    <row r="18" spans="1:5">
      <c r="A18" t="s">
        <v>45</v>
      </c>
      <c r="B18" t="s">
        <v>90</v>
      </c>
      <c r="C18" t="b">
        <f>TRUE()</f>
        <v>1</v>
      </c>
      <c r="E18" t="b">
        <f>TRUE()</f>
        <v>1</v>
      </c>
    </row>
    <row r="19" spans="1:5">
      <c r="A19" t="s">
        <v>47</v>
      </c>
      <c r="B19" t="s">
        <v>91</v>
      </c>
      <c r="C19" t="b">
        <f>FALSE()</f>
        <v>0</v>
      </c>
      <c r="E19" t="b">
        <f>FALSE()</f>
        <v>0</v>
      </c>
    </row>
    <row r="20" spans="1:5">
      <c r="A20" t="s">
        <v>92</v>
      </c>
      <c r="B20" t="s">
        <v>93</v>
      </c>
      <c r="C20" t="b">
        <f>FALSE()</f>
        <v>0</v>
      </c>
      <c r="E20" t="b">
        <f>FALSE()</f>
        <v>0</v>
      </c>
    </row>
    <row r="21" spans="1:5">
      <c r="A21" t="s">
        <v>94</v>
      </c>
      <c r="B21" t="s">
        <v>95</v>
      </c>
      <c r="C21" t="b">
        <f>TRUE()</f>
        <v>1</v>
      </c>
      <c r="E21" t="b">
        <f>TRUE()</f>
        <v>1</v>
      </c>
    </row>
    <row r="22" spans="1:5">
      <c r="A22" t="s">
        <v>96</v>
      </c>
      <c r="B22" t="s">
        <v>93</v>
      </c>
      <c r="C22" t="b">
        <f>FALSE()</f>
        <v>0</v>
      </c>
      <c r="E22" t="b">
        <f>FALSE()</f>
        <v>0</v>
      </c>
    </row>
    <row r="23" spans="1:5">
      <c r="A23" t="s">
        <v>97</v>
      </c>
      <c r="B23" t="s">
        <v>56</v>
      </c>
      <c r="C23" t="b">
        <f>FALSE()</f>
        <v>0</v>
      </c>
      <c r="E23" t="b">
        <f>FALSE()</f>
        <v>0</v>
      </c>
    </row>
    <row r="24" spans="1:5">
      <c r="A24" t="s">
        <v>98</v>
      </c>
      <c r="B24" t="s">
        <v>99</v>
      </c>
      <c r="C24" t="b">
        <f>FALSE()</f>
        <v>0</v>
      </c>
      <c r="E24" t="b">
        <f>FALSE()</f>
        <v>0</v>
      </c>
    </row>
    <row r="25" spans="1:5">
      <c r="A25" t="s">
        <v>100</v>
      </c>
      <c r="B25" t="s">
        <v>101</v>
      </c>
      <c r="C25" t="b">
        <f>FALSE()</f>
        <v>0</v>
      </c>
      <c r="E25" t="b">
        <f>FALSE()</f>
        <v>0</v>
      </c>
    </row>
    <row r="26" spans="1:5">
      <c r="A26" t="s">
        <v>102</v>
      </c>
      <c r="B26" t="s">
        <v>103</v>
      </c>
      <c r="C26" t="b">
        <f>TRUE()</f>
        <v>1</v>
      </c>
      <c r="E26" t="b">
        <f>TRUE()</f>
        <v>1</v>
      </c>
    </row>
    <row r="27" spans="1:5">
      <c r="A27" t="s">
        <v>104</v>
      </c>
      <c r="B27" t="s">
        <v>105</v>
      </c>
      <c r="C27" t="b">
        <f>TRUE()</f>
        <v>1</v>
      </c>
      <c r="E27" t="b">
        <f>TRUE()</f>
        <v>1</v>
      </c>
    </row>
    <row r="28" spans="1:5">
      <c r="A28" t="s">
        <v>106</v>
      </c>
      <c r="B28" t="s">
        <v>107</v>
      </c>
      <c r="C28" t="b">
        <f>FALSE()</f>
        <v>0</v>
      </c>
      <c r="E28" t="b">
        <f>FALSE()</f>
        <v>0</v>
      </c>
    </row>
    <row r="29" spans="1:5">
      <c r="A29" t="s">
        <v>108</v>
      </c>
      <c r="B29" t="s">
        <v>56</v>
      </c>
      <c r="C29" t="b">
        <f>FALSE()</f>
        <v>0</v>
      </c>
      <c r="E29" t="b">
        <f>FALSE()</f>
        <v>0</v>
      </c>
    </row>
    <row r="30" spans="1:5">
      <c r="A30" t="s">
        <v>109</v>
      </c>
      <c r="B30" t="s">
        <v>110</v>
      </c>
      <c r="C30" t="b">
        <f>FALSE()</f>
        <v>0</v>
      </c>
      <c r="E30" t="b">
        <f>FALSE()</f>
        <v>0</v>
      </c>
    </row>
    <row r="31" spans="1:5">
      <c r="A31" t="s">
        <v>111</v>
      </c>
      <c r="B31" t="s">
        <v>112</v>
      </c>
      <c r="C31" t="b">
        <f>FALSE()</f>
        <v>0</v>
      </c>
      <c r="E31" t="b">
        <f>FALSE()</f>
        <v>0</v>
      </c>
    </row>
    <row r="32" spans="1:5">
      <c r="A32" t="s">
        <v>49</v>
      </c>
      <c r="B32" t="s">
        <v>50</v>
      </c>
      <c r="C32" t="b">
        <f>FALSE()</f>
        <v>0</v>
      </c>
      <c r="E32" t="b">
        <f>FALSE()</f>
        <v>0</v>
      </c>
    </row>
    <row r="33" spans="1:5">
      <c r="A33" t="s">
        <v>51</v>
      </c>
      <c r="B33" t="s">
        <v>52</v>
      </c>
      <c r="C33" t="b">
        <f>TRUE()</f>
        <v>1</v>
      </c>
      <c r="E33" t="b">
        <f>TRUE()</f>
        <v>1</v>
      </c>
    </row>
    <row r="34" spans="1:5">
      <c r="A34" t="s">
        <v>53</v>
      </c>
      <c r="B34" t="s">
        <v>113</v>
      </c>
      <c r="C34" t="b">
        <f>FALSE()</f>
        <v>0</v>
      </c>
      <c r="E34" t="b">
        <f>FALSE()</f>
        <v>0</v>
      </c>
    </row>
    <row r="35" spans="1:5">
      <c r="A35" t="s">
        <v>55</v>
      </c>
      <c r="B35" t="s">
        <v>56</v>
      </c>
      <c r="C35" t="b">
        <f>TRUE()</f>
        <v>1</v>
      </c>
      <c r="E35" t="b">
        <f>TRUE()</f>
        <v>1</v>
      </c>
    </row>
    <row r="36" spans="1:5">
      <c r="A36" t="s">
        <v>57</v>
      </c>
      <c r="B36" t="s">
        <v>112</v>
      </c>
      <c r="C36" t="b">
        <f>FALSE()</f>
        <v>0</v>
      </c>
      <c r="E36" t="b">
        <f>FALSE()</f>
        <v>0</v>
      </c>
    </row>
    <row r="37" spans="1:5">
      <c r="A37" t="s">
        <v>59</v>
      </c>
      <c r="B37" t="s">
        <v>114</v>
      </c>
      <c r="C37" t="b">
        <f>FALSE()</f>
        <v>0</v>
      </c>
      <c r="E37" t="b">
        <f>FALSE()</f>
        <v>0</v>
      </c>
    </row>
    <row r="38" spans="1:5">
      <c r="A38" t="s">
        <v>61</v>
      </c>
      <c r="B38" t="s">
        <v>115</v>
      </c>
      <c r="C38" t="b">
        <f>TRUE()</f>
        <v>1</v>
      </c>
      <c r="E38" t="b">
        <f>TRUE()</f>
        <v>1</v>
      </c>
    </row>
    <row r="39" spans="1:5">
      <c r="A39" t="s">
        <v>63</v>
      </c>
      <c r="B39" t="s">
        <v>64</v>
      </c>
      <c r="C39" t="b">
        <f>TRUE()</f>
        <v>1</v>
      </c>
      <c r="E39" t="b">
        <f>TRUE()</f>
        <v>1</v>
      </c>
    </row>
    <row r="40" spans="1:5">
      <c r="A40" t="s">
        <v>65</v>
      </c>
      <c r="B40" t="s">
        <v>116</v>
      </c>
      <c r="C40" t="b">
        <f>FALSE()</f>
        <v>0</v>
      </c>
      <c r="E40" t="b">
        <f>FALSE()</f>
        <v>0</v>
      </c>
    </row>
    <row r="41" spans="1:5">
      <c r="A41" t="s">
        <v>67</v>
      </c>
      <c r="B41" t="s">
        <v>56</v>
      </c>
      <c r="C41" t="b">
        <f>TRUE()</f>
        <v>1</v>
      </c>
      <c r="E41" t="b">
        <f>TRUE()</f>
        <v>1</v>
      </c>
    </row>
    <row r="42" spans="1:5">
      <c r="A42" t="s">
        <v>68</v>
      </c>
      <c r="B42" t="s">
        <v>69</v>
      </c>
      <c r="C42" t="b">
        <f>FALSE()</f>
        <v>0</v>
      </c>
      <c r="E42" t="b">
        <f>FALSE()</f>
        <v>0</v>
      </c>
    </row>
    <row r="43" spans="1:5">
      <c r="A43" t="s">
        <v>70</v>
      </c>
      <c r="B43" t="s">
        <v>117</v>
      </c>
      <c r="C43" t="b">
        <f>FALSE()</f>
        <v>0</v>
      </c>
      <c r="E43" t="b">
        <f>FALSE()</f>
        <v>0</v>
      </c>
    </row>
    <row r="44" spans="1:5">
      <c r="A44" t="s">
        <v>72</v>
      </c>
      <c r="B44" t="s">
        <v>118</v>
      </c>
      <c r="C44" t="b">
        <f>TRUE()</f>
        <v>1</v>
      </c>
      <c r="E44" t="b">
        <f>TRUE()</f>
        <v>1</v>
      </c>
    </row>
    <row r="45" spans="1:5">
      <c r="A45" t="s">
        <v>74</v>
      </c>
      <c r="B45" t="s">
        <v>75</v>
      </c>
      <c r="C45" t="b">
        <f>TRUE()</f>
        <v>1</v>
      </c>
      <c r="E45" t="b">
        <f>TRUE()</f>
        <v>1</v>
      </c>
    </row>
    <row r="46" spans="1:5">
      <c r="A46" t="s">
        <v>76</v>
      </c>
      <c r="B46" t="s">
        <v>119</v>
      </c>
      <c r="C46" t="b">
        <f>FALSE()</f>
        <v>0</v>
      </c>
      <c r="E46" t="b">
        <f>FALSE()</f>
        <v>0</v>
      </c>
    </row>
    <row r="47" spans="1:5">
      <c r="A47" t="s">
        <v>78</v>
      </c>
      <c r="B47" t="s">
        <v>56</v>
      </c>
      <c r="C47" t="b">
        <f>TRUE()</f>
        <v>1</v>
      </c>
      <c r="E47" t="b">
        <f>TRUE()</f>
        <v>1</v>
      </c>
    </row>
    <row r="48" spans="1:5">
      <c r="A48" t="s">
        <v>79</v>
      </c>
      <c r="B48" t="s">
        <v>80</v>
      </c>
      <c r="C48" t="b">
        <f>FALSE()</f>
        <v>0</v>
      </c>
      <c r="E48" t="b">
        <f>FALSE()</f>
        <v>0</v>
      </c>
    </row>
    <row r="49" spans="1:5">
      <c r="A49" t="s">
        <v>81</v>
      </c>
      <c r="B49" t="s">
        <v>120</v>
      </c>
      <c r="C49" t="b">
        <f>FALSE()</f>
        <v>0</v>
      </c>
      <c r="E49" t="b">
        <f>FALSE()</f>
        <v>0</v>
      </c>
    </row>
    <row r="50" spans="1:5">
      <c r="A50" t="s">
        <v>121</v>
      </c>
      <c r="B50" t="s">
        <v>122</v>
      </c>
      <c r="C50" t="b">
        <f>TRUE()</f>
        <v>1</v>
      </c>
      <c r="E50" t="b">
        <f>TRUE()</f>
        <v>1</v>
      </c>
    </row>
    <row r="51" spans="1:5">
      <c r="A51" t="s">
        <v>123</v>
      </c>
      <c r="B51" t="s">
        <v>124</v>
      </c>
      <c r="C51" t="b">
        <f>TRUE()</f>
        <v>1</v>
      </c>
      <c r="E51" t="b">
        <f>TRUE()</f>
        <v>1</v>
      </c>
    </row>
    <row r="52" spans="1:5">
      <c r="A52" t="s">
        <v>125</v>
      </c>
      <c r="B52" t="s">
        <v>126</v>
      </c>
      <c r="C52" t="b">
        <f>FALSE()</f>
        <v>0</v>
      </c>
      <c r="E52" t="b">
        <f>FALSE()</f>
        <v>0</v>
      </c>
    </row>
    <row r="53" spans="1:5">
      <c r="A53" t="s">
        <v>127</v>
      </c>
      <c r="B53" t="s">
        <v>56</v>
      </c>
      <c r="C53" t="b">
        <f>TRUE()</f>
        <v>1</v>
      </c>
      <c r="E53" t="b">
        <f>TRUE()</f>
        <v>1</v>
      </c>
    </row>
    <row r="54" spans="1:5">
      <c r="A54" t="s">
        <v>128</v>
      </c>
      <c r="B54" t="s">
        <v>129</v>
      </c>
      <c r="C54" t="b">
        <f>FALSE()</f>
        <v>0</v>
      </c>
      <c r="E54" t="b">
        <f>FALSE()</f>
        <v>0</v>
      </c>
    </row>
    <row r="55" spans="1:5">
      <c r="A55" t="s">
        <v>130</v>
      </c>
      <c r="B55" t="s">
        <v>131</v>
      </c>
      <c r="C55" t="b">
        <f>FALSE()</f>
        <v>0</v>
      </c>
      <c r="E55" t="b">
        <f>FALSE()</f>
        <v>0</v>
      </c>
    </row>
    <row r="56" spans="1:5">
      <c r="A56" t="s">
        <v>132</v>
      </c>
      <c r="B56" t="s">
        <v>133</v>
      </c>
      <c r="C56" t="b">
        <f>TRUE()</f>
        <v>1</v>
      </c>
      <c r="E56" t="b">
        <f>TRUE()</f>
        <v>1</v>
      </c>
    </row>
    <row r="57" spans="1:5">
      <c r="A57" t="s">
        <v>134</v>
      </c>
      <c r="B57" t="s">
        <v>135</v>
      </c>
      <c r="C57" t="b">
        <f>TRUE()</f>
        <v>1</v>
      </c>
      <c r="E57" t="b">
        <f>TRUE()</f>
        <v>1</v>
      </c>
    </row>
    <row r="58" spans="1:5">
      <c r="A58" t="s">
        <v>136</v>
      </c>
      <c r="B58" t="s">
        <v>137</v>
      </c>
      <c r="C58" t="b">
        <f>FALSE()</f>
        <v>0</v>
      </c>
      <c r="E58" t="b">
        <f>FALSE()</f>
        <v>0</v>
      </c>
    </row>
    <row r="59" spans="1:5">
      <c r="A59" t="s">
        <v>138</v>
      </c>
      <c r="B59" t="s">
        <v>56</v>
      </c>
      <c r="C59" t="b">
        <f>TRUE()</f>
        <v>1</v>
      </c>
      <c r="E59" t="b">
        <f>TRUE()</f>
        <v>1</v>
      </c>
    </row>
    <row r="60" spans="1:5">
      <c r="A60" t="s">
        <v>139</v>
      </c>
      <c r="B60" t="s">
        <v>140</v>
      </c>
      <c r="C60" t="b">
        <f>FALSE()</f>
        <v>0</v>
      </c>
      <c r="E60" t="b">
        <f>FALSE()</f>
        <v>0</v>
      </c>
    </row>
    <row r="61" spans="1:5">
      <c r="A61" t="s">
        <v>141</v>
      </c>
      <c r="B61" t="s">
        <v>142</v>
      </c>
      <c r="C61" t="b">
        <f>FALSE()</f>
        <v>0</v>
      </c>
      <c r="E61" t="b">
        <f>FALSE()</f>
        <v>0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85"/>
  <sheetViews>
    <sheetView zoomScaleNormal="100" workbookViewId="0">
      <selection activeCell="F2" sqref="F2"/>
    </sheetView>
  </sheetViews>
  <sheetFormatPr defaultColWidth="8.5703125" defaultRowHeight="15"/>
  <cols>
    <col min="1" max="1" width="46.140625" customWidth="1"/>
    <col min="2" max="2" width="72.5703125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143</v>
      </c>
      <c r="C2" t="b">
        <f>TRUE()</f>
        <v>1</v>
      </c>
      <c r="E2" t="b">
        <f>TRUE()</f>
        <v>1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144</v>
      </c>
      <c r="C4" t="b">
        <f>FALSE()</f>
        <v>0</v>
      </c>
      <c r="E4" t="b">
        <f>FALSE()</f>
        <v>0</v>
      </c>
    </row>
    <row r="5" spans="1:5">
      <c r="A5" t="s">
        <v>21</v>
      </c>
      <c r="B5" t="s">
        <v>22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145</v>
      </c>
      <c r="C6" t="b">
        <f>TRUE()</f>
        <v>1</v>
      </c>
      <c r="E6" t="b">
        <f>TRUE()</f>
        <v>1</v>
      </c>
    </row>
    <row r="7" spans="1:5">
      <c r="A7" t="s">
        <v>25</v>
      </c>
      <c r="B7" t="s">
        <v>146</v>
      </c>
      <c r="C7" t="b">
        <f>FALSE()</f>
        <v>0</v>
      </c>
      <c r="E7" t="b">
        <f>FALSE()</f>
        <v>0</v>
      </c>
    </row>
    <row r="8" spans="1:5">
      <c r="A8" t="s">
        <v>27</v>
      </c>
      <c r="B8" t="s">
        <v>28</v>
      </c>
      <c r="C8" t="b">
        <f>TRUE()</f>
        <v>1</v>
      </c>
      <c r="E8" t="b">
        <f>TRUE()</f>
        <v>1</v>
      </c>
    </row>
    <row r="9" spans="1:5">
      <c r="A9" t="s">
        <v>29</v>
      </c>
      <c r="B9" t="s">
        <v>30</v>
      </c>
      <c r="C9" t="b">
        <f>TRUE()</f>
        <v>1</v>
      </c>
      <c r="E9" t="b">
        <f>TRUE()</f>
        <v>1</v>
      </c>
    </row>
    <row r="10" spans="1:5">
      <c r="A10" t="s">
        <v>31</v>
      </c>
      <c r="B10" t="s">
        <v>147</v>
      </c>
      <c r="C10" t="b">
        <f>FALSE()</f>
        <v>0</v>
      </c>
      <c r="E10" t="b">
        <f>FALSE()</f>
        <v>0</v>
      </c>
    </row>
    <row r="11" spans="1:5">
      <c r="A11" t="s">
        <v>33</v>
      </c>
      <c r="B11" t="s">
        <v>22</v>
      </c>
      <c r="C11" t="b">
        <f>TRUE()</f>
        <v>1</v>
      </c>
      <c r="E11" t="b">
        <f>TRUE()</f>
        <v>1</v>
      </c>
    </row>
    <row r="12" spans="1:5">
      <c r="A12" t="s">
        <v>34</v>
      </c>
      <c r="B12" t="s">
        <v>35</v>
      </c>
      <c r="C12" t="b">
        <f>FALSE()</f>
        <v>0</v>
      </c>
      <c r="E12" t="b">
        <f>FALSE()</f>
        <v>0</v>
      </c>
    </row>
    <row r="13" spans="1:5">
      <c r="A13" t="s">
        <v>36</v>
      </c>
      <c r="B13" t="s">
        <v>37</v>
      </c>
      <c r="C13" t="b">
        <f>FALSE()</f>
        <v>0</v>
      </c>
      <c r="E13" t="b">
        <f>FALSE()</f>
        <v>0</v>
      </c>
    </row>
    <row r="14" spans="1:5">
      <c r="A14" t="s">
        <v>38</v>
      </c>
      <c r="B14" t="s">
        <v>39</v>
      </c>
      <c r="C14" t="b">
        <f>TRUE()</f>
        <v>1</v>
      </c>
      <c r="E14" t="b">
        <f>TRUE()</f>
        <v>1</v>
      </c>
    </row>
    <row r="15" spans="1:5">
      <c r="A15" t="s">
        <v>40</v>
      </c>
      <c r="B15" t="s">
        <v>41</v>
      </c>
      <c r="C15" t="b">
        <f>TRUE()</f>
        <v>1</v>
      </c>
      <c r="E15" t="b">
        <f>TRUE()</f>
        <v>1</v>
      </c>
    </row>
    <row r="16" spans="1:5">
      <c r="A16" t="s">
        <v>42</v>
      </c>
      <c r="B16" t="s">
        <v>148</v>
      </c>
      <c r="C16" t="b">
        <f>FALSE()</f>
        <v>0</v>
      </c>
      <c r="E16" t="b">
        <f>FALSE()</f>
        <v>0</v>
      </c>
    </row>
    <row r="17" spans="1:5">
      <c r="A17" t="s">
        <v>44</v>
      </c>
      <c r="B17" t="s">
        <v>22</v>
      </c>
      <c r="C17" t="b">
        <f>TRUE()</f>
        <v>1</v>
      </c>
      <c r="E17" t="b">
        <f>TRUE()</f>
        <v>1</v>
      </c>
    </row>
    <row r="18" spans="1:5">
      <c r="A18" t="s">
        <v>45</v>
      </c>
      <c r="B18" t="s">
        <v>91</v>
      </c>
      <c r="C18" t="b">
        <f>FALSE()</f>
        <v>0</v>
      </c>
      <c r="E18" t="b">
        <f>FALSE()</f>
        <v>0</v>
      </c>
    </row>
    <row r="19" spans="1:5">
      <c r="A19" t="s">
        <v>47</v>
      </c>
      <c r="B19" t="s">
        <v>149</v>
      </c>
      <c r="C19" t="b">
        <f>FALSE()</f>
        <v>0</v>
      </c>
      <c r="E19" t="b">
        <f>FALSE()</f>
        <v>0</v>
      </c>
    </row>
    <row r="20" spans="1:5">
      <c r="A20" t="s">
        <v>92</v>
      </c>
      <c r="B20" t="s">
        <v>150</v>
      </c>
      <c r="C20" t="b">
        <f>FALSE()</f>
        <v>0</v>
      </c>
      <c r="E20" t="b">
        <f>FALSE()</f>
        <v>0</v>
      </c>
    </row>
    <row r="21" spans="1:5">
      <c r="A21" t="s">
        <v>94</v>
      </c>
      <c r="B21" t="s">
        <v>95</v>
      </c>
      <c r="C21" t="b">
        <f>TRUE()</f>
        <v>1</v>
      </c>
      <c r="E21" t="b">
        <f>TRUE()</f>
        <v>1</v>
      </c>
    </row>
    <row r="22" spans="1:5">
      <c r="A22" t="s">
        <v>96</v>
      </c>
      <c r="B22" t="s">
        <v>150</v>
      </c>
      <c r="C22" t="b">
        <f>FALSE()</f>
        <v>0</v>
      </c>
      <c r="E22" t="b">
        <f>FALSE()</f>
        <v>0</v>
      </c>
    </row>
    <row r="23" spans="1:5">
      <c r="A23" t="s">
        <v>97</v>
      </c>
      <c r="B23" t="s">
        <v>56</v>
      </c>
      <c r="C23" t="b">
        <f>FALSE()</f>
        <v>0</v>
      </c>
      <c r="E23" t="b">
        <f>FALSE()</f>
        <v>0</v>
      </c>
    </row>
    <row r="24" spans="1:5">
      <c r="A24" t="s">
        <v>98</v>
      </c>
      <c r="B24" t="s">
        <v>151</v>
      </c>
      <c r="C24" t="b">
        <f>FALSE()</f>
        <v>0</v>
      </c>
      <c r="E24" t="b">
        <f>FALSE()</f>
        <v>0</v>
      </c>
    </row>
    <row r="25" spans="1:5">
      <c r="A25" t="s">
        <v>100</v>
      </c>
      <c r="B25" t="s">
        <v>149</v>
      </c>
      <c r="C25" t="b">
        <f>FALSE()</f>
        <v>0</v>
      </c>
      <c r="E25" t="b">
        <f>FALSE()</f>
        <v>0</v>
      </c>
    </row>
    <row r="26" spans="1:5">
      <c r="A26" t="s">
        <v>102</v>
      </c>
      <c r="B26" t="s">
        <v>103</v>
      </c>
      <c r="C26" t="b">
        <f>TRUE()</f>
        <v>1</v>
      </c>
      <c r="E26" t="b">
        <f>TRUE()</f>
        <v>1</v>
      </c>
    </row>
    <row r="27" spans="1:5">
      <c r="A27" t="s">
        <v>104</v>
      </c>
      <c r="B27" t="s">
        <v>105</v>
      </c>
      <c r="C27" t="b">
        <f>TRUE()</f>
        <v>1</v>
      </c>
      <c r="E27" t="b">
        <f>TRUE()</f>
        <v>1</v>
      </c>
    </row>
    <row r="28" spans="1:5">
      <c r="A28" t="s">
        <v>106</v>
      </c>
      <c r="B28" t="s">
        <v>152</v>
      </c>
      <c r="C28" t="b">
        <f>FALSE()</f>
        <v>0</v>
      </c>
      <c r="E28" t="b">
        <f>FALSE()</f>
        <v>0</v>
      </c>
    </row>
    <row r="29" spans="1:5">
      <c r="A29" t="s">
        <v>108</v>
      </c>
      <c r="B29" t="s">
        <v>22</v>
      </c>
      <c r="C29" t="b">
        <f>TRUE()</f>
        <v>1</v>
      </c>
      <c r="E29" t="b">
        <f>TRUE()</f>
        <v>1</v>
      </c>
    </row>
    <row r="30" spans="1:5">
      <c r="A30" t="s">
        <v>109</v>
      </c>
      <c r="B30" t="s">
        <v>153</v>
      </c>
      <c r="C30" t="b">
        <f>FALSE()</f>
        <v>0</v>
      </c>
      <c r="E30" t="b">
        <f>FALSE()</f>
        <v>0</v>
      </c>
    </row>
    <row r="31" spans="1:5">
      <c r="A31" t="s">
        <v>111</v>
      </c>
      <c r="B31" t="s">
        <v>154</v>
      </c>
      <c r="C31" t="b">
        <f>TRUE()</f>
        <v>1</v>
      </c>
      <c r="E31" t="b">
        <f>TRUE()</f>
        <v>1</v>
      </c>
    </row>
    <row r="32" spans="1:5">
      <c r="A32" t="s">
        <v>155</v>
      </c>
      <c r="B32" t="s">
        <v>156</v>
      </c>
      <c r="C32" t="b">
        <f>TRUE()</f>
        <v>1</v>
      </c>
      <c r="E32" t="b">
        <f>TRUE()</f>
        <v>1</v>
      </c>
    </row>
    <row r="33" spans="1:5">
      <c r="A33" t="s">
        <v>157</v>
      </c>
      <c r="B33" t="s">
        <v>158</v>
      </c>
      <c r="C33" t="b">
        <f>TRUE()</f>
        <v>1</v>
      </c>
      <c r="E33" t="b">
        <f>TRUE()</f>
        <v>1</v>
      </c>
    </row>
    <row r="34" spans="1:5">
      <c r="A34" t="s">
        <v>159</v>
      </c>
      <c r="B34" t="s">
        <v>160</v>
      </c>
      <c r="C34" t="b">
        <f>FALSE()</f>
        <v>0</v>
      </c>
      <c r="E34" t="b">
        <f>FALSE()</f>
        <v>0</v>
      </c>
    </row>
    <row r="35" spans="1:5">
      <c r="A35" t="s">
        <v>161</v>
      </c>
      <c r="B35" t="s">
        <v>22</v>
      </c>
      <c r="C35" t="b">
        <f>TRUE()</f>
        <v>1</v>
      </c>
      <c r="E35" t="b">
        <f>TRUE()</f>
        <v>1</v>
      </c>
    </row>
    <row r="36" spans="1:5">
      <c r="A36" t="s">
        <v>162</v>
      </c>
      <c r="B36" t="s">
        <v>160</v>
      </c>
      <c r="C36" t="b">
        <f>FALSE()</f>
        <v>0</v>
      </c>
      <c r="E36" t="b">
        <f>FALSE()</f>
        <v>0</v>
      </c>
    </row>
    <row r="37" spans="1:5">
      <c r="A37" t="s">
        <v>163</v>
      </c>
      <c r="B37" t="s">
        <v>160</v>
      </c>
      <c r="C37" t="b">
        <f>FALSE()</f>
        <v>0</v>
      </c>
      <c r="E37" t="b">
        <f>FALSE()</f>
        <v>0</v>
      </c>
    </row>
    <row r="38" spans="1:5">
      <c r="A38" t="s">
        <v>164</v>
      </c>
      <c r="B38" t="s">
        <v>165</v>
      </c>
      <c r="C38" t="b">
        <f>TRUE()</f>
        <v>1</v>
      </c>
      <c r="E38" t="b">
        <f>TRUE()</f>
        <v>1</v>
      </c>
    </row>
    <row r="39" spans="1:5">
      <c r="A39" t="s">
        <v>166</v>
      </c>
      <c r="B39" t="s">
        <v>167</v>
      </c>
      <c r="C39" t="b">
        <f>TRUE()</f>
        <v>1</v>
      </c>
      <c r="E39" t="b">
        <f>TRUE()</f>
        <v>1</v>
      </c>
    </row>
    <row r="40" spans="1:5">
      <c r="A40" t="s">
        <v>168</v>
      </c>
      <c r="B40" t="s">
        <v>169</v>
      </c>
      <c r="C40" t="b">
        <f>FALSE()</f>
        <v>0</v>
      </c>
      <c r="E40" t="b">
        <f>FALSE()</f>
        <v>0</v>
      </c>
    </row>
    <row r="41" spans="1:5">
      <c r="A41" t="s">
        <v>170</v>
      </c>
      <c r="B41" t="s">
        <v>56</v>
      </c>
      <c r="C41" t="b">
        <f>FALSE()</f>
        <v>0</v>
      </c>
      <c r="E41" t="b">
        <f>FALSE()</f>
        <v>0</v>
      </c>
    </row>
    <row r="42" spans="1:5">
      <c r="A42" t="s">
        <v>171</v>
      </c>
      <c r="B42" t="s">
        <v>172</v>
      </c>
      <c r="C42" t="b">
        <f>FALSE()</f>
        <v>0</v>
      </c>
      <c r="E42" t="b">
        <f>FALSE()</f>
        <v>0</v>
      </c>
    </row>
    <row r="43" spans="1:5">
      <c r="A43" t="s">
        <v>173</v>
      </c>
      <c r="B43" t="s">
        <v>174</v>
      </c>
      <c r="C43" t="b">
        <f>FALSE()</f>
        <v>0</v>
      </c>
      <c r="E43" t="b">
        <f>FALSE()</f>
        <v>0</v>
      </c>
    </row>
    <row r="44" spans="1:5">
      <c r="A44" t="s">
        <v>49</v>
      </c>
      <c r="B44" t="s">
        <v>50</v>
      </c>
      <c r="C44" t="b">
        <f>FALSE()</f>
        <v>0</v>
      </c>
      <c r="E44" t="b">
        <f>FALSE()</f>
        <v>0</v>
      </c>
    </row>
    <row r="45" spans="1:5">
      <c r="A45" t="s">
        <v>51</v>
      </c>
      <c r="B45" t="s">
        <v>52</v>
      </c>
      <c r="C45" t="b">
        <f>TRUE()</f>
        <v>1</v>
      </c>
      <c r="E45" t="b">
        <f>TRUE()</f>
        <v>1</v>
      </c>
    </row>
    <row r="46" spans="1:5">
      <c r="A46" t="s">
        <v>53</v>
      </c>
      <c r="B46" t="s">
        <v>175</v>
      </c>
      <c r="C46" t="b">
        <f>FALSE()</f>
        <v>0</v>
      </c>
      <c r="E46" t="b">
        <f>FALSE()</f>
        <v>0</v>
      </c>
    </row>
    <row r="47" spans="1:5">
      <c r="A47" t="s">
        <v>55</v>
      </c>
      <c r="B47" t="s">
        <v>56</v>
      </c>
      <c r="C47" t="b">
        <f>TRUE()</f>
        <v>1</v>
      </c>
      <c r="E47" t="b">
        <f>TRUE()</f>
        <v>1</v>
      </c>
    </row>
    <row r="48" spans="1:5">
      <c r="A48" t="s">
        <v>57</v>
      </c>
      <c r="B48" t="s">
        <v>176</v>
      </c>
      <c r="C48" t="b">
        <f>TRUE()</f>
        <v>1</v>
      </c>
      <c r="E48" t="b">
        <f>TRUE()</f>
        <v>1</v>
      </c>
    </row>
    <row r="49" spans="1:5">
      <c r="A49" t="s">
        <v>59</v>
      </c>
      <c r="B49" t="s">
        <v>114</v>
      </c>
      <c r="C49" t="b">
        <f>FALSE()</f>
        <v>0</v>
      </c>
      <c r="E49" t="b">
        <f>FALSE()</f>
        <v>0</v>
      </c>
    </row>
    <row r="50" spans="1:5">
      <c r="A50" t="s">
        <v>61</v>
      </c>
      <c r="B50" t="s">
        <v>115</v>
      </c>
      <c r="C50" t="b">
        <f>TRUE()</f>
        <v>1</v>
      </c>
      <c r="E50" t="b">
        <f>TRUE()</f>
        <v>1</v>
      </c>
    </row>
    <row r="51" spans="1:5">
      <c r="A51" t="s">
        <v>63</v>
      </c>
      <c r="B51" t="s">
        <v>64</v>
      </c>
      <c r="C51" t="b">
        <f>TRUE()</f>
        <v>1</v>
      </c>
      <c r="E51" t="b">
        <f>TRUE()</f>
        <v>1</v>
      </c>
    </row>
    <row r="52" spans="1:5">
      <c r="A52" t="s">
        <v>65</v>
      </c>
      <c r="B52" t="s">
        <v>177</v>
      </c>
      <c r="C52" t="b">
        <f>FALSE()</f>
        <v>0</v>
      </c>
      <c r="E52" t="b">
        <f>FALSE()</f>
        <v>0</v>
      </c>
    </row>
    <row r="53" spans="1:5">
      <c r="A53" t="s">
        <v>67</v>
      </c>
      <c r="B53" t="s">
        <v>56</v>
      </c>
      <c r="C53" t="b">
        <f>TRUE()</f>
        <v>1</v>
      </c>
      <c r="E53" t="b">
        <f>TRUE()</f>
        <v>1</v>
      </c>
    </row>
    <row r="54" spans="1:5">
      <c r="A54" t="s">
        <v>68</v>
      </c>
      <c r="B54" t="s">
        <v>69</v>
      </c>
      <c r="C54" t="b">
        <f>FALSE()</f>
        <v>0</v>
      </c>
      <c r="E54" t="b">
        <f>FALSE()</f>
        <v>0</v>
      </c>
    </row>
    <row r="55" spans="1:5">
      <c r="A55" t="s">
        <v>70</v>
      </c>
      <c r="B55" t="s">
        <v>178</v>
      </c>
      <c r="C55" t="b">
        <f>FALSE()</f>
        <v>0</v>
      </c>
      <c r="E55" t="b">
        <f>FALSE()</f>
        <v>0</v>
      </c>
    </row>
    <row r="56" spans="1:5">
      <c r="A56" t="s">
        <v>72</v>
      </c>
      <c r="B56" t="s">
        <v>73</v>
      </c>
      <c r="C56" t="b">
        <f>TRUE()</f>
        <v>1</v>
      </c>
      <c r="E56" t="b">
        <f>TRUE()</f>
        <v>1</v>
      </c>
    </row>
    <row r="57" spans="1:5">
      <c r="A57" t="s">
        <v>74</v>
      </c>
      <c r="B57" t="s">
        <v>75</v>
      </c>
      <c r="C57" t="b">
        <f>TRUE()</f>
        <v>1</v>
      </c>
      <c r="E57" t="b">
        <f>TRUE()</f>
        <v>1</v>
      </c>
    </row>
    <row r="58" spans="1:5">
      <c r="A58" t="s">
        <v>76</v>
      </c>
      <c r="B58" t="s">
        <v>77</v>
      </c>
      <c r="C58" t="b">
        <f>FALSE()</f>
        <v>0</v>
      </c>
      <c r="E58" t="b">
        <f>FALSE()</f>
        <v>0</v>
      </c>
    </row>
    <row r="59" spans="1:5">
      <c r="A59" t="s">
        <v>78</v>
      </c>
      <c r="B59" t="s">
        <v>56</v>
      </c>
      <c r="C59" t="b">
        <f>TRUE()</f>
        <v>1</v>
      </c>
      <c r="E59" t="b">
        <f>TRUE()</f>
        <v>1</v>
      </c>
    </row>
    <row r="60" spans="1:5">
      <c r="A60" t="s">
        <v>79</v>
      </c>
      <c r="B60" t="s">
        <v>179</v>
      </c>
      <c r="C60" t="b">
        <f>FALSE()</f>
        <v>0</v>
      </c>
      <c r="E60" t="b">
        <f>FALSE()</f>
        <v>0</v>
      </c>
    </row>
    <row r="61" spans="1:5">
      <c r="A61" t="s">
        <v>81</v>
      </c>
      <c r="B61" t="s">
        <v>174</v>
      </c>
      <c r="C61" t="b">
        <f>FALSE()</f>
        <v>0</v>
      </c>
      <c r="E61" t="b">
        <f>FALSE()</f>
        <v>0</v>
      </c>
    </row>
    <row r="62" spans="1:5">
      <c r="A62" t="s">
        <v>121</v>
      </c>
      <c r="B62" t="s">
        <v>180</v>
      </c>
      <c r="C62" t="b">
        <f>FALSE()</f>
        <v>0</v>
      </c>
      <c r="E62" t="b">
        <f>FALSE()</f>
        <v>0</v>
      </c>
    </row>
    <row r="63" spans="1:5">
      <c r="A63" t="s">
        <v>123</v>
      </c>
      <c r="B63" t="s">
        <v>124</v>
      </c>
      <c r="C63" t="b">
        <f>TRUE()</f>
        <v>1</v>
      </c>
      <c r="E63" t="b">
        <f>TRUE()</f>
        <v>1</v>
      </c>
    </row>
    <row r="64" spans="1:5">
      <c r="A64" t="s">
        <v>125</v>
      </c>
      <c r="B64" t="s">
        <v>126</v>
      </c>
      <c r="C64" t="b">
        <f>FALSE()</f>
        <v>0</v>
      </c>
      <c r="E64" t="b">
        <f>FALSE()</f>
        <v>0</v>
      </c>
    </row>
    <row r="65" spans="1:5">
      <c r="A65" t="s">
        <v>127</v>
      </c>
      <c r="B65" t="s">
        <v>56</v>
      </c>
      <c r="C65" t="b">
        <f>TRUE()</f>
        <v>1</v>
      </c>
      <c r="E65" t="b">
        <f>TRUE()</f>
        <v>1</v>
      </c>
    </row>
    <row r="66" spans="1:5" ht="61.15">
      <c r="A66" t="s">
        <v>128</v>
      </c>
      <c r="B66" s="2" t="s">
        <v>181</v>
      </c>
      <c r="C66" t="s">
        <v>2</v>
      </c>
      <c r="E66" t="s">
        <v>2</v>
      </c>
    </row>
    <row r="67" spans="1:5">
      <c r="A67" t="s">
        <v>130</v>
      </c>
      <c r="B67" t="s">
        <v>131</v>
      </c>
      <c r="C67" t="b">
        <f>FALSE()</f>
        <v>0</v>
      </c>
      <c r="E67" t="b">
        <f>FALSE()</f>
        <v>0</v>
      </c>
    </row>
    <row r="68" spans="1:5">
      <c r="A68" t="s">
        <v>132</v>
      </c>
      <c r="B68" t="s">
        <v>133</v>
      </c>
      <c r="C68" t="b">
        <f>TRUE()</f>
        <v>1</v>
      </c>
      <c r="E68" t="b">
        <f>TRUE()</f>
        <v>1</v>
      </c>
    </row>
    <row r="69" spans="1:5">
      <c r="A69" t="s">
        <v>134</v>
      </c>
      <c r="B69" t="s">
        <v>135</v>
      </c>
      <c r="C69" t="b">
        <f>TRUE()</f>
        <v>1</v>
      </c>
      <c r="E69" t="b">
        <f>TRUE()</f>
        <v>1</v>
      </c>
    </row>
    <row r="70" spans="1:5">
      <c r="A70" t="s">
        <v>136</v>
      </c>
      <c r="B70" t="s">
        <v>182</v>
      </c>
      <c r="C70" t="b">
        <f>FALSE()</f>
        <v>0</v>
      </c>
      <c r="E70" t="b">
        <f>FALSE()</f>
        <v>0</v>
      </c>
    </row>
    <row r="71" spans="1:5">
      <c r="A71" t="s">
        <v>138</v>
      </c>
      <c r="B71" t="s">
        <v>56</v>
      </c>
      <c r="C71" t="b">
        <f>TRUE()</f>
        <v>1</v>
      </c>
      <c r="E71" t="b">
        <f>TRUE()</f>
        <v>1</v>
      </c>
    </row>
    <row r="72" spans="1:5">
      <c r="A72" t="s">
        <v>139</v>
      </c>
      <c r="B72" t="s">
        <v>183</v>
      </c>
      <c r="C72" t="b">
        <f>FALSE()</f>
        <v>0</v>
      </c>
      <c r="E72" t="b">
        <f>FALSE()</f>
        <v>0</v>
      </c>
    </row>
    <row r="73" spans="1:5">
      <c r="A73" t="s">
        <v>141</v>
      </c>
      <c r="B73" t="s">
        <v>184</v>
      </c>
      <c r="C73" t="b">
        <f>FALSE()</f>
        <v>0</v>
      </c>
      <c r="E73" t="b">
        <f>FALSE()</f>
        <v>0</v>
      </c>
    </row>
    <row r="74" spans="1:5">
      <c r="A74" t="s">
        <v>185</v>
      </c>
      <c r="B74" t="s">
        <v>186</v>
      </c>
      <c r="C74" t="b">
        <f>TRUE()</f>
        <v>1</v>
      </c>
      <c r="E74" t="b">
        <f>TRUE()</f>
        <v>1</v>
      </c>
    </row>
    <row r="75" spans="1:5">
      <c r="A75" t="s">
        <v>187</v>
      </c>
      <c r="B75" t="s">
        <v>188</v>
      </c>
      <c r="C75" t="b">
        <f>TRUE()</f>
        <v>1</v>
      </c>
      <c r="E75" t="b">
        <f>TRUE()</f>
        <v>1</v>
      </c>
    </row>
    <row r="76" spans="1:5">
      <c r="A76" t="s">
        <v>189</v>
      </c>
      <c r="B76" t="s">
        <v>190</v>
      </c>
      <c r="C76" t="b">
        <f>FALSE()</f>
        <v>0</v>
      </c>
      <c r="E76" t="b">
        <f>FALSE()</f>
        <v>0</v>
      </c>
    </row>
    <row r="77" spans="1:5">
      <c r="A77" t="s">
        <v>191</v>
      </c>
      <c r="B77" t="s">
        <v>56</v>
      </c>
      <c r="C77" t="b">
        <f>TRUE()</f>
        <v>1</v>
      </c>
      <c r="E77" t="b">
        <f>TRUE()</f>
        <v>1</v>
      </c>
    </row>
    <row r="78" spans="1:5">
      <c r="A78" t="s">
        <v>192</v>
      </c>
      <c r="B78" t="s">
        <v>193</v>
      </c>
      <c r="C78" t="b">
        <f>FALSE()</f>
        <v>0</v>
      </c>
      <c r="E78" t="b">
        <f>FALSE()</f>
        <v>0</v>
      </c>
    </row>
    <row r="79" spans="1:5">
      <c r="A79" t="s">
        <v>194</v>
      </c>
      <c r="B79" t="s">
        <v>195</v>
      </c>
      <c r="C79" t="b">
        <f>FALSE()</f>
        <v>0</v>
      </c>
      <c r="E79" t="b">
        <f>FALSE()</f>
        <v>0</v>
      </c>
    </row>
    <row r="80" spans="1:5">
      <c r="A80" t="s">
        <v>196</v>
      </c>
      <c r="B80" t="s">
        <v>197</v>
      </c>
      <c r="C80" t="b">
        <f>TRUE()</f>
        <v>1</v>
      </c>
      <c r="E80" t="b">
        <f>TRUE()</f>
        <v>1</v>
      </c>
    </row>
    <row r="81" spans="1:5">
      <c r="A81" t="s">
        <v>198</v>
      </c>
      <c r="B81" t="s">
        <v>199</v>
      </c>
      <c r="C81" t="b">
        <f>TRUE()</f>
        <v>1</v>
      </c>
      <c r="E81" t="b">
        <f>TRUE()</f>
        <v>1</v>
      </c>
    </row>
    <row r="82" spans="1:5">
      <c r="A82" t="s">
        <v>200</v>
      </c>
      <c r="B82" t="s">
        <v>201</v>
      </c>
      <c r="C82" t="b">
        <f>FALSE()</f>
        <v>0</v>
      </c>
      <c r="E82" t="b">
        <f>FALSE()</f>
        <v>0</v>
      </c>
    </row>
    <row r="83" spans="1:5">
      <c r="A83" t="s">
        <v>202</v>
      </c>
      <c r="B83" t="s">
        <v>56</v>
      </c>
      <c r="C83" t="b">
        <f>TRUE()</f>
        <v>1</v>
      </c>
      <c r="E83" t="b">
        <f>TRUE()</f>
        <v>1</v>
      </c>
    </row>
    <row r="84" spans="1:5">
      <c r="A84" t="s">
        <v>203</v>
      </c>
      <c r="B84" t="s">
        <v>204</v>
      </c>
      <c r="C84" t="b">
        <f>FALSE()</f>
        <v>0</v>
      </c>
      <c r="E84" t="b">
        <f>FALSE()</f>
        <v>0</v>
      </c>
    </row>
    <row r="85" spans="1:5">
      <c r="A85" t="s">
        <v>205</v>
      </c>
      <c r="B85" t="s">
        <v>206</v>
      </c>
      <c r="C85" t="b">
        <f>FALSE()</f>
        <v>0</v>
      </c>
      <c r="E85" t="b">
        <f>FALSE()</f>
        <v>0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21"/>
  <sheetViews>
    <sheetView zoomScaleNormal="100" workbookViewId="0">
      <selection activeCell="E2" sqref="E2"/>
    </sheetView>
  </sheetViews>
  <sheetFormatPr defaultColWidth="8.5703125" defaultRowHeight="15"/>
  <cols>
    <col min="1" max="1" width="46.42578125" customWidth="1"/>
    <col min="2" max="2" width="74.42578125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143</v>
      </c>
      <c r="C2" t="b">
        <f>TRUE()</f>
        <v>1</v>
      </c>
      <c r="E2" t="b">
        <f>TRUE()</f>
        <v>1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207</v>
      </c>
      <c r="C4" t="b">
        <f>FALSE()</f>
        <v>0</v>
      </c>
      <c r="E4" t="b">
        <f>FALSE()</f>
        <v>0</v>
      </c>
    </row>
    <row r="5" spans="1:5">
      <c r="A5" t="s">
        <v>21</v>
      </c>
      <c r="B5" t="s">
        <v>22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208</v>
      </c>
      <c r="C6" t="b">
        <f>FALSE()</f>
        <v>0</v>
      </c>
      <c r="E6" t="b">
        <f>FALSE()</f>
        <v>0</v>
      </c>
    </row>
    <row r="7" spans="1:5">
      <c r="A7" t="s">
        <v>25</v>
      </c>
      <c r="B7" t="s">
        <v>174</v>
      </c>
      <c r="C7" t="b">
        <f>FALSE()</f>
        <v>0</v>
      </c>
      <c r="E7" t="b">
        <f>FALSE()</f>
        <v>0</v>
      </c>
    </row>
    <row r="8" spans="1:5">
      <c r="A8" t="s">
        <v>27</v>
      </c>
      <c r="B8" t="s">
        <v>28</v>
      </c>
      <c r="C8" t="b">
        <f>TRUE()</f>
        <v>1</v>
      </c>
      <c r="E8" t="b">
        <f>TRUE()</f>
        <v>1</v>
      </c>
    </row>
    <row r="9" spans="1:5">
      <c r="A9" t="s">
        <v>29</v>
      </c>
      <c r="B9" t="s">
        <v>30</v>
      </c>
      <c r="C9" t="b">
        <f>TRUE()</f>
        <v>1</v>
      </c>
      <c r="E9" t="b">
        <f>TRUE()</f>
        <v>1</v>
      </c>
    </row>
    <row r="10" spans="1:5">
      <c r="A10" t="s">
        <v>31</v>
      </c>
      <c r="B10" t="s">
        <v>209</v>
      </c>
      <c r="C10" t="b">
        <f>FALSE()</f>
        <v>0</v>
      </c>
      <c r="E10" t="b">
        <f>FALSE()</f>
        <v>0</v>
      </c>
    </row>
    <row r="11" spans="1:5">
      <c r="A11" t="s">
        <v>33</v>
      </c>
      <c r="B11" t="s">
        <v>22</v>
      </c>
      <c r="C11" t="b">
        <f>TRUE()</f>
        <v>1</v>
      </c>
      <c r="E11" t="b">
        <f>TRUE()</f>
        <v>1</v>
      </c>
    </row>
    <row r="12" spans="1:5">
      <c r="A12" t="s">
        <v>34</v>
      </c>
      <c r="B12" t="s">
        <v>210</v>
      </c>
      <c r="C12" t="b">
        <f>FALSE()</f>
        <v>0</v>
      </c>
      <c r="E12" t="b">
        <f>FALSE()</f>
        <v>0</v>
      </c>
    </row>
    <row r="13" spans="1:5">
      <c r="A13" t="s">
        <v>36</v>
      </c>
      <c r="B13" t="s">
        <v>87</v>
      </c>
      <c r="C13" t="b">
        <f>FALSE()</f>
        <v>0</v>
      </c>
      <c r="E13" t="b">
        <f>FALSE()</f>
        <v>0</v>
      </c>
    </row>
    <row r="14" spans="1:5">
      <c r="A14" t="s">
        <v>38</v>
      </c>
      <c r="B14" t="s">
        <v>211</v>
      </c>
      <c r="C14" t="b">
        <f>FALSE()</f>
        <v>0</v>
      </c>
      <c r="E14" t="b">
        <f>FALSE()</f>
        <v>0</v>
      </c>
    </row>
    <row r="15" spans="1:5">
      <c r="A15" t="s">
        <v>40</v>
      </c>
      <c r="B15" t="s">
        <v>41</v>
      </c>
      <c r="C15" t="b">
        <f>TRUE()</f>
        <v>1</v>
      </c>
      <c r="E15" t="b">
        <f>TRUE()</f>
        <v>1</v>
      </c>
    </row>
    <row r="16" spans="1:5">
      <c r="A16" t="s">
        <v>42</v>
      </c>
      <c r="B16" t="s">
        <v>148</v>
      </c>
      <c r="C16" t="b">
        <f>FALSE()</f>
        <v>0</v>
      </c>
      <c r="E16" t="b">
        <f>FALSE()</f>
        <v>0</v>
      </c>
    </row>
    <row r="17" spans="1:5">
      <c r="A17" t="s">
        <v>44</v>
      </c>
      <c r="B17" t="s">
        <v>22</v>
      </c>
      <c r="C17" t="b">
        <f>TRUE()</f>
        <v>1</v>
      </c>
      <c r="E17" t="b">
        <f>TRUE()</f>
        <v>1</v>
      </c>
    </row>
    <row r="18" spans="1:5">
      <c r="A18" t="s">
        <v>45</v>
      </c>
      <c r="B18" t="s">
        <v>91</v>
      </c>
      <c r="C18" t="b">
        <f>FALSE()</f>
        <v>0</v>
      </c>
      <c r="E18" t="b">
        <f>FALSE()</f>
        <v>0</v>
      </c>
    </row>
    <row r="19" spans="1:5">
      <c r="A19" t="s">
        <v>47</v>
      </c>
      <c r="B19" t="s">
        <v>212</v>
      </c>
      <c r="C19" t="b">
        <f>FALSE()</f>
        <v>0</v>
      </c>
      <c r="E19" t="b">
        <f>FALSE()</f>
        <v>0</v>
      </c>
    </row>
    <row r="20" spans="1:5">
      <c r="A20" t="s">
        <v>92</v>
      </c>
      <c r="B20" t="s">
        <v>93</v>
      </c>
      <c r="C20" t="b">
        <f>FALSE()</f>
        <v>0</v>
      </c>
      <c r="E20" t="b">
        <f>FALSE()</f>
        <v>0</v>
      </c>
    </row>
    <row r="21" spans="1:5">
      <c r="A21" t="s">
        <v>94</v>
      </c>
      <c r="B21" t="s">
        <v>95</v>
      </c>
      <c r="C21" t="b">
        <f>TRUE()</f>
        <v>1</v>
      </c>
      <c r="E21" t="b">
        <f>TRUE()</f>
        <v>1</v>
      </c>
    </row>
    <row r="22" spans="1:5">
      <c r="A22" t="s">
        <v>96</v>
      </c>
      <c r="B22" t="s">
        <v>93</v>
      </c>
      <c r="C22" t="b">
        <f>FALSE()</f>
        <v>0</v>
      </c>
      <c r="E22" t="b">
        <f>FALSE()</f>
        <v>0</v>
      </c>
    </row>
    <row r="23" spans="1:5">
      <c r="A23" t="s">
        <v>97</v>
      </c>
      <c r="B23" t="s">
        <v>56</v>
      </c>
      <c r="C23" t="b">
        <f>FALSE()</f>
        <v>0</v>
      </c>
      <c r="E23" t="b">
        <f>FALSE()</f>
        <v>0</v>
      </c>
    </row>
    <row r="24" spans="1:5">
      <c r="A24" t="s">
        <v>98</v>
      </c>
      <c r="B24" t="s">
        <v>99</v>
      </c>
      <c r="C24" t="b">
        <f>FALSE()</f>
        <v>0</v>
      </c>
      <c r="E24" t="b">
        <f>FALSE()</f>
        <v>0</v>
      </c>
    </row>
    <row r="25" spans="1:5">
      <c r="A25" t="s">
        <v>100</v>
      </c>
      <c r="B25" t="s">
        <v>213</v>
      </c>
      <c r="C25" t="b">
        <f>FALSE()</f>
        <v>0</v>
      </c>
      <c r="E25" t="b">
        <f>FALSE()</f>
        <v>0</v>
      </c>
    </row>
    <row r="26" spans="1:5">
      <c r="A26" t="s">
        <v>102</v>
      </c>
      <c r="B26" t="s">
        <v>103</v>
      </c>
      <c r="C26" t="b">
        <f>TRUE()</f>
        <v>1</v>
      </c>
      <c r="E26" t="b">
        <f>TRUE()</f>
        <v>1</v>
      </c>
    </row>
    <row r="27" spans="1:5">
      <c r="A27" t="s">
        <v>104</v>
      </c>
      <c r="B27" t="s">
        <v>105</v>
      </c>
      <c r="C27" t="b">
        <f>TRUE()</f>
        <v>1</v>
      </c>
      <c r="E27" t="b">
        <f>TRUE()</f>
        <v>1</v>
      </c>
    </row>
    <row r="28" spans="1:5">
      <c r="A28" t="s">
        <v>106</v>
      </c>
      <c r="B28" t="s">
        <v>214</v>
      </c>
      <c r="C28" t="b">
        <f>FALSE()</f>
        <v>0</v>
      </c>
      <c r="E28" t="b">
        <f>FALSE()</f>
        <v>0</v>
      </c>
    </row>
    <row r="29" spans="1:5">
      <c r="A29" t="s">
        <v>108</v>
      </c>
      <c r="B29" t="s">
        <v>22</v>
      </c>
      <c r="C29" t="b">
        <f>TRUE()</f>
        <v>1</v>
      </c>
      <c r="E29" t="b">
        <f>TRUE()</f>
        <v>1</v>
      </c>
    </row>
    <row r="30" spans="1:5">
      <c r="A30" t="s">
        <v>109</v>
      </c>
      <c r="B30" t="s">
        <v>110</v>
      </c>
      <c r="C30" t="b">
        <f>FALSE()</f>
        <v>0</v>
      </c>
      <c r="E30" t="b">
        <f>FALSE()</f>
        <v>0</v>
      </c>
    </row>
    <row r="31" spans="1:5">
      <c r="A31" t="s">
        <v>111</v>
      </c>
      <c r="B31" t="s">
        <v>215</v>
      </c>
      <c r="C31" t="b">
        <f>FALSE()</f>
        <v>0</v>
      </c>
      <c r="E31" t="b">
        <f>FALSE()</f>
        <v>0</v>
      </c>
    </row>
    <row r="32" spans="1:5">
      <c r="A32" t="s">
        <v>155</v>
      </c>
      <c r="B32" t="s">
        <v>156</v>
      </c>
      <c r="C32" t="b">
        <f>TRUE()</f>
        <v>1</v>
      </c>
      <c r="E32" t="b">
        <f>TRUE()</f>
        <v>1</v>
      </c>
    </row>
    <row r="33" spans="1:5">
      <c r="A33" t="s">
        <v>157</v>
      </c>
      <c r="B33" t="s">
        <v>158</v>
      </c>
      <c r="C33" t="b">
        <f>TRUE()</f>
        <v>1</v>
      </c>
      <c r="E33" t="b">
        <f>TRUE()</f>
        <v>1</v>
      </c>
    </row>
    <row r="34" spans="1:5">
      <c r="A34" t="s">
        <v>159</v>
      </c>
      <c r="B34" t="s">
        <v>160</v>
      </c>
      <c r="C34" t="b">
        <f>FALSE()</f>
        <v>0</v>
      </c>
      <c r="E34" t="b">
        <f>FALSE()</f>
        <v>0</v>
      </c>
    </row>
    <row r="35" spans="1:5">
      <c r="A35" t="s">
        <v>161</v>
      </c>
      <c r="B35" t="s">
        <v>56</v>
      </c>
      <c r="C35" t="b">
        <f>FALSE()</f>
        <v>0</v>
      </c>
      <c r="E35" t="b">
        <f>FALSE()</f>
        <v>0</v>
      </c>
    </row>
    <row r="36" spans="1:5">
      <c r="A36" t="s">
        <v>162</v>
      </c>
      <c r="B36" t="s">
        <v>216</v>
      </c>
      <c r="C36" t="b">
        <f>FALSE()</f>
        <v>0</v>
      </c>
      <c r="E36" t="b">
        <f>FALSE()</f>
        <v>0</v>
      </c>
    </row>
    <row r="37" spans="1:5">
      <c r="A37" t="s">
        <v>163</v>
      </c>
      <c r="B37" t="s">
        <v>160</v>
      </c>
      <c r="C37" t="b">
        <f>FALSE()</f>
        <v>0</v>
      </c>
      <c r="E37" t="b">
        <f>FALSE()</f>
        <v>0</v>
      </c>
    </row>
    <row r="38" spans="1:5">
      <c r="A38" t="s">
        <v>164</v>
      </c>
      <c r="B38" t="s">
        <v>165</v>
      </c>
      <c r="C38" t="b">
        <f>TRUE()</f>
        <v>1</v>
      </c>
      <c r="E38" t="b">
        <f>TRUE()</f>
        <v>1</v>
      </c>
    </row>
    <row r="39" spans="1:5">
      <c r="A39" t="s">
        <v>166</v>
      </c>
      <c r="B39" t="s">
        <v>167</v>
      </c>
      <c r="C39" t="b">
        <f>TRUE()</f>
        <v>1</v>
      </c>
      <c r="E39" t="b">
        <f>TRUE()</f>
        <v>1</v>
      </c>
    </row>
    <row r="40" spans="1:5">
      <c r="A40" t="s">
        <v>168</v>
      </c>
      <c r="B40" t="s">
        <v>217</v>
      </c>
      <c r="C40" t="b">
        <f>FALSE()</f>
        <v>0</v>
      </c>
      <c r="E40" t="b">
        <f>FALSE()</f>
        <v>0</v>
      </c>
    </row>
    <row r="41" spans="1:5">
      <c r="A41" t="s">
        <v>170</v>
      </c>
      <c r="B41" t="s">
        <v>22</v>
      </c>
      <c r="C41" t="b">
        <f>TRUE()</f>
        <v>1</v>
      </c>
      <c r="E41" t="b">
        <f>TRUE()</f>
        <v>1</v>
      </c>
    </row>
    <row r="42" spans="1:5">
      <c r="A42" t="s">
        <v>171</v>
      </c>
      <c r="B42" t="s">
        <v>218</v>
      </c>
      <c r="C42" t="b">
        <f>FALSE()</f>
        <v>0</v>
      </c>
      <c r="E42" t="b">
        <f>FALSE()</f>
        <v>0</v>
      </c>
    </row>
    <row r="43" spans="1:5">
      <c r="A43" t="s">
        <v>173</v>
      </c>
      <c r="B43" t="s">
        <v>219</v>
      </c>
      <c r="C43" t="b">
        <f>FALSE()</f>
        <v>0</v>
      </c>
      <c r="E43" t="b">
        <f>FALSE()</f>
        <v>0</v>
      </c>
    </row>
    <row r="44" spans="1:5">
      <c r="A44" t="s">
        <v>220</v>
      </c>
      <c r="B44" t="s">
        <v>221</v>
      </c>
      <c r="C44" t="b">
        <f>TRUE()</f>
        <v>1</v>
      </c>
      <c r="E44" t="b">
        <f>TRUE()</f>
        <v>1</v>
      </c>
    </row>
    <row r="45" spans="1:5">
      <c r="A45" t="s">
        <v>222</v>
      </c>
      <c r="B45" t="s">
        <v>223</v>
      </c>
      <c r="C45" t="b">
        <f>TRUE()</f>
        <v>1</v>
      </c>
      <c r="E45" t="b">
        <f>TRUE()</f>
        <v>1</v>
      </c>
    </row>
    <row r="46" spans="1:5">
      <c r="A46" t="s">
        <v>224</v>
      </c>
      <c r="B46" t="s">
        <v>225</v>
      </c>
      <c r="C46" t="b">
        <f>FALSE()</f>
        <v>0</v>
      </c>
      <c r="E46" t="b">
        <f>FALSE()</f>
        <v>0</v>
      </c>
    </row>
    <row r="47" spans="1:5">
      <c r="A47" t="s">
        <v>226</v>
      </c>
      <c r="B47" t="s">
        <v>22</v>
      </c>
      <c r="C47" t="b">
        <f>TRUE()</f>
        <v>1</v>
      </c>
      <c r="E47" t="b">
        <f>TRUE()</f>
        <v>1</v>
      </c>
    </row>
    <row r="48" spans="1:5">
      <c r="A48" t="s">
        <v>227</v>
      </c>
      <c r="B48" t="s">
        <v>228</v>
      </c>
      <c r="C48" t="s">
        <v>2</v>
      </c>
      <c r="E48" t="s">
        <v>2</v>
      </c>
    </row>
    <row r="49" spans="1:5">
      <c r="A49" t="s">
        <v>229</v>
      </c>
      <c r="B49" t="s">
        <v>230</v>
      </c>
      <c r="C49" t="b">
        <f>FALSE()</f>
        <v>0</v>
      </c>
      <c r="E49" t="b">
        <f>FALSE()</f>
        <v>0</v>
      </c>
    </row>
    <row r="50" spans="1:5">
      <c r="A50" t="s">
        <v>231</v>
      </c>
      <c r="B50" t="s">
        <v>232</v>
      </c>
      <c r="C50" t="b">
        <f>TRUE()</f>
        <v>1</v>
      </c>
      <c r="E50" t="b">
        <f>TRUE()</f>
        <v>1</v>
      </c>
    </row>
    <row r="51" spans="1:5">
      <c r="A51" t="s">
        <v>233</v>
      </c>
      <c r="B51" t="s">
        <v>234</v>
      </c>
      <c r="C51" t="b">
        <f>TRUE()</f>
        <v>1</v>
      </c>
      <c r="E51" t="b">
        <f>TRUE()</f>
        <v>1</v>
      </c>
    </row>
    <row r="52" spans="1:5">
      <c r="A52" t="s">
        <v>235</v>
      </c>
      <c r="B52" t="s">
        <v>236</v>
      </c>
      <c r="C52" t="b">
        <f>FALSE()</f>
        <v>0</v>
      </c>
      <c r="E52" t="b">
        <f>FALSE()</f>
        <v>0</v>
      </c>
    </row>
    <row r="53" spans="1:5">
      <c r="A53" t="s">
        <v>237</v>
      </c>
      <c r="B53" t="s">
        <v>22</v>
      </c>
      <c r="C53" t="b">
        <f>TRUE()</f>
        <v>1</v>
      </c>
      <c r="E53" t="b">
        <f>TRUE()</f>
        <v>1</v>
      </c>
    </row>
    <row r="54" spans="1:5">
      <c r="A54" t="s">
        <v>238</v>
      </c>
      <c r="B54" t="s">
        <v>239</v>
      </c>
      <c r="C54" t="b">
        <f>FALSE()</f>
        <v>0</v>
      </c>
      <c r="E54" t="b">
        <f>FALSE()</f>
        <v>0</v>
      </c>
    </row>
    <row r="55" spans="1:5">
      <c r="A55" t="s">
        <v>240</v>
      </c>
      <c r="B55" t="s">
        <v>241</v>
      </c>
      <c r="C55" t="b">
        <f>FALSE()</f>
        <v>0</v>
      </c>
      <c r="E55" t="b">
        <f>FALSE()</f>
        <v>0</v>
      </c>
    </row>
    <row r="56" spans="1:5">
      <c r="A56" t="s">
        <v>242</v>
      </c>
      <c r="B56" t="s">
        <v>243</v>
      </c>
      <c r="C56" t="b">
        <f>TRUE()</f>
        <v>1</v>
      </c>
      <c r="E56" t="b">
        <f>TRUE()</f>
        <v>1</v>
      </c>
    </row>
    <row r="57" spans="1:5">
      <c r="A57" t="s">
        <v>244</v>
      </c>
      <c r="B57" t="s">
        <v>245</v>
      </c>
      <c r="C57" t="b">
        <f>TRUE()</f>
        <v>1</v>
      </c>
      <c r="E57" t="b">
        <f>TRUE()</f>
        <v>1</v>
      </c>
    </row>
    <row r="58" spans="1:5">
      <c r="A58" t="s">
        <v>246</v>
      </c>
      <c r="B58" t="s">
        <v>247</v>
      </c>
      <c r="C58" t="b">
        <f>FALSE()</f>
        <v>0</v>
      </c>
      <c r="E58" t="b">
        <f>FALSE()</f>
        <v>0</v>
      </c>
    </row>
    <row r="59" spans="1:5">
      <c r="A59" t="s">
        <v>248</v>
      </c>
      <c r="B59" t="s">
        <v>22</v>
      </c>
      <c r="C59" t="b">
        <f>TRUE()</f>
        <v>1</v>
      </c>
      <c r="E59" t="b">
        <f>TRUE()</f>
        <v>1</v>
      </c>
    </row>
    <row r="60" spans="1:5">
      <c r="A60" t="s">
        <v>249</v>
      </c>
      <c r="B60" t="s">
        <v>250</v>
      </c>
      <c r="C60" t="b">
        <f>FALSE()</f>
        <v>0</v>
      </c>
      <c r="E60" t="b">
        <f>FALSE()</f>
        <v>0</v>
      </c>
    </row>
    <row r="61" spans="1:5">
      <c r="A61" t="s">
        <v>251</v>
      </c>
      <c r="B61" t="s">
        <v>247</v>
      </c>
      <c r="C61" t="b">
        <f>FALSE()</f>
        <v>0</v>
      </c>
      <c r="E61" t="b">
        <f>FALSE()</f>
        <v>0</v>
      </c>
    </row>
    <row r="62" spans="1:5">
      <c r="A62" t="s">
        <v>49</v>
      </c>
      <c r="B62" t="s">
        <v>50</v>
      </c>
      <c r="C62" t="b">
        <f>FALSE()</f>
        <v>0</v>
      </c>
      <c r="E62" t="b">
        <f>FALSE()</f>
        <v>0</v>
      </c>
    </row>
    <row r="63" spans="1:5">
      <c r="A63" t="s">
        <v>51</v>
      </c>
      <c r="B63" t="s">
        <v>52</v>
      </c>
      <c r="C63" t="b">
        <f>TRUE()</f>
        <v>1</v>
      </c>
      <c r="E63" t="b">
        <f>TRUE()</f>
        <v>1</v>
      </c>
    </row>
    <row r="64" spans="1:5">
      <c r="A64" t="s">
        <v>53</v>
      </c>
      <c r="B64" t="s">
        <v>252</v>
      </c>
      <c r="C64" t="b">
        <f>FALSE()</f>
        <v>0</v>
      </c>
      <c r="E64" t="b">
        <f>FALSE()</f>
        <v>0</v>
      </c>
    </row>
    <row r="65" spans="1:5">
      <c r="A65" t="s">
        <v>55</v>
      </c>
      <c r="B65" t="s">
        <v>56</v>
      </c>
      <c r="C65" t="b">
        <f>TRUE()</f>
        <v>1</v>
      </c>
      <c r="E65" t="b">
        <f>TRUE()</f>
        <v>1</v>
      </c>
    </row>
    <row r="66" spans="1:5">
      <c r="A66" t="s">
        <v>57</v>
      </c>
      <c r="B66" t="s">
        <v>253</v>
      </c>
      <c r="C66" t="b">
        <f>FALSE()</f>
        <v>0</v>
      </c>
      <c r="E66" t="b">
        <f>FALSE()</f>
        <v>0</v>
      </c>
    </row>
    <row r="67" spans="1:5">
      <c r="A67" t="s">
        <v>59</v>
      </c>
      <c r="B67" t="s">
        <v>254</v>
      </c>
      <c r="C67" t="b">
        <f>FALSE()</f>
        <v>0</v>
      </c>
      <c r="E67" t="b">
        <f>FALSE()</f>
        <v>0</v>
      </c>
    </row>
    <row r="68" spans="1:5">
      <c r="A68" t="s">
        <v>61</v>
      </c>
      <c r="B68" t="s">
        <v>62</v>
      </c>
      <c r="C68" t="b">
        <f>TRUE()</f>
        <v>1</v>
      </c>
      <c r="E68" t="b">
        <f>TRUE()</f>
        <v>1</v>
      </c>
    </row>
    <row r="69" spans="1:5">
      <c r="A69" t="s">
        <v>63</v>
      </c>
      <c r="B69" t="s">
        <v>64</v>
      </c>
      <c r="C69" t="b">
        <f>TRUE()</f>
        <v>1</v>
      </c>
      <c r="E69" t="b">
        <f>TRUE()</f>
        <v>1</v>
      </c>
    </row>
    <row r="70" spans="1:5">
      <c r="A70" t="s">
        <v>65</v>
      </c>
      <c r="B70" t="s">
        <v>255</v>
      </c>
      <c r="C70" t="b">
        <f>FALSE()</f>
        <v>0</v>
      </c>
      <c r="E70" t="b">
        <f>FALSE()</f>
        <v>0</v>
      </c>
    </row>
    <row r="71" spans="1:5">
      <c r="A71" t="s">
        <v>67</v>
      </c>
      <c r="B71" t="s">
        <v>56</v>
      </c>
      <c r="C71" t="b">
        <f>TRUE()</f>
        <v>1</v>
      </c>
      <c r="E71" t="b">
        <f>TRUE()</f>
        <v>1</v>
      </c>
    </row>
    <row r="72" spans="1:5">
      <c r="A72" t="s">
        <v>68</v>
      </c>
      <c r="B72" t="s">
        <v>256</v>
      </c>
      <c r="C72" t="b">
        <f>FALSE()</f>
        <v>0</v>
      </c>
      <c r="E72" t="b">
        <f>FALSE()</f>
        <v>0</v>
      </c>
    </row>
    <row r="73" spans="1:5">
      <c r="A73" t="s">
        <v>70</v>
      </c>
      <c r="B73" t="s">
        <v>257</v>
      </c>
      <c r="C73" t="b">
        <f>FALSE()</f>
        <v>0</v>
      </c>
      <c r="E73" t="b">
        <f>FALSE()</f>
        <v>0</v>
      </c>
    </row>
    <row r="74" spans="1:5">
      <c r="A74" t="s">
        <v>72</v>
      </c>
      <c r="B74" t="s">
        <v>73</v>
      </c>
      <c r="C74" t="b">
        <f>TRUE()</f>
        <v>1</v>
      </c>
      <c r="E74" t="b">
        <f>TRUE()</f>
        <v>1</v>
      </c>
    </row>
    <row r="75" spans="1:5">
      <c r="A75" t="s">
        <v>74</v>
      </c>
      <c r="B75" t="s">
        <v>75</v>
      </c>
      <c r="C75" t="b">
        <f>TRUE()</f>
        <v>1</v>
      </c>
      <c r="E75" t="b">
        <f>TRUE()</f>
        <v>1</v>
      </c>
    </row>
    <row r="76" spans="1:5">
      <c r="A76" t="s">
        <v>76</v>
      </c>
      <c r="B76" t="s">
        <v>258</v>
      </c>
      <c r="C76" t="b">
        <f>FALSE()</f>
        <v>0</v>
      </c>
      <c r="E76" t="b">
        <f>FALSE()</f>
        <v>0</v>
      </c>
    </row>
    <row r="77" spans="1:5">
      <c r="A77" t="s">
        <v>78</v>
      </c>
      <c r="B77" t="s">
        <v>56</v>
      </c>
      <c r="C77" t="b">
        <f>TRUE()</f>
        <v>1</v>
      </c>
      <c r="E77" t="b">
        <f>TRUE()</f>
        <v>1</v>
      </c>
    </row>
    <row r="78" spans="1:5">
      <c r="A78" t="s">
        <v>79</v>
      </c>
      <c r="B78" t="s">
        <v>120</v>
      </c>
      <c r="C78" t="b">
        <f>FALSE()</f>
        <v>0</v>
      </c>
      <c r="E78" t="b">
        <f>FALSE()</f>
        <v>0</v>
      </c>
    </row>
    <row r="79" spans="1:5">
      <c r="A79" t="s">
        <v>81</v>
      </c>
      <c r="B79" t="s">
        <v>259</v>
      </c>
      <c r="C79" t="b">
        <f>FALSE()</f>
        <v>0</v>
      </c>
      <c r="E79" t="b">
        <f>FALSE()</f>
        <v>0</v>
      </c>
    </row>
    <row r="80" spans="1:5">
      <c r="A80" t="s">
        <v>121</v>
      </c>
      <c r="B80" t="s">
        <v>260</v>
      </c>
      <c r="C80" t="b">
        <f>FALSE()</f>
        <v>0</v>
      </c>
      <c r="E80" t="b">
        <f>FALSE()</f>
        <v>0</v>
      </c>
    </row>
    <row r="81" spans="1:5">
      <c r="A81" t="s">
        <v>123</v>
      </c>
      <c r="B81" t="s">
        <v>124</v>
      </c>
      <c r="C81" t="b">
        <f>TRUE()</f>
        <v>1</v>
      </c>
      <c r="E81" t="b">
        <f>TRUE()</f>
        <v>1</v>
      </c>
    </row>
    <row r="82" spans="1:5">
      <c r="A82" t="s">
        <v>125</v>
      </c>
      <c r="B82" t="s">
        <v>261</v>
      </c>
      <c r="C82" t="b">
        <f>FALSE()</f>
        <v>0</v>
      </c>
      <c r="E82" t="b">
        <f>FALSE()</f>
        <v>0</v>
      </c>
    </row>
    <row r="83" spans="1:5">
      <c r="A83" t="s">
        <v>127</v>
      </c>
      <c r="B83" t="s">
        <v>56</v>
      </c>
      <c r="C83" t="b">
        <f>TRUE()</f>
        <v>1</v>
      </c>
      <c r="E83" t="b">
        <f>TRUE()</f>
        <v>1</v>
      </c>
    </row>
    <row r="84" spans="1:5">
      <c r="A84" t="s">
        <v>128</v>
      </c>
      <c r="B84" t="s">
        <v>262</v>
      </c>
      <c r="C84" t="b">
        <f>FALSE()</f>
        <v>0</v>
      </c>
      <c r="E84" t="b">
        <f>FALSE()</f>
        <v>0</v>
      </c>
    </row>
    <row r="85" spans="1:5">
      <c r="A85" t="s">
        <v>130</v>
      </c>
      <c r="B85" t="s">
        <v>131</v>
      </c>
      <c r="C85" t="b">
        <f>FALSE()</f>
        <v>0</v>
      </c>
      <c r="E85" t="b">
        <f>FALSE()</f>
        <v>0</v>
      </c>
    </row>
    <row r="86" spans="1:5">
      <c r="A86" t="s">
        <v>132</v>
      </c>
      <c r="B86" t="s">
        <v>133</v>
      </c>
      <c r="C86" t="b">
        <f>TRUE()</f>
        <v>1</v>
      </c>
      <c r="E86" t="b">
        <f>TRUE()</f>
        <v>1</v>
      </c>
    </row>
    <row r="87" spans="1:5">
      <c r="A87" t="s">
        <v>134</v>
      </c>
      <c r="B87" t="s">
        <v>135</v>
      </c>
      <c r="C87" t="b">
        <f>TRUE()</f>
        <v>1</v>
      </c>
      <c r="E87" t="b">
        <f>TRUE()</f>
        <v>1</v>
      </c>
    </row>
    <row r="88" spans="1:5">
      <c r="A88" t="s">
        <v>136</v>
      </c>
      <c r="B88" t="s">
        <v>263</v>
      </c>
      <c r="C88" t="b">
        <f>FALSE()</f>
        <v>0</v>
      </c>
      <c r="E88" t="b">
        <f>FALSE()</f>
        <v>0</v>
      </c>
    </row>
    <row r="89" spans="1:5">
      <c r="A89" t="s">
        <v>138</v>
      </c>
      <c r="B89" t="s">
        <v>56</v>
      </c>
      <c r="C89" t="b">
        <f>TRUE()</f>
        <v>1</v>
      </c>
      <c r="E89" t="b">
        <f>TRUE()</f>
        <v>1</v>
      </c>
    </row>
    <row r="90" spans="1:5">
      <c r="A90" t="s">
        <v>139</v>
      </c>
      <c r="B90" t="s">
        <v>140</v>
      </c>
      <c r="C90" t="b">
        <f>FALSE()</f>
        <v>0</v>
      </c>
      <c r="E90" t="b">
        <f>FALSE()</f>
        <v>0</v>
      </c>
    </row>
    <row r="91" spans="1:5">
      <c r="A91" t="s">
        <v>141</v>
      </c>
      <c r="B91" t="s">
        <v>264</v>
      </c>
      <c r="C91" t="b">
        <f>FALSE()</f>
        <v>0</v>
      </c>
      <c r="E91" t="b">
        <f>FALSE()</f>
        <v>0</v>
      </c>
    </row>
    <row r="92" spans="1:5">
      <c r="A92" t="s">
        <v>185</v>
      </c>
      <c r="B92" t="s">
        <v>186</v>
      </c>
      <c r="C92" t="b">
        <f>TRUE()</f>
        <v>1</v>
      </c>
      <c r="E92" t="b">
        <f>TRUE()</f>
        <v>1</v>
      </c>
    </row>
    <row r="93" spans="1:5">
      <c r="A93" t="s">
        <v>187</v>
      </c>
      <c r="B93" t="s">
        <v>188</v>
      </c>
      <c r="C93" t="b">
        <f>TRUE()</f>
        <v>1</v>
      </c>
      <c r="E93" t="b">
        <f>TRUE()</f>
        <v>1</v>
      </c>
    </row>
    <row r="94" spans="1:5">
      <c r="A94" t="s">
        <v>189</v>
      </c>
      <c r="B94" t="s">
        <v>265</v>
      </c>
      <c r="C94" t="b">
        <f>FALSE()</f>
        <v>0</v>
      </c>
      <c r="E94" t="b">
        <f>FALSE()</f>
        <v>0</v>
      </c>
    </row>
    <row r="95" spans="1:5">
      <c r="A95" t="s">
        <v>191</v>
      </c>
      <c r="B95" t="s">
        <v>56</v>
      </c>
      <c r="C95" t="b">
        <f>TRUE()</f>
        <v>1</v>
      </c>
      <c r="E95" t="b">
        <f>TRUE()</f>
        <v>1</v>
      </c>
    </row>
    <row r="96" spans="1:5">
      <c r="A96" t="s">
        <v>192</v>
      </c>
      <c r="B96" t="s">
        <v>193</v>
      </c>
      <c r="C96" t="b">
        <f>FALSE()</f>
        <v>0</v>
      </c>
      <c r="E96" t="b">
        <f>FALSE()</f>
        <v>0</v>
      </c>
    </row>
    <row r="97" spans="1:5">
      <c r="A97" t="s">
        <v>194</v>
      </c>
      <c r="B97" t="s">
        <v>195</v>
      </c>
      <c r="C97" t="b">
        <f>FALSE()</f>
        <v>0</v>
      </c>
      <c r="E97" t="b">
        <f>FALSE()</f>
        <v>0</v>
      </c>
    </row>
    <row r="98" spans="1:5">
      <c r="A98" t="s">
        <v>196</v>
      </c>
      <c r="B98" t="s">
        <v>197</v>
      </c>
      <c r="C98" t="b">
        <f>TRUE()</f>
        <v>1</v>
      </c>
      <c r="E98" t="b">
        <f>TRUE()</f>
        <v>1</v>
      </c>
    </row>
    <row r="99" spans="1:5">
      <c r="A99" t="s">
        <v>198</v>
      </c>
      <c r="B99" t="s">
        <v>199</v>
      </c>
      <c r="C99" t="b">
        <f>TRUE()</f>
        <v>1</v>
      </c>
      <c r="E99" t="b">
        <f>TRUE()</f>
        <v>1</v>
      </c>
    </row>
    <row r="100" spans="1:5">
      <c r="A100" t="s">
        <v>200</v>
      </c>
      <c r="B100" t="s">
        <v>201</v>
      </c>
      <c r="C100" t="b">
        <f>FALSE()</f>
        <v>0</v>
      </c>
      <c r="E100" t="b">
        <f>FALSE()</f>
        <v>0</v>
      </c>
    </row>
    <row r="101" spans="1:5">
      <c r="A101" t="s">
        <v>202</v>
      </c>
      <c r="B101" t="s">
        <v>56</v>
      </c>
      <c r="C101" t="b">
        <f>TRUE()</f>
        <v>1</v>
      </c>
      <c r="E101" t="b">
        <f>TRUE()</f>
        <v>1</v>
      </c>
    </row>
    <row r="102" spans="1:5">
      <c r="A102" t="s">
        <v>203</v>
      </c>
      <c r="B102" t="s">
        <v>266</v>
      </c>
      <c r="C102" t="b">
        <f>FALSE()</f>
        <v>0</v>
      </c>
      <c r="E102" t="b">
        <f>FALSE()</f>
        <v>0</v>
      </c>
    </row>
    <row r="103" spans="1:5">
      <c r="A103" t="s">
        <v>205</v>
      </c>
      <c r="B103" t="s">
        <v>267</v>
      </c>
      <c r="C103" t="b">
        <f>FALSE()</f>
        <v>0</v>
      </c>
      <c r="E103" t="b">
        <f>FALSE()</f>
        <v>0</v>
      </c>
    </row>
    <row r="104" spans="1:5">
      <c r="A104" t="s">
        <v>268</v>
      </c>
      <c r="B104" t="s">
        <v>269</v>
      </c>
      <c r="C104" t="b">
        <f>TRUE()</f>
        <v>1</v>
      </c>
      <c r="E104" t="b">
        <f>TRUE()</f>
        <v>1</v>
      </c>
    </row>
    <row r="105" spans="1:5">
      <c r="A105" t="s">
        <v>270</v>
      </c>
      <c r="B105" t="s">
        <v>271</v>
      </c>
      <c r="C105" t="b">
        <f>TRUE()</f>
        <v>1</v>
      </c>
      <c r="E105" t="b">
        <f>TRUE()</f>
        <v>1</v>
      </c>
    </row>
    <row r="106" spans="1:5">
      <c r="A106" t="s">
        <v>272</v>
      </c>
      <c r="B106" t="s">
        <v>273</v>
      </c>
      <c r="C106" t="b">
        <f>FALSE()</f>
        <v>0</v>
      </c>
      <c r="E106" t="b">
        <f>FALSE()</f>
        <v>0</v>
      </c>
    </row>
    <row r="107" spans="1:5">
      <c r="A107" t="s">
        <v>274</v>
      </c>
      <c r="B107" t="s">
        <v>56</v>
      </c>
      <c r="C107" t="b">
        <f>TRUE()</f>
        <v>1</v>
      </c>
      <c r="E107" t="b">
        <f>TRUE()</f>
        <v>1</v>
      </c>
    </row>
    <row r="108" spans="1:5">
      <c r="A108" t="s">
        <v>275</v>
      </c>
      <c r="B108" t="s">
        <v>276</v>
      </c>
      <c r="C108" t="b">
        <f>FALSE()</f>
        <v>0</v>
      </c>
      <c r="E108" t="b">
        <f>FALSE()</f>
        <v>0</v>
      </c>
    </row>
    <row r="109" spans="1:5">
      <c r="A109" t="s">
        <v>277</v>
      </c>
      <c r="B109" t="s">
        <v>278</v>
      </c>
      <c r="C109" t="b">
        <f>FALSE()</f>
        <v>0</v>
      </c>
      <c r="E109" t="b">
        <f>FALSE()</f>
        <v>0</v>
      </c>
    </row>
    <row r="110" spans="1:5">
      <c r="A110" t="s">
        <v>279</v>
      </c>
      <c r="B110" t="s">
        <v>280</v>
      </c>
      <c r="C110" t="b">
        <f>TRUE()</f>
        <v>1</v>
      </c>
      <c r="E110" t="b">
        <f>TRUE()</f>
        <v>1</v>
      </c>
    </row>
    <row r="111" spans="1:5">
      <c r="A111" t="s">
        <v>281</v>
      </c>
      <c r="B111" t="s">
        <v>282</v>
      </c>
      <c r="C111" t="b">
        <f>TRUE()</f>
        <v>1</v>
      </c>
      <c r="E111" t="b">
        <f>TRUE()</f>
        <v>1</v>
      </c>
    </row>
    <row r="112" spans="1:5">
      <c r="A112" t="s">
        <v>283</v>
      </c>
      <c r="B112" t="s">
        <v>284</v>
      </c>
      <c r="C112" t="b">
        <f>FALSE()</f>
        <v>0</v>
      </c>
      <c r="E112" t="b">
        <f>FALSE()</f>
        <v>0</v>
      </c>
    </row>
    <row r="113" spans="1:5">
      <c r="A113" t="s">
        <v>285</v>
      </c>
      <c r="B113" t="s">
        <v>56</v>
      </c>
      <c r="C113" t="b">
        <f>TRUE()</f>
        <v>1</v>
      </c>
      <c r="E113" t="b">
        <f>TRUE()</f>
        <v>1</v>
      </c>
    </row>
    <row r="114" spans="1:5">
      <c r="A114" t="s">
        <v>286</v>
      </c>
      <c r="B114" t="s">
        <v>287</v>
      </c>
      <c r="C114" t="b">
        <f>TRUE()</f>
        <v>1</v>
      </c>
      <c r="E114" t="b">
        <f>TRUE()</f>
        <v>1</v>
      </c>
    </row>
    <row r="115" spans="1:5">
      <c r="A115" t="s">
        <v>288</v>
      </c>
      <c r="B115" t="s">
        <v>289</v>
      </c>
      <c r="C115" t="b">
        <f>FALSE()</f>
        <v>0</v>
      </c>
      <c r="E115" t="b">
        <f>FALSE()</f>
        <v>0</v>
      </c>
    </row>
    <row r="116" spans="1:5">
      <c r="A116" t="s">
        <v>290</v>
      </c>
      <c r="B116" t="s">
        <v>291</v>
      </c>
      <c r="C116" t="b">
        <f>TRUE()</f>
        <v>1</v>
      </c>
      <c r="E116" t="b">
        <f>TRUE()</f>
        <v>1</v>
      </c>
    </row>
    <row r="117" spans="1:5">
      <c r="A117" t="s">
        <v>292</v>
      </c>
      <c r="B117" t="s">
        <v>293</v>
      </c>
      <c r="C117" t="b">
        <f>TRUE()</f>
        <v>1</v>
      </c>
      <c r="E117" t="b">
        <f>TRUE()</f>
        <v>1</v>
      </c>
    </row>
    <row r="118" spans="1:5">
      <c r="A118" t="s">
        <v>294</v>
      </c>
      <c r="B118" t="s">
        <v>295</v>
      </c>
      <c r="C118" t="b">
        <f>FALSE()</f>
        <v>0</v>
      </c>
      <c r="E118" t="b">
        <f>FALSE()</f>
        <v>0</v>
      </c>
    </row>
    <row r="119" spans="1:5">
      <c r="A119" t="s">
        <v>296</v>
      </c>
      <c r="B119" t="s">
        <v>56</v>
      </c>
      <c r="C119" t="b">
        <f>TRUE()</f>
        <v>1</v>
      </c>
      <c r="E119" t="b">
        <f>TRUE()</f>
        <v>1</v>
      </c>
    </row>
    <row r="120" spans="1:5">
      <c r="A120" t="s">
        <v>297</v>
      </c>
      <c r="B120" t="s">
        <v>298</v>
      </c>
      <c r="C120" t="b">
        <f>FALSE()</f>
        <v>0</v>
      </c>
      <c r="E120" t="b">
        <f>FALSE()</f>
        <v>0</v>
      </c>
    </row>
    <row r="121" spans="1:5">
      <c r="A121" t="s">
        <v>299</v>
      </c>
      <c r="B121" t="s">
        <v>149</v>
      </c>
      <c r="C121" t="b">
        <f>FALSE()</f>
        <v>0</v>
      </c>
      <c r="E121" t="b">
        <f>FALSE()</f>
        <v>0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2</cp:revision>
  <dcterms:created xsi:type="dcterms:W3CDTF">2026-04-28T12:22:55Z</dcterms:created>
  <dcterms:modified xsi:type="dcterms:W3CDTF">2026-09-14T13:50:15Z</dcterms:modified>
  <cp:category/>
  <cp:contentStatus/>
</cp:coreProperties>
</file>